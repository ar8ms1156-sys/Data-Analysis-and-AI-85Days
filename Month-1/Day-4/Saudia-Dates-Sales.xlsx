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and-AI-85Days\Month-1\Day-4\"/>
    </mc:Choice>
  </mc:AlternateContent>
  <xr:revisionPtr revIDLastSave="0" documentId="8_{352819E8-8A4F-4FD5-BAF8-4C1FC673FF8E}" xr6:coauthVersionLast="47" xr6:coauthVersionMax="47" xr10:uidLastSave="{00000000-0000-0000-0000-000000000000}"/>
  <bookViews>
    <workbookView xWindow="-110" yWindow="-110" windowWidth="19420" windowHeight="11500" xr2:uid="{D2EC53C6-88E2-4008-8898-0CB854C4FE13}"/>
  </bookViews>
  <sheets>
    <sheet name="Sheet1" sheetId="1" r:id="rId1"/>
  </sheets>
  <definedNames>
    <definedName name="_xlnm.Print_Area" localSheetId="0">Sheet1!$A$1:$I$8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</calcChain>
</file>

<file path=xl/sharedStrings.xml><?xml version="1.0" encoding="utf-8"?>
<sst xmlns="http://schemas.openxmlformats.org/spreadsheetml/2006/main" count="30" uniqueCount="28">
  <si>
    <t>رقم الطلب (Order id)</t>
  </si>
  <si>
    <t>تاريخ البيع (Date)</t>
  </si>
  <si>
    <t>نوع التمر(Product Type)</t>
  </si>
  <si>
    <t>الكمية / كجم (Quantity  ⁄  Kg)</t>
  </si>
  <si>
    <t>سعر الكيلو(Price  ⁄  Kg)</t>
  </si>
  <si>
    <t>اجمالي الفاتورة(Total)</t>
  </si>
  <si>
    <t>مدينة التوصيل (City)</t>
  </si>
  <si>
    <t>طريقه الدفع (Payment)</t>
  </si>
  <si>
    <t>24-6-2026</t>
  </si>
  <si>
    <t>25-6-2026</t>
  </si>
  <si>
    <t>26-6-2026</t>
  </si>
  <si>
    <t>27-6-2026</t>
  </si>
  <si>
    <t>28-6-2026</t>
  </si>
  <si>
    <t>سكري القصيم (فاخر)</t>
  </si>
  <si>
    <t>عجوة المدينة</t>
  </si>
  <si>
    <t>خلاص الاحساء</t>
  </si>
  <si>
    <t>صقعي ملكي</t>
  </si>
  <si>
    <t>الرياض</t>
  </si>
  <si>
    <t>جدة</t>
  </si>
  <si>
    <t>الدمام</t>
  </si>
  <si>
    <t>المدينة المنوورة</t>
  </si>
  <si>
    <t>مكة</t>
  </si>
  <si>
    <t>تحويل بنكي</t>
  </si>
  <si>
    <t xml:space="preserve">الدفع عند الاستعلام </t>
  </si>
  <si>
    <t>مدي (Meda)</t>
  </si>
  <si>
    <t>فيزا (Visa)</t>
  </si>
  <si>
    <t>نظام إدارة ومبيعات براند التمور السعودية 🌴</t>
  </si>
  <si>
    <t>سجل الطلبات الحالية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</si>
</sst>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[$⃁-401]\ #,##0.00"/>
    <numFmt numFmtId="168" formatCode="[$⃁-401]\ #,##0.00;[Red][$⃁-401]\ #,##0.00"/>
  </numFmts>
  <fonts count="6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4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⃁-401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⃁-401]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EG" baseline="0"/>
              <a:t>تحليل إجمالي عوائد مبيعات التمور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سكري القصيم (فاخر)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Sheet1!$G$4</c:f>
              <c:numCache>
                <c:formatCode>[$⃁-401]\ #,##0.00</c:formatCode>
                <c:ptCount val="1"/>
                <c:pt idx="0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4-481A-AB9B-38E3141BD4DF}"/>
            </c:ext>
          </c:extLst>
        </c:ser>
        <c:ser>
          <c:idx val="1"/>
          <c:order val="1"/>
          <c:tx>
            <c:strRef>
              <c:f>Sheet1!$D$5</c:f>
              <c:strCache>
                <c:ptCount val="1"/>
                <c:pt idx="0">
                  <c:v>عجوة المدينة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Sheet1!$G$5</c:f>
              <c:numCache>
                <c:formatCode>[$⃁-401]\ #,##0.00</c:formatCode>
                <c:ptCount val="1"/>
                <c:pt idx="0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4-481A-AB9B-38E3141BD4DF}"/>
            </c:ext>
          </c:extLst>
        </c:ser>
        <c:ser>
          <c:idx val="2"/>
          <c:order val="2"/>
          <c:tx>
            <c:strRef>
              <c:f>Sheet1!$D$6</c:f>
              <c:strCache>
                <c:ptCount val="1"/>
                <c:pt idx="0">
                  <c:v>خلاص الاحساء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Sheet1!$G$6</c:f>
              <c:numCache>
                <c:formatCode>[$⃁-401]\ #,##0.00</c:formatCode>
                <c:ptCount val="1"/>
                <c:pt idx="0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F4-481A-AB9B-38E3141BD4DF}"/>
            </c:ext>
          </c:extLst>
        </c:ser>
        <c:ser>
          <c:idx val="3"/>
          <c:order val="3"/>
          <c:tx>
            <c:strRef>
              <c:f>Sheet1!$D$7</c:f>
              <c:strCache>
                <c:ptCount val="1"/>
                <c:pt idx="0">
                  <c:v>صقعي ملكي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Sheet1!$G$7</c:f>
              <c:numCache>
                <c:formatCode>[$⃁-401]\ #,##0.00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F4-481A-AB9B-38E3141BD4DF}"/>
            </c:ext>
          </c:extLst>
        </c:ser>
        <c:ser>
          <c:idx val="4"/>
          <c:order val="4"/>
          <c:tx>
            <c:strRef>
              <c:f>Sheet1!$D$8</c:f>
              <c:strCache>
                <c:ptCount val="1"/>
                <c:pt idx="0">
                  <c:v>سكري القصيم (فاخر)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</c:f>
              <c:strCache>
                <c:ptCount val="1"/>
                <c:pt idx="0">
                  <c:v>اجمالي الفاتورة(Total)</c:v>
                </c:pt>
              </c:strCache>
            </c:strRef>
          </c:cat>
          <c:val>
            <c:numRef>
              <c:f>Sheet1!$G$8</c:f>
              <c:numCache>
                <c:formatCode>[$⃁-401]\ #,##0.00</c:formatCode>
                <c:ptCount val="1"/>
                <c:pt idx="0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F4-481A-AB9B-38E3141BD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47291088"/>
        <c:axId val="547293488"/>
      </c:barChart>
      <c:catAx>
        <c:axId val="5472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93488"/>
        <c:crosses val="autoZero"/>
        <c:auto val="1"/>
        <c:lblAlgn val="ctr"/>
        <c:lblOffset val="100"/>
        <c:noMultiLvlLbl val="0"/>
      </c:catAx>
      <c:valAx>
        <c:axId val="54729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⃁-401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2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851829</xdr:colOff>
      <xdr:row>12</xdr:row>
      <xdr:rowOff>43296</xdr:rowOff>
    </xdr:from>
    <xdr:to>
      <xdr:col>8</xdr:col>
      <xdr:colOff>619512</xdr:colOff>
      <xdr:row>45</xdr:row>
      <xdr:rowOff>77439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8D68D2B-3E4D-0C39-88E9-E81F21A62E92}"/>
            </a:ext>
          </a:extLst>
        </xdr:cNvPr>
        <xdr:cNvSpPr/>
      </xdr:nvSpPr>
      <xdr:spPr>
        <a:xfrm>
          <a:off x="1099634" y="2320003"/>
          <a:ext cx="12622561" cy="6167314"/>
        </a:xfrm>
        <a:prstGeom prst="roundRect">
          <a:avLst/>
        </a:prstGeom>
        <a:ln>
          <a:headEnd type="none" w="med" len="med"/>
          <a:tailEnd type="none" w="med" len="med"/>
        </a:ln>
        <a:effectLst>
          <a:reflection blurRad="6350" stA="50000" endA="295" endPos="92000" dist="101600" dir="5400000" sy="-100000" algn="bl" rotWithShape="0"/>
        </a:effectLst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1610732</xdr:colOff>
      <xdr:row>13</xdr:row>
      <xdr:rowOff>61951</xdr:rowOff>
    </xdr:from>
    <xdr:to>
      <xdr:col>8</xdr:col>
      <xdr:colOff>15487</xdr:colOff>
      <xdr:row>43</xdr:row>
      <xdr:rowOff>46463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26E4FD-D873-DF48-9A40-C31C63CDC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724E3-8097-467A-B376-20658FFBB7ED}" name="Table1" displayName="Table1" ref="B3:I8" totalsRowShown="0" headerRowDxfId="11" headerRowBorderDxfId="9" tableBorderDxfId="10" totalsRowBorderDxfId="8">
  <autoFilter ref="B3:I8" xr:uid="{AC2724E3-8097-467A-B376-20658FFBB7ED}"/>
  <tableColumns count="8">
    <tableColumn id="1" xr3:uid="{FF0CDB54-EE78-412A-8314-72F97EA41D9F}" name="رقم الطلب (Order id)" dataDxfId="7"/>
    <tableColumn id="2" xr3:uid="{0F6C0D30-444E-4FA0-BFD8-A668825AF734}" name="تاريخ البيع (Date)" dataDxfId="6"/>
    <tableColumn id="3" xr3:uid="{7F4D2BEC-DBF9-4A83-ABCE-144828035CA2}" name="نوع التمر(Product Type)" dataDxfId="5"/>
    <tableColumn id="4" xr3:uid="{4885D26B-C913-4BA7-A988-41DE50231F58}" name="الكمية / كجم (Quantity  ⁄  Kg)" dataDxfId="4"/>
    <tableColumn id="5" xr3:uid="{67D316CB-69A5-4666-A4F5-EEF114188C4B}" name="سعر الكيلو(Price  ⁄  Kg)" dataDxfId="3"/>
    <tableColumn id="6" xr3:uid="{72D05EC0-1B3B-4AEF-BD89-1405D849B7F5}" name="اجمالي الفاتورة(Total)" dataDxfId="2">
      <calculatedColumnFormula>E4*F4</calculatedColumnFormula>
    </tableColumn>
    <tableColumn id="7" xr3:uid="{94D58698-E590-48A0-A566-B565795E37DA}" name="مدينة التوصيل (City)" dataDxfId="1"/>
    <tableColumn id="8" xr3:uid="{3BCD49E6-300E-4759-8962-E6FF537C4BF4}" name="طريقه الدفع (Payment)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F6BD-296D-466A-B54B-ED2CB18C76B7}">
  <dimension ref="A1:I11"/>
  <sheetViews>
    <sheetView tabSelected="1" zoomScale="41" zoomScaleNormal="41" workbookViewId="0">
      <selection activeCell="H30" sqref="H30"/>
    </sheetView>
  </sheetViews>
  <sheetFormatPr defaultRowHeight="14.5"/>
  <cols>
    <col min="1" max="1" width="3.6328125" bestFit="1" customWidth="1"/>
    <col min="2" max="2" width="24.54296875" bestFit="1" customWidth="1"/>
    <col min="3" max="3" width="22" bestFit="1" customWidth="1"/>
    <col min="4" max="4" width="29.1796875" bestFit="1" customWidth="1"/>
    <col min="5" max="5" width="32" bestFit="1" customWidth="1"/>
    <col min="6" max="6" width="26.453125" bestFit="1" customWidth="1"/>
    <col min="7" max="7" width="25.6328125" bestFit="1" customWidth="1"/>
    <col min="8" max="8" width="24.26953125" bestFit="1" customWidth="1"/>
    <col min="9" max="9" width="27.08984375" bestFit="1" customWidth="1"/>
  </cols>
  <sheetData>
    <row r="1" spans="1:9" ht="14.5" customHeight="1">
      <c r="A1" s="8" t="s">
        <v>26</v>
      </c>
      <c r="B1" s="8"/>
      <c r="C1" s="8"/>
      <c r="D1" s="8"/>
      <c r="E1" s="8"/>
      <c r="F1" s="8"/>
      <c r="G1" s="8"/>
      <c r="H1" s="8"/>
      <c r="I1" s="8"/>
    </row>
    <row r="2" spans="1:9">
      <c r="A2" s="8"/>
      <c r="B2" s="8"/>
      <c r="C2" s="8"/>
      <c r="D2" s="8"/>
      <c r="E2" s="8"/>
      <c r="F2" s="8"/>
      <c r="G2" s="8"/>
      <c r="H2" s="8"/>
      <c r="I2" s="8"/>
    </row>
    <row r="3" spans="1:9" ht="18.5">
      <c r="A3" s="7" t="s">
        <v>27</v>
      </c>
      <c r="B3" s="14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6" t="s">
        <v>7</v>
      </c>
    </row>
    <row r="4" spans="1:9">
      <c r="A4" s="7"/>
      <c r="B4" s="12">
        <v>1001</v>
      </c>
      <c r="C4" s="2" t="s">
        <v>8</v>
      </c>
      <c r="D4" s="3" t="s">
        <v>13</v>
      </c>
      <c r="E4" s="1">
        <v>15</v>
      </c>
      <c r="F4" s="4">
        <v>45</v>
      </c>
      <c r="G4" s="4">
        <f>E4*F4</f>
        <v>675</v>
      </c>
      <c r="H4" s="1" t="s">
        <v>17</v>
      </c>
      <c r="I4" s="13" t="s">
        <v>24</v>
      </c>
    </row>
    <row r="5" spans="1:9">
      <c r="A5" s="7"/>
      <c r="B5" s="12">
        <v>1002</v>
      </c>
      <c r="C5" s="2" t="s">
        <v>9</v>
      </c>
      <c r="D5" s="3" t="s">
        <v>14</v>
      </c>
      <c r="E5" s="1">
        <v>8</v>
      </c>
      <c r="F5" s="11">
        <v>80</v>
      </c>
      <c r="G5" s="4">
        <f t="shared" ref="G5:G8" si="0">E5*F5</f>
        <v>640</v>
      </c>
      <c r="H5" s="1" t="s">
        <v>18</v>
      </c>
      <c r="I5" s="13" t="s">
        <v>25</v>
      </c>
    </row>
    <row r="6" spans="1:9">
      <c r="A6" s="7"/>
      <c r="B6" s="12">
        <v>1003</v>
      </c>
      <c r="C6" s="2" t="s">
        <v>10</v>
      </c>
      <c r="D6" s="3" t="s">
        <v>15</v>
      </c>
      <c r="E6" s="1">
        <v>30</v>
      </c>
      <c r="F6" s="4">
        <v>35</v>
      </c>
      <c r="G6" s="4">
        <f t="shared" si="0"/>
        <v>1050</v>
      </c>
      <c r="H6" s="1" t="s">
        <v>19</v>
      </c>
      <c r="I6" s="13" t="s">
        <v>22</v>
      </c>
    </row>
    <row r="7" spans="1:9">
      <c r="A7" s="7"/>
      <c r="B7" s="12">
        <v>1004</v>
      </c>
      <c r="C7" s="2" t="s">
        <v>11</v>
      </c>
      <c r="D7" s="3" t="s">
        <v>16</v>
      </c>
      <c r="E7" s="1">
        <v>12</v>
      </c>
      <c r="F7" s="4">
        <v>50</v>
      </c>
      <c r="G7" s="4">
        <f t="shared" si="0"/>
        <v>600</v>
      </c>
      <c r="H7" s="1" t="s">
        <v>20</v>
      </c>
      <c r="I7" s="13" t="s">
        <v>23</v>
      </c>
    </row>
    <row r="8" spans="1:9">
      <c r="A8" s="7"/>
      <c r="B8" s="17">
        <v>1005</v>
      </c>
      <c r="C8" s="18" t="s">
        <v>12</v>
      </c>
      <c r="D8" s="19" t="s">
        <v>13</v>
      </c>
      <c r="E8" s="20">
        <v>28</v>
      </c>
      <c r="F8" s="21">
        <v>45</v>
      </c>
      <c r="G8" s="21">
        <f t="shared" si="0"/>
        <v>1260</v>
      </c>
      <c r="H8" s="20" t="s">
        <v>21</v>
      </c>
      <c r="I8" s="22" t="s">
        <v>24</v>
      </c>
    </row>
    <row r="9" spans="1:9" ht="14.5" customHeight="1">
      <c r="B9" s="9"/>
      <c r="C9" s="9"/>
      <c r="D9" s="9"/>
      <c r="E9" s="9"/>
      <c r="F9" s="9"/>
      <c r="G9" s="5"/>
    </row>
    <row r="10" spans="1:9" ht="15" thickBot="1">
      <c r="B10" s="10"/>
      <c r="C10" s="10"/>
      <c r="D10" s="10"/>
      <c r="E10" s="10"/>
      <c r="F10" s="10"/>
      <c r="G10" s="6"/>
    </row>
    <row r="11" spans="1:9" ht="15" thickTop="1"/>
  </sheetData>
  <mergeCells count="4">
    <mergeCell ref="A3:A8"/>
    <mergeCell ref="A1:I2"/>
    <mergeCell ref="B9:F9"/>
    <mergeCell ref="B10:F10"/>
  </mergeCells>
  <phoneticPr fontId="3" type="noConversion"/>
  <conditionalFormatting sqref="G4:G8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scale="47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CCA8C93D93A43A1AC488E2F0D8821" ma:contentTypeVersion="4" ma:contentTypeDescription="Create a new document." ma:contentTypeScope="" ma:versionID="1e8fad8455d7b5c89a93d4178a3fc1c9">
  <xsd:schema xmlns:xsd="http://www.w3.org/2001/XMLSchema" xmlns:xs="http://www.w3.org/2001/XMLSchema" xmlns:p="http://schemas.microsoft.com/office/2006/metadata/properties" xmlns:ns3="d6bf451c-e3aa-4dd1-b5a6-a95183d31bdf" targetNamespace="http://schemas.microsoft.com/office/2006/metadata/properties" ma:root="true" ma:fieldsID="8408199938cbb8869539c7a2b993ecc3" ns3:_="">
    <xsd:import namespace="d6bf451c-e3aa-4dd1-b5a6-a95183d31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f451c-e3aa-4dd1-b5a6-a95183d31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0EE47-10AF-4BC7-96E9-5CBA85C536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f451c-e3aa-4dd1-b5a6-a95183d31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5D11D-F7EF-4A17-8536-F08A380F4360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6bf451c-e3aa-4dd1-b5a6-a95183d31bd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814613-FC48-4F6D-8F38-F90A7F331F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2026-06-27T12:02:25Z</dcterms:created>
  <dcterms:modified xsi:type="dcterms:W3CDTF">2026-06-28T14:07:36Z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0x010100C75CCA8C93D93A43A1AC488E2F0D8821</vt:lpwstr>
  </property>
</Properties>
</file>