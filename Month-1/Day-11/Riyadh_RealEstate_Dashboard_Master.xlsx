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ata-Analysis-and-AI-85Days\Month-1\Day-11\"/>
    </mc:Choice>
  </mc:AlternateContent>
  <xr:revisionPtr revIDLastSave="0" documentId="8_{5266A6C4-EE58-407D-BF5D-03675AA8B6EC}" xr6:coauthVersionLast="47" xr6:coauthVersionMax="47" xr10:uidLastSave="{00000000-0000-0000-0000-000000000000}"/>
  <bookViews>
    <workbookView xWindow="-110" yWindow="-110" windowWidth="19420" windowHeight="11500" activeTab="1" xr2:uid="{00000000-000D-0000-FFFF-FFFF00000000}"/>
  </bookViews>
  <sheets>
    <sheet name="بيانات السوق الخام" sheetId="3" r:id="rId1"/>
    <sheet name="السجل_ العقاري_ المطور " sheetId="1" r:id="rId2"/>
    <sheet name="مرصد_ عقارات_ الرياض" sheetId="2" r:id="rId3"/>
  </sheets>
  <definedNames>
    <definedName name="_xlnm._FilterDatabase" localSheetId="1" hidden="1">'السجل_ العقاري_ المطور '!$A$4:$N$1204</definedName>
    <definedName name="Slicer_Property_Type">#N/A</definedName>
    <definedName name="Slicer_Zo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H5" i="1"/>
  <c r="H1133" i="1"/>
  <c r="H1137" i="1"/>
  <c r="H712" i="1"/>
  <c r="H606" i="1"/>
  <c r="H740" i="1"/>
  <c r="H871" i="1"/>
  <c r="H786" i="1"/>
  <c r="H395" i="1"/>
  <c r="H1065" i="1"/>
  <c r="H1191" i="1"/>
  <c r="H1149" i="1"/>
  <c r="H164" i="1"/>
  <c r="H433" i="1"/>
  <c r="H818" i="1"/>
  <c r="H228" i="1"/>
  <c r="H612" i="1"/>
  <c r="H204" i="1"/>
  <c r="H654" i="1"/>
  <c r="H325" i="1"/>
  <c r="H92" i="1"/>
  <c r="H677" i="1"/>
  <c r="H8" i="1"/>
  <c r="H12" i="1"/>
  <c r="H1177" i="1"/>
  <c r="H396" i="1"/>
  <c r="H1090" i="1"/>
  <c r="H195" i="1"/>
  <c r="H1163" i="1"/>
  <c r="H819" i="1"/>
  <c r="H660" i="1"/>
  <c r="H328" i="1"/>
  <c r="H47" i="1"/>
  <c r="H27" i="1"/>
  <c r="H528" i="1"/>
  <c r="H760" i="1"/>
  <c r="H1108" i="1"/>
  <c r="H87" i="1"/>
  <c r="H976" i="1"/>
  <c r="H453" i="1"/>
  <c r="H454" i="1"/>
  <c r="H980" i="1"/>
  <c r="H613" i="1"/>
  <c r="H893" i="1"/>
  <c r="H702" i="1"/>
  <c r="H803" i="1"/>
  <c r="H1006" i="1"/>
  <c r="H248" i="1"/>
  <c r="H173" i="1"/>
  <c r="H1030" i="1"/>
  <c r="H65" i="1"/>
  <c r="H124" i="1"/>
  <c r="H397" i="1"/>
  <c r="H1002" i="1"/>
  <c r="H578" i="1"/>
  <c r="H1066" i="1"/>
  <c r="H1155" i="1"/>
  <c r="H533" i="1"/>
  <c r="H661" i="1"/>
  <c r="H106" i="1"/>
  <c r="H1148" i="1"/>
  <c r="H370" i="1"/>
  <c r="H1034" i="1"/>
  <c r="H761" i="1"/>
  <c r="H1096" i="1"/>
  <c r="H792" i="1"/>
  <c r="H829" i="1"/>
  <c r="H762" i="1"/>
  <c r="H658" i="1"/>
  <c r="H662" i="1"/>
  <c r="H191" i="1"/>
  <c r="H804" i="1"/>
  <c r="H1164" i="1"/>
  <c r="H935" i="1"/>
  <c r="H1067" i="1"/>
  <c r="H149" i="1"/>
  <c r="H249" i="1"/>
  <c r="H940" i="1"/>
  <c r="H174" i="1"/>
  <c r="H795" i="1"/>
  <c r="H117" i="1"/>
  <c r="H577" i="1"/>
  <c r="H66" i="1"/>
  <c r="H579" i="1"/>
  <c r="H125" i="1"/>
  <c r="H455" i="1"/>
  <c r="H456" i="1"/>
  <c r="H816" i="1"/>
  <c r="H457" i="1"/>
  <c r="H210" i="1"/>
  <c r="H759" i="1"/>
  <c r="H238" i="1"/>
  <c r="H1161" i="1"/>
  <c r="H950" i="1"/>
  <c r="H1159" i="1"/>
  <c r="H763" i="1"/>
  <c r="H1116" i="1"/>
  <c r="H1107" i="1"/>
  <c r="H1049" i="1"/>
  <c r="H1042" i="1"/>
  <c r="H250" i="1"/>
  <c r="H1085" i="1"/>
  <c r="H1197" i="1"/>
  <c r="H329" i="1"/>
  <c r="H398" i="1"/>
  <c r="H330" i="1"/>
  <c r="H331" i="1"/>
  <c r="H28" i="1"/>
  <c r="H741" i="1"/>
  <c r="H713" i="1"/>
  <c r="H458" i="1"/>
  <c r="H739" i="1"/>
  <c r="H736" i="1"/>
  <c r="H951" i="1"/>
  <c r="H271" i="1"/>
  <c r="H211" i="1"/>
  <c r="H907" i="1"/>
  <c r="H1154" i="1"/>
  <c r="H908" i="1"/>
  <c r="H1193" i="1"/>
  <c r="H632" i="1"/>
  <c r="H703" i="1"/>
  <c r="H1147" i="1"/>
  <c r="H185" i="1"/>
  <c r="H820" i="1"/>
  <c r="H764" i="1"/>
  <c r="H956" i="1"/>
  <c r="H605" i="1"/>
  <c r="H212" i="1"/>
  <c r="H126" i="1"/>
  <c r="H787" i="1"/>
  <c r="H534" i="1"/>
  <c r="H127" i="1"/>
  <c r="H107" i="1"/>
  <c r="H251" i="1"/>
  <c r="H143" i="1"/>
  <c r="H1068" i="1"/>
  <c r="H832" i="1"/>
  <c r="H742" i="1"/>
  <c r="H663" i="1"/>
  <c r="H1064" i="1"/>
  <c r="H814" i="1"/>
  <c r="H459" i="1"/>
  <c r="H928" i="1"/>
  <c r="H363" i="1"/>
  <c r="H29" i="1"/>
  <c r="H655" i="1"/>
  <c r="H364" i="1"/>
  <c r="H580" i="1"/>
  <c r="H85" i="1"/>
  <c r="H941" i="1"/>
  <c r="H192" i="1"/>
  <c r="H252" i="1"/>
  <c r="H196" i="1"/>
  <c r="H460" i="1"/>
  <c r="H371" i="1"/>
  <c r="H399" i="1"/>
  <c r="H332" i="1"/>
  <c r="H400" i="1"/>
  <c r="H1172" i="1"/>
  <c r="H461" i="1"/>
  <c r="H877" i="1"/>
  <c r="H1186" i="1"/>
  <c r="H714" i="1"/>
  <c r="H1156" i="1"/>
  <c r="H197" i="1"/>
  <c r="H535" i="1"/>
  <c r="H689" i="1"/>
  <c r="H128" i="1"/>
  <c r="H614" i="1"/>
  <c r="H283" i="1"/>
  <c r="H20" i="1"/>
  <c r="H715" i="1"/>
  <c r="H704" i="1"/>
  <c r="H333" i="1"/>
  <c r="H150" i="1"/>
  <c r="H48" i="1"/>
  <c r="H67" i="1"/>
  <c r="H462" i="1"/>
  <c r="H379" i="1"/>
  <c r="H68" i="1"/>
  <c r="H1165" i="1"/>
  <c r="H175" i="1"/>
  <c r="H49" i="1"/>
  <c r="H581" i="1"/>
  <c r="H611" i="1"/>
  <c r="H690" i="1"/>
  <c r="H651" i="1"/>
  <c r="H602" i="1"/>
  <c r="H463" i="1"/>
  <c r="H464" i="1"/>
  <c r="H129" i="1"/>
  <c r="H1007" i="1"/>
  <c r="H1171" i="1"/>
  <c r="H380" i="1"/>
  <c r="H564" i="1"/>
  <c r="H308" i="1"/>
  <c r="H821" i="1"/>
  <c r="H365" i="1"/>
  <c r="H465" i="1"/>
  <c r="H334" i="1"/>
  <c r="H30" i="1"/>
  <c r="H765" i="1"/>
  <c r="H743" i="1"/>
  <c r="H872" i="1"/>
  <c r="H1196" i="1"/>
  <c r="H163" i="1"/>
  <c r="H909" i="1"/>
  <c r="H1109" i="1"/>
  <c r="H466" i="1"/>
  <c r="H582" i="1"/>
  <c r="H684" i="1"/>
  <c r="H213" i="1"/>
  <c r="H910" i="1"/>
  <c r="H193" i="1"/>
  <c r="H652" i="1"/>
  <c r="H565" i="1"/>
  <c r="H69" i="1"/>
  <c r="H1160" i="1"/>
  <c r="H860" i="1"/>
  <c r="H1122" i="1"/>
  <c r="H1069" i="1"/>
  <c r="H1022" i="1"/>
  <c r="H1091" i="1"/>
  <c r="H600" i="1"/>
  <c r="H691" i="1"/>
  <c r="H423" i="1"/>
  <c r="H108" i="1"/>
  <c r="H1198" i="1"/>
  <c r="H735" i="1"/>
  <c r="H99" i="1"/>
  <c r="H118" i="1"/>
  <c r="H1092" i="1"/>
  <c r="H198" i="1"/>
  <c r="H716" i="1"/>
  <c r="H130" i="1"/>
  <c r="H959" i="1"/>
  <c r="H852" i="1"/>
  <c r="H992" i="1"/>
  <c r="H1070" i="1"/>
  <c r="H717" i="1"/>
  <c r="H911" i="1"/>
  <c r="H1138" i="1"/>
  <c r="H1097" i="1"/>
  <c r="H176" i="1"/>
  <c r="H1175" i="1"/>
  <c r="H291" i="1"/>
  <c r="H292" i="1"/>
  <c r="H372" i="1"/>
  <c r="H10" i="1"/>
  <c r="H467" i="1"/>
  <c r="H119" i="1"/>
  <c r="H468" i="1"/>
  <c r="H109" i="1"/>
  <c r="H335" i="1"/>
  <c r="H336" i="1"/>
  <c r="H817" i="1"/>
  <c r="H151" i="1"/>
  <c r="H337" i="1"/>
  <c r="H942" i="1"/>
  <c r="H1008" i="1"/>
  <c r="H1005" i="1"/>
  <c r="H1123" i="1"/>
  <c r="H1035" i="1"/>
  <c r="H469" i="1"/>
  <c r="H536" i="1"/>
  <c r="H718" i="1"/>
  <c r="H833" i="1"/>
  <c r="H309" i="1"/>
  <c r="H1202" i="1"/>
  <c r="H766" i="1"/>
  <c r="H338" i="1"/>
  <c r="H131" i="1"/>
  <c r="H719" i="1"/>
  <c r="H1018" i="1"/>
  <c r="H1136" i="1"/>
  <c r="H815" i="1"/>
  <c r="H110" i="1"/>
  <c r="H881" i="1"/>
  <c r="H615" i="1"/>
  <c r="H165" i="1"/>
  <c r="H307" i="1"/>
  <c r="H744" i="1"/>
  <c r="H50" i="1"/>
  <c r="H1071" i="1"/>
  <c r="H1072" i="1"/>
  <c r="H858" i="1"/>
  <c r="H470" i="1"/>
  <c r="H471" i="1"/>
  <c r="H434" i="1"/>
  <c r="H767" i="1"/>
  <c r="H977" i="1"/>
  <c r="H226" i="1"/>
  <c r="H1174" i="1"/>
  <c r="H132" i="1"/>
  <c r="H894" i="1"/>
  <c r="H120" i="1"/>
  <c r="H253" i="1"/>
  <c r="H1203" i="1"/>
  <c r="H121" i="1"/>
  <c r="H788" i="1"/>
  <c r="H687" i="1"/>
  <c r="H90" i="1"/>
  <c r="H199" i="1"/>
  <c r="H272" i="1"/>
  <c r="H952" i="1"/>
  <c r="H214" i="1"/>
  <c r="H943" i="1"/>
  <c r="H627" i="1"/>
  <c r="H929" i="1"/>
  <c r="H100" i="1"/>
  <c r="H101" i="1"/>
  <c r="H834" i="1"/>
  <c r="H960" i="1"/>
  <c r="H366" i="1"/>
  <c r="H895" i="1"/>
  <c r="H1139" i="1"/>
  <c r="H215" i="1"/>
  <c r="H310" i="1"/>
  <c r="H634" i="1"/>
  <c r="H216" i="1"/>
  <c r="H953" i="1"/>
  <c r="H186" i="1"/>
  <c r="H269" i="1"/>
  <c r="H339" i="1"/>
  <c r="H205" i="1"/>
  <c r="H568" i="1"/>
  <c r="H1062" i="1"/>
  <c r="H472" i="1"/>
  <c r="H473" i="1"/>
  <c r="H340" i="1"/>
  <c r="H51" i="1"/>
  <c r="H52" i="1"/>
  <c r="H152" i="1"/>
  <c r="H607" i="1"/>
  <c r="H1129" i="1"/>
  <c r="H187" i="1"/>
  <c r="H1083" i="1"/>
  <c r="H572" i="1"/>
  <c r="H835" i="1"/>
  <c r="H969" i="1"/>
  <c r="H754" i="1"/>
  <c r="H177" i="1"/>
  <c r="H678" i="1"/>
  <c r="H133" i="1"/>
  <c r="H616" i="1"/>
  <c r="H1098" i="1"/>
  <c r="H861" i="1"/>
  <c r="H720" i="1"/>
  <c r="H1046" i="1"/>
  <c r="H1032" i="1"/>
  <c r="H200" i="1"/>
  <c r="H201" i="1"/>
  <c r="H401" i="1"/>
  <c r="H474" i="1"/>
  <c r="H70" i="1"/>
  <c r="H287" i="1"/>
  <c r="H475" i="1"/>
  <c r="H341" i="1"/>
  <c r="H145" i="1"/>
  <c r="H768" i="1"/>
  <c r="H1166" i="1"/>
  <c r="H1173" i="1"/>
  <c r="H961" i="1"/>
  <c r="H1043" i="1"/>
  <c r="H476" i="1"/>
  <c r="H573" i="1"/>
  <c r="H583" i="1"/>
  <c r="H477" i="1"/>
  <c r="H537" i="1"/>
  <c r="H1086" i="1"/>
  <c r="H633" i="1"/>
  <c r="H656" i="1"/>
  <c r="H293" i="1"/>
  <c r="H21" i="1"/>
  <c r="H342" i="1"/>
  <c r="H681" i="1"/>
  <c r="H758" i="1"/>
  <c r="H122" i="1"/>
  <c r="H402" i="1"/>
  <c r="H31" i="1"/>
  <c r="H32" i="1"/>
  <c r="H745" i="1"/>
  <c r="H1199" i="1"/>
  <c r="H102" i="1"/>
  <c r="H403" i="1"/>
  <c r="H404" i="1"/>
  <c r="H1023" i="1"/>
  <c r="H1140" i="1"/>
  <c r="H478" i="1"/>
  <c r="H479" i="1"/>
  <c r="H194" i="1"/>
  <c r="H1167" i="1"/>
  <c r="H769" i="1"/>
  <c r="H912" i="1"/>
  <c r="H710" i="1"/>
  <c r="H962" i="1"/>
  <c r="H311" i="1"/>
  <c r="H635" i="1"/>
  <c r="H480" i="1"/>
  <c r="H1087" i="1"/>
  <c r="H206" i="1"/>
  <c r="H9" i="1"/>
  <c r="H608" i="1"/>
  <c r="H617" i="1"/>
  <c r="H913" i="1"/>
  <c r="H770" i="1"/>
  <c r="H1194" i="1"/>
  <c r="H1124" i="1"/>
  <c r="H481" i="1"/>
  <c r="H482" i="1"/>
  <c r="H483" i="1"/>
  <c r="H836" i="1"/>
  <c r="H484" i="1"/>
  <c r="H485" i="1"/>
  <c r="H486" i="1"/>
  <c r="H1141" i="1"/>
  <c r="H692" i="1"/>
  <c r="H618" i="1"/>
  <c r="H1125" i="1"/>
  <c r="H273" i="1"/>
  <c r="H1150" i="1"/>
  <c r="H837" i="1"/>
  <c r="H653" i="1"/>
  <c r="H239" i="1"/>
  <c r="H538" i="1"/>
  <c r="H190" i="1"/>
  <c r="H202" i="1"/>
  <c r="H529" i="1"/>
  <c r="H584" i="1"/>
  <c r="H405" i="1"/>
  <c r="H746" i="1"/>
  <c r="H381" i="1"/>
  <c r="H424" i="1"/>
  <c r="H487" i="1"/>
  <c r="H488" i="1"/>
  <c r="H288" i="1"/>
  <c r="H435" i="1"/>
  <c r="H737" i="1"/>
  <c r="H71" i="1"/>
  <c r="H217" i="1"/>
  <c r="H970" i="1"/>
  <c r="H489" i="1"/>
  <c r="H882" i="1"/>
  <c r="H679" i="1"/>
  <c r="H771" i="1"/>
  <c r="H15" i="1"/>
  <c r="H490" i="1"/>
  <c r="H1142" i="1"/>
  <c r="H428" i="1"/>
  <c r="H436" i="1"/>
  <c r="H437" i="1"/>
  <c r="H33" i="1"/>
  <c r="H574" i="1"/>
  <c r="H438" i="1"/>
  <c r="H294" i="1"/>
  <c r="H657" i="1"/>
  <c r="H862" i="1"/>
  <c r="H1017" i="1"/>
  <c r="H439" i="1"/>
  <c r="H274" i="1"/>
  <c r="H111" i="1"/>
  <c r="H295" i="1"/>
  <c r="H527" i="1"/>
  <c r="H1187" i="1"/>
  <c r="H312" i="1"/>
  <c r="H628" i="1"/>
  <c r="H72" i="1"/>
  <c r="H425" i="1"/>
  <c r="H772" i="1"/>
  <c r="H263" i="1"/>
  <c r="H773" i="1"/>
  <c r="H585" i="1"/>
  <c r="H406" i="1"/>
  <c r="H452" i="1"/>
  <c r="H1188" i="1"/>
  <c r="H838" i="1"/>
  <c r="H229" i="1"/>
  <c r="H586" i="1"/>
  <c r="H799" i="1"/>
  <c r="H1204" i="1"/>
  <c r="H1143" i="1"/>
  <c r="H1047" i="1"/>
  <c r="H1184" i="1"/>
  <c r="H1114" i="1"/>
  <c r="H1185" i="1"/>
  <c r="H680" i="1"/>
  <c r="H587" i="1"/>
  <c r="H588" i="1"/>
  <c r="H227" i="1"/>
  <c r="H637" i="1"/>
  <c r="H491" i="1"/>
  <c r="H382" i="1"/>
  <c r="H383" i="1"/>
  <c r="H963" i="1"/>
  <c r="H492" i="1"/>
  <c r="H343" i="1"/>
  <c r="H153" i="1"/>
  <c r="H693" i="1"/>
  <c r="H407" i="1"/>
  <c r="H154" i="1"/>
  <c r="H408" i="1"/>
  <c r="H914" i="1"/>
  <c r="H1024" i="1"/>
  <c r="H493" i="1"/>
  <c r="H682" i="1"/>
  <c r="H53" i="1"/>
  <c r="H494" i="1"/>
  <c r="H18" i="1"/>
  <c r="H603" i="1"/>
  <c r="H747" i="1"/>
  <c r="H694" i="1"/>
  <c r="H915" i="1"/>
  <c r="H883" i="1"/>
  <c r="H155" i="1"/>
  <c r="H495" i="1"/>
  <c r="H575" i="1"/>
  <c r="H576" i="1"/>
  <c r="H240" i="1"/>
  <c r="H1157" i="1"/>
  <c r="H218" i="1"/>
  <c r="H264" i="1"/>
  <c r="H34" i="1"/>
  <c r="H344" i="1"/>
  <c r="H738" i="1"/>
  <c r="H7" i="1"/>
  <c r="H1040" i="1"/>
  <c r="H916" i="1"/>
  <c r="H496" i="1"/>
  <c r="H896" i="1"/>
  <c r="H35" i="1"/>
  <c r="H207" i="1"/>
  <c r="H36" i="1"/>
  <c r="H497" i="1"/>
  <c r="H178" i="1"/>
  <c r="H789" i="1"/>
  <c r="H539" i="1"/>
  <c r="H721" i="1"/>
  <c r="H73" i="1"/>
  <c r="H284" i="1"/>
  <c r="H241" i="1"/>
  <c r="H873" i="1"/>
  <c r="H863" i="1"/>
  <c r="H1044" i="1"/>
  <c r="H610" i="1"/>
  <c r="H1192" i="1"/>
  <c r="H636" i="1"/>
  <c r="H112" i="1"/>
  <c r="H285" i="1"/>
  <c r="H259" i="1"/>
  <c r="H498" i="1"/>
  <c r="H499" i="1"/>
  <c r="H134" i="1"/>
  <c r="H790" i="1"/>
  <c r="H37" i="1"/>
  <c r="H500" i="1"/>
  <c r="H345" i="1"/>
  <c r="H38" i="1"/>
  <c r="H501" i="1"/>
  <c r="H286" i="1"/>
  <c r="H116" i="1"/>
  <c r="H242" i="1"/>
  <c r="H243" i="1"/>
  <c r="H426" i="1"/>
  <c r="H246" i="1"/>
  <c r="H774" i="1"/>
  <c r="H265" i="1"/>
  <c r="H1099" i="1"/>
  <c r="H74" i="1"/>
  <c r="H827" i="1"/>
  <c r="H839" i="1"/>
  <c r="H805" i="1"/>
  <c r="H540" i="1"/>
  <c r="H964" i="1"/>
  <c r="H39" i="1"/>
  <c r="H502" i="1"/>
  <c r="H409" i="1"/>
  <c r="H503" i="1"/>
  <c r="H346" i="1"/>
  <c r="H410" i="1"/>
  <c r="H156" i="1"/>
  <c r="H54" i="1"/>
  <c r="H347" i="1"/>
  <c r="H411" i="1"/>
  <c r="H412" i="1"/>
  <c r="H1117" i="1"/>
  <c r="H1050" i="1"/>
  <c r="H413" i="1"/>
  <c r="H313" i="1"/>
  <c r="H864" i="1"/>
  <c r="H981" i="1"/>
  <c r="H722" i="1"/>
  <c r="H1073" i="1"/>
  <c r="H414" i="1"/>
  <c r="H999" i="1"/>
  <c r="H917" i="1"/>
  <c r="H1019" i="1"/>
  <c r="H166" i="1"/>
  <c r="H219" i="1"/>
  <c r="H157" i="1"/>
  <c r="H348" i="1"/>
  <c r="H40" i="1"/>
  <c r="H22" i="1"/>
  <c r="H55" i="1"/>
  <c r="H349" i="1"/>
  <c r="H350" i="1"/>
  <c r="H351" i="1"/>
  <c r="H266" i="1"/>
  <c r="H56" i="1"/>
  <c r="H1025" i="1"/>
  <c r="H267" i="1"/>
  <c r="H373" i="1"/>
  <c r="H988" i="1"/>
  <c r="H897" i="1"/>
  <c r="H971" i="1"/>
  <c r="H865" i="1"/>
  <c r="H638" i="1"/>
  <c r="H1001" i="1"/>
  <c r="H748" i="1"/>
  <c r="H415" i="1"/>
  <c r="H260" i="1"/>
  <c r="H1074" i="1"/>
  <c r="H416" i="1"/>
  <c r="H541" i="1"/>
  <c r="H23" i="1"/>
  <c r="H352" i="1"/>
  <c r="H353" i="1"/>
  <c r="H354" i="1"/>
  <c r="H355" i="1"/>
  <c r="H57" i="1"/>
  <c r="H356" i="1"/>
  <c r="H75" i="1"/>
  <c r="H504" i="1"/>
  <c r="H601" i="1"/>
  <c r="H866" i="1"/>
  <c r="H26" i="1"/>
  <c r="H268" i="1"/>
  <c r="H930" i="1"/>
  <c r="H664" i="1"/>
  <c r="H755" i="1"/>
  <c r="H505" i="1"/>
  <c r="H1051" i="1"/>
  <c r="H275" i="1"/>
  <c r="H723" i="1"/>
  <c r="H542" i="1"/>
  <c r="H389" i="1"/>
  <c r="H390" i="1"/>
  <c r="H724" i="1"/>
  <c r="H937" i="1"/>
  <c r="H357" i="1"/>
  <c r="H220" i="1"/>
  <c r="H1052" i="1"/>
  <c r="H93" i="1"/>
  <c r="H1053" i="1"/>
  <c r="H384" i="1"/>
  <c r="H326" i="1"/>
  <c r="H13" i="1"/>
  <c r="H41" i="1"/>
  <c r="H42" i="1"/>
  <c r="H530" i="1"/>
  <c r="H254" i="1"/>
  <c r="H695" i="1"/>
  <c r="H88" i="1"/>
  <c r="H144" i="1"/>
  <c r="H367" i="1"/>
  <c r="H619" i="1"/>
  <c r="H368" i="1"/>
  <c r="H639" i="1"/>
  <c r="H640" i="1"/>
  <c r="H76" i="1"/>
  <c r="H620" i="1"/>
  <c r="H791" i="1"/>
  <c r="H314" i="1"/>
  <c r="H965" i="1"/>
  <c r="H43" i="1"/>
  <c r="H44" i="1"/>
  <c r="H45" i="1"/>
  <c r="H1048" i="1"/>
  <c r="H629" i="1"/>
  <c r="H315" i="1"/>
  <c r="H822" i="1"/>
  <c r="H208" i="1"/>
  <c r="H1015" i="1"/>
  <c r="H784" i="1"/>
  <c r="H641" i="1"/>
  <c r="H270" i="1"/>
  <c r="H316" i="1"/>
  <c r="H569" i="1"/>
  <c r="H725" i="1"/>
  <c r="H665" i="1"/>
  <c r="H796" i="1"/>
  <c r="H666" i="1"/>
  <c r="H954" i="1"/>
  <c r="H898" i="1"/>
  <c r="H276" i="1"/>
  <c r="H440" i="1"/>
  <c r="H172" i="1"/>
  <c r="H800" i="1"/>
  <c r="H543" i="1"/>
  <c r="H417" i="1"/>
  <c r="H418" i="1"/>
  <c r="H683" i="1"/>
  <c r="H506" i="1"/>
  <c r="H507" i="1"/>
  <c r="H972" i="1"/>
  <c r="H508" i="1"/>
  <c r="H853" i="1"/>
  <c r="H958" i="1"/>
  <c r="H892" i="1"/>
  <c r="H918" i="1"/>
  <c r="H982" i="1"/>
  <c r="H867" i="1"/>
  <c r="H441" i="1"/>
  <c r="H919" i="1"/>
  <c r="H775" i="1"/>
  <c r="H650" i="1"/>
  <c r="H317" i="1"/>
  <c r="H1075" i="1"/>
  <c r="H146" i="1"/>
  <c r="H24" i="1"/>
  <c r="H989" i="1"/>
  <c r="H621" i="1"/>
  <c r="H1026" i="1"/>
  <c r="H776" i="1"/>
  <c r="H509" i="1"/>
  <c r="H46" i="1"/>
  <c r="H510" i="1"/>
  <c r="H511" i="1"/>
  <c r="H512" i="1"/>
  <c r="H513" i="1"/>
  <c r="H514" i="1"/>
  <c r="H515" i="1"/>
  <c r="H516" i="1"/>
  <c r="H517" i="1"/>
  <c r="H518" i="1"/>
  <c r="H1020" i="1"/>
  <c r="H1039" i="1"/>
  <c r="H920" i="1"/>
  <c r="H884" i="1"/>
  <c r="H135" i="1"/>
  <c r="H667" i="1"/>
  <c r="H19" i="1"/>
  <c r="H993" i="1"/>
  <c r="H221" i="1"/>
  <c r="H798" i="1"/>
  <c r="H1168" i="1"/>
  <c r="H230" i="1"/>
  <c r="H830" i="1"/>
  <c r="H642" i="1"/>
  <c r="H868" i="1"/>
  <c r="H1093" i="1"/>
  <c r="H222" i="1"/>
  <c r="H823" i="1"/>
  <c r="H978" i="1"/>
  <c r="H643" i="1"/>
  <c r="H973" i="1"/>
  <c r="H519" i="1"/>
  <c r="H77" i="1"/>
  <c r="H806" i="1"/>
  <c r="H255" i="1"/>
  <c r="H256" i="1"/>
  <c r="H520" i="1"/>
  <c r="H521" i="1"/>
  <c r="H1158" i="1"/>
  <c r="H944" i="1"/>
  <c r="H945" i="1"/>
  <c r="H544" i="1"/>
  <c r="H257" i="1"/>
  <c r="H258" i="1"/>
  <c r="H545" i="1"/>
  <c r="H179" i="1"/>
  <c r="H696" i="1"/>
  <c r="H78" i="1"/>
  <c r="H522" i="1"/>
  <c r="H358" i="1"/>
  <c r="H79" i="1"/>
  <c r="H247" i="1"/>
  <c r="H244" i="1"/>
  <c r="H622" i="1"/>
  <c r="H623" i="1"/>
  <c r="H419" i="1"/>
  <c r="H58" i="1"/>
  <c r="H80" i="1"/>
  <c r="H81" i="1"/>
  <c r="H624" i="1"/>
  <c r="H359" i="1"/>
  <c r="H6" i="1"/>
  <c r="H82" i="1"/>
  <c r="H277" i="1"/>
  <c r="H1134" i="1"/>
  <c r="H974" i="1"/>
  <c r="H840" i="1"/>
  <c r="H801" i="1"/>
  <c r="H668" i="1"/>
  <c r="H1009" i="1"/>
  <c r="H420" i="1"/>
  <c r="H749" i="1"/>
  <c r="H946" i="1"/>
  <c r="H931" i="1"/>
  <c r="H546" i="1"/>
  <c r="H797" i="1"/>
  <c r="H994" i="1"/>
  <c r="H589" i="1"/>
  <c r="H1010" i="1"/>
  <c r="H1146" i="1"/>
  <c r="H750" i="1"/>
  <c r="H245" i="1"/>
  <c r="H947" i="1"/>
  <c r="H734" i="1"/>
  <c r="H936" i="1"/>
  <c r="H547" i="1"/>
  <c r="H1110" i="1"/>
  <c r="H899" i="1"/>
  <c r="H995" i="1"/>
  <c r="H733" i="1"/>
  <c r="H1179" i="1"/>
  <c r="H849" i="1"/>
  <c r="H1076" i="1"/>
  <c r="H904" i="1"/>
  <c r="H1111" i="1"/>
  <c r="H548" i="1"/>
  <c r="H979" i="1"/>
  <c r="H203" i="1"/>
  <c r="H1180" i="1"/>
  <c r="H1094" i="1"/>
  <c r="H86" i="1"/>
  <c r="H1151" i="1"/>
  <c r="H802" i="1"/>
  <c r="H659" i="1"/>
  <c r="H318" i="1"/>
  <c r="H180" i="1"/>
  <c r="H1021" i="1"/>
  <c r="H136" i="1"/>
  <c r="H785" i="1"/>
  <c r="H649" i="1"/>
  <c r="H1152" i="1"/>
  <c r="H900" i="1"/>
  <c r="H751" i="1"/>
  <c r="H874" i="1"/>
  <c r="H1077" i="1"/>
  <c r="H1144" i="1"/>
  <c r="H147" i="1"/>
  <c r="H442" i="1"/>
  <c r="H1036" i="1"/>
  <c r="H167" i="1"/>
  <c r="H391" i="1"/>
  <c r="H1054" i="1"/>
  <c r="H1088" i="1"/>
  <c r="H1126" i="1"/>
  <c r="H957" i="1"/>
  <c r="H113" i="1"/>
  <c r="H1037" i="1"/>
  <c r="H549" i="1"/>
  <c r="H726" i="1"/>
  <c r="H697" i="1"/>
  <c r="H392" i="1"/>
  <c r="H727" i="1"/>
  <c r="H550" i="1"/>
  <c r="H551" i="1"/>
  <c r="H669" i="1"/>
  <c r="H231" i="1"/>
  <c r="H670" i="1"/>
  <c r="H319" i="1"/>
  <c r="H885" i="1"/>
  <c r="H385" i="1"/>
  <c r="H886" i="1"/>
  <c r="H807" i="1"/>
  <c r="H443" i="1"/>
  <c r="H887" i="1"/>
  <c r="H566" i="1"/>
  <c r="H386" i="1"/>
  <c r="H1100" i="1"/>
  <c r="H209" i="1"/>
  <c r="H89" i="1"/>
  <c r="H590" i="1"/>
  <c r="H983" i="1"/>
  <c r="H114" i="1"/>
  <c r="H921" i="1"/>
  <c r="H296" i="1"/>
  <c r="H297" i="1"/>
  <c r="H298" i="1"/>
  <c r="H728" i="1"/>
  <c r="H429" i="1"/>
  <c r="H1000" i="1"/>
  <c r="H990" i="1"/>
  <c r="H841" i="1"/>
  <c r="H777" i="1"/>
  <c r="H998" i="1"/>
  <c r="H808" i="1"/>
  <c r="H444" i="1"/>
  <c r="H1011" i="1"/>
  <c r="H1101" i="1"/>
  <c r="H261" i="1"/>
  <c r="H1102" i="1"/>
  <c r="H842" i="1"/>
  <c r="H757" i="1"/>
  <c r="H278" i="1"/>
  <c r="H1181" i="1"/>
  <c r="H686" i="1"/>
  <c r="H591" i="1"/>
  <c r="H1127" i="1"/>
  <c r="H279" i="1"/>
  <c r="H1169" i="1"/>
  <c r="H393" i="1"/>
  <c r="H922" i="1"/>
  <c r="H1016" i="1"/>
  <c r="H843" i="1"/>
  <c r="H137" i="1"/>
  <c r="H1041" i="1"/>
  <c r="H809" i="1"/>
  <c r="H923" i="1"/>
  <c r="H967" i="1"/>
  <c r="H968" i="1"/>
  <c r="H158" i="1"/>
  <c r="H262" i="1"/>
  <c r="H83" i="1"/>
  <c r="H1055" i="1"/>
  <c r="H1056" i="1"/>
  <c r="H1057" i="1"/>
  <c r="H1058" i="1"/>
  <c r="H59" i="1"/>
  <c r="H223" i="1"/>
  <c r="H901" i="1"/>
  <c r="H902" i="1"/>
  <c r="H592" i="1"/>
  <c r="H374" i="1"/>
  <c r="H593" i="1"/>
  <c r="H299" i="1"/>
  <c r="H552" i="1"/>
  <c r="H300" i="1"/>
  <c r="H394" i="1"/>
  <c r="H553" i="1"/>
  <c r="H554" i="1"/>
  <c r="H232" i="1"/>
  <c r="H233" i="1"/>
  <c r="H234" i="1"/>
  <c r="H235" i="1"/>
  <c r="H567" i="1"/>
  <c r="H810" i="1"/>
  <c r="H594" i="1"/>
  <c r="H445" i="1"/>
  <c r="H303" i="1"/>
  <c r="H996" i="1"/>
  <c r="H138" i="1"/>
  <c r="H932" i="1"/>
  <c r="H570" i="1"/>
  <c r="H139" i="1"/>
  <c r="H181" i="1"/>
  <c r="H938" i="1"/>
  <c r="H1045" i="1"/>
  <c r="H1038" i="1"/>
  <c r="H182" i="1"/>
  <c r="H446" i="1"/>
  <c r="H948" i="1"/>
  <c r="H1195" i="1"/>
  <c r="H430" i="1"/>
  <c r="H878" i="1"/>
  <c r="H168" i="1"/>
  <c r="H1112" i="1"/>
  <c r="H997" i="1"/>
  <c r="H236" i="1"/>
  <c r="H555" i="1"/>
  <c r="H1176" i="1"/>
  <c r="H778" i="1"/>
  <c r="H183" i="1"/>
  <c r="H237" i="1"/>
  <c r="H854" i="1"/>
  <c r="H779" i="1"/>
  <c r="H933" i="1"/>
  <c r="H1183" i="1"/>
  <c r="H421" i="1"/>
  <c r="H532" i="1"/>
  <c r="H869" i="1"/>
  <c r="H595" i="1"/>
  <c r="H280" i="1"/>
  <c r="H851" i="1"/>
  <c r="H60" i="1"/>
  <c r="H811" i="1"/>
  <c r="H320" i="1"/>
  <c r="H1003" i="1"/>
  <c r="H698" i="1"/>
  <c r="H699" i="1"/>
  <c r="H934" i="1"/>
  <c r="H1145" i="1"/>
  <c r="H1103" i="1"/>
  <c r="H556" i="1"/>
  <c r="H924" i="1"/>
  <c r="H780" i="1"/>
  <c r="H95" i="1"/>
  <c r="H103" i="1"/>
  <c r="H104" i="1"/>
  <c r="H96" i="1"/>
  <c r="H97" i="1"/>
  <c r="H98" i="1"/>
  <c r="H1004" i="1"/>
  <c r="H966" i="1"/>
  <c r="H1178" i="1"/>
  <c r="H1200" i="1"/>
  <c r="H1078" i="1"/>
  <c r="H812" i="1"/>
  <c r="H301" i="1"/>
  <c r="H644" i="1"/>
  <c r="H169" i="1"/>
  <c r="H281" i="1"/>
  <c r="H671" i="1"/>
  <c r="H729" i="1"/>
  <c r="H875" i="1"/>
  <c r="H855" i="1"/>
  <c r="H844" i="1"/>
  <c r="H856" i="1"/>
  <c r="H672" i="1"/>
  <c r="H648" i="1"/>
  <c r="H523" i="1"/>
  <c r="H25" i="1"/>
  <c r="H949" i="1"/>
  <c r="H184" i="1"/>
  <c r="H1153" i="1"/>
  <c r="H16" i="1"/>
  <c r="H1027" i="1"/>
  <c r="H1104" i="1"/>
  <c r="H1170" i="1"/>
  <c r="H224" i="1"/>
  <c r="H524" i="1"/>
  <c r="H781" i="1"/>
  <c r="H1079" i="1"/>
  <c r="H304" i="1"/>
  <c r="H148" i="1"/>
  <c r="H782" i="1"/>
  <c r="H431" i="1"/>
  <c r="H282" i="1"/>
  <c r="H673" i="1"/>
  <c r="H596" i="1"/>
  <c r="H674" i="1"/>
  <c r="H906" i="1"/>
  <c r="H289" i="1"/>
  <c r="H115" i="1"/>
  <c r="H700" i="1"/>
  <c r="H685" i="1"/>
  <c r="H1105" i="1"/>
  <c r="H360" i="1"/>
  <c r="H422" i="1"/>
  <c r="H675" i="1"/>
  <c r="H302" i="1"/>
  <c r="H375" i="1"/>
  <c r="H361" i="1"/>
  <c r="H557" i="1"/>
  <c r="H387" i="1"/>
  <c r="H362" i="1"/>
  <c r="H925" i="1"/>
  <c r="H1130" i="1"/>
  <c r="H159" i="1"/>
  <c r="H571" i="1"/>
  <c r="H845" i="1"/>
  <c r="H160" i="1"/>
  <c r="H604" i="1"/>
  <c r="H61" i="1"/>
  <c r="H705" i="1"/>
  <c r="H706" i="1"/>
  <c r="H707" i="1"/>
  <c r="H708" i="1"/>
  <c r="H709" i="1"/>
  <c r="H609" i="1"/>
  <c r="H939" i="1"/>
  <c r="H1033" i="1"/>
  <c r="H321" i="1"/>
  <c r="H984" i="1"/>
  <c r="H926" i="1"/>
  <c r="H327" i="1"/>
  <c r="H630" i="1"/>
  <c r="H955" i="1"/>
  <c r="H1162" i="1"/>
  <c r="H94" i="1"/>
  <c r="H432" i="1"/>
  <c r="H91" i="1"/>
  <c r="H14" i="1"/>
  <c r="H879" i="1"/>
  <c r="H711" i="1"/>
  <c r="H631" i="1"/>
  <c r="H828" i="1"/>
  <c r="H388" i="1"/>
  <c r="H1063" i="1"/>
  <c r="H84" i="1"/>
  <c r="H1012" i="1"/>
  <c r="H1028" i="1"/>
  <c r="H140" i="1"/>
  <c r="H927" i="1"/>
  <c r="H1128" i="1"/>
  <c r="H1013" i="1"/>
  <c r="H1182" i="1"/>
  <c r="H1132" i="1"/>
  <c r="H676" i="1"/>
  <c r="H1089" i="1"/>
  <c r="H831" i="1"/>
  <c r="H905" i="1"/>
  <c r="H11" i="1"/>
  <c r="H1095" i="1"/>
  <c r="H625" i="1"/>
  <c r="H645" i="1"/>
  <c r="H1118" i="1"/>
  <c r="H558" i="1"/>
  <c r="H447" i="1"/>
  <c r="H305" i="1"/>
  <c r="H626" i="1"/>
  <c r="H448" i="1"/>
  <c r="H449" i="1"/>
  <c r="H450" i="1"/>
  <c r="H531" i="1"/>
  <c r="H376" i="1"/>
  <c r="H1119" i="1"/>
  <c r="H597" i="1"/>
  <c r="H752" i="1"/>
  <c r="H824" i="1"/>
  <c r="H559" i="1"/>
  <c r="H730" i="1"/>
  <c r="H876" i="1"/>
  <c r="H1201" i="1"/>
  <c r="H975" i="1"/>
  <c r="H322" i="1"/>
  <c r="H1189" i="1"/>
  <c r="H323" i="1"/>
  <c r="H793" i="1"/>
  <c r="H985" i="1"/>
  <c r="H986" i="1"/>
  <c r="H225" i="1"/>
  <c r="H188" i="1"/>
  <c r="H62" i="1"/>
  <c r="H991" i="1"/>
  <c r="H850" i="1"/>
  <c r="H1031" i="1"/>
  <c r="H888" i="1"/>
  <c r="H889" i="1"/>
  <c r="H846" i="1"/>
  <c r="H857" i="1"/>
  <c r="H560" i="1"/>
  <c r="H525" i="1"/>
  <c r="H526" i="1"/>
  <c r="H646" i="1"/>
  <c r="H825" i="1"/>
  <c r="H105" i="1"/>
  <c r="H826" i="1"/>
  <c r="H1120" i="1"/>
  <c r="H1113" i="1"/>
  <c r="H753" i="1"/>
  <c r="H561" i="1"/>
  <c r="H1029" i="1"/>
  <c r="H870" i="1"/>
  <c r="H1135" i="1"/>
  <c r="H1080" i="1"/>
  <c r="H859" i="1"/>
  <c r="H598" i="1"/>
  <c r="H161" i="1"/>
  <c r="H451" i="1"/>
  <c r="H17" i="1"/>
  <c r="H1060" i="1"/>
  <c r="H847" i="1"/>
  <c r="H1061" i="1"/>
  <c r="H794" i="1"/>
  <c r="H813" i="1"/>
  <c r="H701" i="1"/>
  <c r="H731" i="1"/>
  <c r="H647" i="1"/>
  <c r="H324" i="1"/>
  <c r="H890" i="1"/>
  <c r="H1081" i="1"/>
  <c r="H987" i="1"/>
  <c r="H688" i="1"/>
  <c r="H903" i="1"/>
  <c r="H880" i="1"/>
  <c r="H1106" i="1"/>
  <c r="H141" i="1"/>
  <c r="H599" i="1"/>
  <c r="H1084" i="1"/>
  <c r="H562" i="1"/>
  <c r="H1082" i="1"/>
  <c r="H377" i="1"/>
  <c r="H170" i="1"/>
  <c r="H378" i="1"/>
  <c r="H1115" i="1"/>
  <c r="H123" i="1"/>
  <c r="H563" i="1"/>
  <c r="H427" i="1"/>
  <c r="H189" i="1"/>
  <c r="H783" i="1"/>
  <c r="H1190" i="1"/>
  <c r="H1059" i="1"/>
  <c r="H171" i="1"/>
  <c r="H756" i="1"/>
  <c r="H732" i="1"/>
  <c r="H369" i="1"/>
  <c r="H64" i="1"/>
  <c r="H142" i="1"/>
  <c r="H1131" i="1"/>
  <c r="H1014" i="1"/>
  <c r="H891" i="1"/>
  <c r="H162" i="1"/>
  <c r="H1121" i="1"/>
  <c r="H63" i="1"/>
  <c r="H306" i="1"/>
  <c r="H848" i="1"/>
  <c r="H290" i="1"/>
  <c r="G1133" i="1"/>
  <c r="G1137" i="1"/>
  <c r="G712" i="1"/>
  <c r="G606" i="1"/>
  <c r="G740" i="1"/>
  <c r="G871" i="1"/>
  <c r="G786" i="1"/>
  <c r="G395" i="1"/>
  <c r="G1065" i="1"/>
  <c r="G1191" i="1"/>
  <c r="G1149" i="1"/>
  <c r="G164" i="1"/>
  <c r="G433" i="1"/>
  <c r="G818" i="1"/>
  <c r="G228" i="1"/>
  <c r="G612" i="1"/>
  <c r="G204" i="1"/>
  <c r="G654" i="1"/>
  <c r="G325" i="1"/>
  <c r="G92" i="1"/>
  <c r="G677" i="1"/>
  <c r="G8" i="1"/>
  <c r="G12" i="1"/>
  <c r="G1177" i="1"/>
  <c r="G396" i="1"/>
  <c r="G1090" i="1"/>
  <c r="G195" i="1"/>
  <c r="G1163" i="1"/>
  <c r="G819" i="1"/>
  <c r="G660" i="1"/>
  <c r="G328" i="1"/>
  <c r="G47" i="1"/>
  <c r="G27" i="1"/>
  <c r="G528" i="1"/>
  <c r="G760" i="1"/>
  <c r="G1108" i="1"/>
  <c r="G87" i="1"/>
  <c r="G976" i="1"/>
  <c r="G453" i="1"/>
  <c r="G454" i="1"/>
  <c r="G980" i="1"/>
  <c r="G613" i="1"/>
  <c r="G893" i="1"/>
  <c r="G702" i="1"/>
  <c r="G803" i="1"/>
  <c r="G1006" i="1"/>
  <c r="G248" i="1"/>
  <c r="G173" i="1"/>
  <c r="G1030" i="1"/>
  <c r="G65" i="1"/>
  <c r="G124" i="1"/>
  <c r="G397" i="1"/>
  <c r="G1002" i="1"/>
  <c r="G578" i="1"/>
  <c r="G1066" i="1"/>
  <c r="G1155" i="1"/>
  <c r="G533" i="1"/>
  <c r="G661" i="1"/>
  <c r="G106" i="1"/>
  <c r="G1148" i="1"/>
  <c r="G370" i="1"/>
  <c r="G1034" i="1"/>
  <c r="G761" i="1"/>
  <c r="G1096" i="1"/>
  <c r="G792" i="1"/>
  <c r="G829" i="1"/>
  <c r="G762" i="1"/>
  <c r="G658" i="1"/>
  <c r="G662" i="1"/>
  <c r="G191" i="1"/>
  <c r="G804" i="1"/>
  <c r="G1164" i="1"/>
  <c r="G935" i="1"/>
  <c r="G1067" i="1"/>
  <c r="G149" i="1"/>
  <c r="G249" i="1"/>
  <c r="G940" i="1"/>
  <c r="G174" i="1"/>
  <c r="G795" i="1"/>
  <c r="G117" i="1"/>
  <c r="G577" i="1"/>
  <c r="G66" i="1"/>
  <c r="G579" i="1"/>
  <c r="G125" i="1"/>
  <c r="G455" i="1"/>
  <c r="G456" i="1"/>
  <c r="G816" i="1"/>
  <c r="G457" i="1"/>
  <c r="G210" i="1"/>
  <c r="G759" i="1"/>
  <c r="G238" i="1"/>
  <c r="G1161" i="1"/>
  <c r="G950" i="1"/>
  <c r="G1159" i="1"/>
  <c r="G763" i="1"/>
  <c r="G1116" i="1"/>
  <c r="G1107" i="1"/>
  <c r="G1049" i="1"/>
  <c r="G1042" i="1"/>
  <c r="G250" i="1"/>
  <c r="G1085" i="1"/>
  <c r="G1197" i="1"/>
  <c r="G329" i="1"/>
  <c r="G398" i="1"/>
  <c r="G330" i="1"/>
  <c r="G331" i="1"/>
  <c r="G28" i="1"/>
  <c r="G741" i="1"/>
  <c r="G713" i="1"/>
  <c r="G458" i="1"/>
  <c r="G739" i="1"/>
  <c r="G736" i="1"/>
  <c r="G951" i="1"/>
  <c r="G271" i="1"/>
  <c r="G211" i="1"/>
  <c r="G907" i="1"/>
  <c r="G1154" i="1"/>
  <c r="G908" i="1"/>
  <c r="G1193" i="1"/>
  <c r="G632" i="1"/>
  <c r="G703" i="1"/>
  <c r="G1147" i="1"/>
  <c r="G185" i="1"/>
  <c r="G820" i="1"/>
  <c r="G764" i="1"/>
  <c r="G956" i="1"/>
  <c r="G605" i="1"/>
  <c r="G212" i="1"/>
  <c r="G126" i="1"/>
  <c r="G787" i="1"/>
  <c r="G534" i="1"/>
  <c r="G127" i="1"/>
  <c r="G107" i="1"/>
  <c r="G251" i="1"/>
  <c r="G143" i="1"/>
  <c r="G1068" i="1"/>
  <c r="G832" i="1"/>
  <c r="G742" i="1"/>
  <c r="G663" i="1"/>
  <c r="G1064" i="1"/>
  <c r="G814" i="1"/>
  <c r="G459" i="1"/>
  <c r="G928" i="1"/>
  <c r="G363" i="1"/>
  <c r="G29" i="1"/>
  <c r="G655" i="1"/>
  <c r="G364" i="1"/>
  <c r="G580" i="1"/>
  <c r="G85" i="1"/>
  <c r="G941" i="1"/>
  <c r="G192" i="1"/>
  <c r="G252" i="1"/>
  <c r="G196" i="1"/>
  <c r="G460" i="1"/>
  <c r="G371" i="1"/>
  <c r="G399" i="1"/>
  <c r="G332" i="1"/>
  <c r="G400" i="1"/>
  <c r="G1172" i="1"/>
  <c r="G461" i="1"/>
  <c r="G877" i="1"/>
  <c r="G1186" i="1"/>
  <c r="G714" i="1"/>
  <c r="G1156" i="1"/>
  <c r="G197" i="1"/>
  <c r="G535" i="1"/>
  <c r="G689" i="1"/>
  <c r="G128" i="1"/>
  <c r="G614" i="1"/>
  <c r="G283" i="1"/>
  <c r="G20" i="1"/>
  <c r="G715" i="1"/>
  <c r="G704" i="1"/>
  <c r="G333" i="1"/>
  <c r="G150" i="1"/>
  <c r="G48" i="1"/>
  <c r="G67" i="1"/>
  <c r="G462" i="1"/>
  <c r="G379" i="1"/>
  <c r="G68" i="1"/>
  <c r="G1165" i="1"/>
  <c r="G175" i="1"/>
  <c r="G49" i="1"/>
  <c r="G581" i="1"/>
  <c r="G611" i="1"/>
  <c r="G690" i="1"/>
  <c r="G651" i="1"/>
  <c r="G602" i="1"/>
  <c r="G463" i="1"/>
  <c r="G464" i="1"/>
  <c r="G129" i="1"/>
  <c r="G1007" i="1"/>
  <c r="G1171" i="1"/>
  <c r="G380" i="1"/>
  <c r="G564" i="1"/>
  <c r="G308" i="1"/>
  <c r="G821" i="1"/>
  <c r="G365" i="1"/>
  <c r="G465" i="1"/>
  <c r="G334" i="1"/>
  <c r="G30" i="1"/>
  <c r="G765" i="1"/>
  <c r="G743" i="1"/>
  <c r="G872" i="1"/>
  <c r="G1196" i="1"/>
  <c r="G163" i="1"/>
  <c r="G909" i="1"/>
  <c r="G1109" i="1"/>
  <c r="G466" i="1"/>
  <c r="G582" i="1"/>
  <c r="G684" i="1"/>
  <c r="G213" i="1"/>
  <c r="G910" i="1"/>
  <c r="G193" i="1"/>
  <c r="G652" i="1"/>
  <c r="G565" i="1"/>
  <c r="G69" i="1"/>
  <c r="G1160" i="1"/>
  <c r="G860" i="1"/>
  <c r="G1122" i="1"/>
  <c r="G1069" i="1"/>
  <c r="G1022" i="1"/>
  <c r="G1091" i="1"/>
  <c r="G600" i="1"/>
  <c r="G691" i="1"/>
  <c r="G423" i="1"/>
  <c r="G108" i="1"/>
  <c r="G1198" i="1"/>
  <c r="G735" i="1"/>
  <c r="G99" i="1"/>
  <c r="G118" i="1"/>
  <c r="G1092" i="1"/>
  <c r="G198" i="1"/>
  <c r="G716" i="1"/>
  <c r="G130" i="1"/>
  <c r="G959" i="1"/>
  <c r="G852" i="1"/>
  <c r="G992" i="1"/>
  <c r="G1070" i="1"/>
  <c r="G717" i="1"/>
  <c r="G911" i="1"/>
  <c r="G1138" i="1"/>
  <c r="G1097" i="1"/>
  <c r="G176" i="1"/>
  <c r="G1175" i="1"/>
  <c r="G291" i="1"/>
  <c r="G292" i="1"/>
  <c r="G372" i="1"/>
  <c r="G10" i="1"/>
  <c r="G467" i="1"/>
  <c r="G119" i="1"/>
  <c r="G468" i="1"/>
  <c r="G109" i="1"/>
  <c r="G335" i="1"/>
  <c r="G336" i="1"/>
  <c r="G817" i="1"/>
  <c r="G151" i="1"/>
  <c r="G337" i="1"/>
  <c r="G942" i="1"/>
  <c r="G1008" i="1"/>
  <c r="G1005" i="1"/>
  <c r="G1123" i="1"/>
  <c r="G1035" i="1"/>
  <c r="G469" i="1"/>
  <c r="G536" i="1"/>
  <c r="G718" i="1"/>
  <c r="G833" i="1"/>
  <c r="G309" i="1"/>
  <c r="G1202" i="1"/>
  <c r="G766" i="1"/>
  <c r="G338" i="1"/>
  <c r="G131" i="1"/>
  <c r="G719" i="1"/>
  <c r="G1018" i="1"/>
  <c r="G1136" i="1"/>
  <c r="G815" i="1"/>
  <c r="G110" i="1"/>
  <c r="G881" i="1"/>
  <c r="G615" i="1"/>
  <c r="G165" i="1"/>
  <c r="G307" i="1"/>
  <c r="G744" i="1"/>
  <c r="G50" i="1"/>
  <c r="G1071" i="1"/>
  <c r="G1072" i="1"/>
  <c r="G858" i="1"/>
  <c r="G470" i="1"/>
  <c r="G471" i="1"/>
  <c r="G434" i="1"/>
  <c r="G767" i="1"/>
  <c r="G977" i="1"/>
  <c r="G226" i="1"/>
  <c r="G1174" i="1"/>
  <c r="G132" i="1"/>
  <c r="G894" i="1"/>
  <c r="G120" i="1"/>
  <c r="G253" i="1"/>
  <c r="G1203" i="1"/>
  <c r="G121" i="1"/>
  <c r="G788" i="1"/>
  <c r="G687" i="1"/>
  <c r="G90" i="1"/>
  <c r="G199" i="1"/>
  <c r="G272" i="1"/>
  <c r="G952" i="1"/>
  <c r="G214" i="1"/>
  <c r="G943" i="1"/>
  <c r="G627" i="1"/>
  <c r="G929" i="1"/>
  <c r="G100" i="1"/>
  <c r="G101" i="1"/>
  <c r="G834" i="1"/>
  <c r="G960" i="1"/>
  <c r="G366" i="1"/>
  <c r="G895" i="1"/>
  <c r="G1139" i="1"/>
  <c r="G215" i="1"/>
  <c r="G310" i="1"/>
  <c r="G634" i="1"/>
  <c r="G216" i="1"/>
  <c r="G953" i="1"/>
  <c r="G186" i="1"/>
  <c r="G269" i="1"/>
  <c r="G339" i="1"/>
  <c r="G205" i="1"/>
  <c r="G568" i="1"/>
  <c r="G1062" i="1"/>
  <c r="G472" i="1"/>
  <c r="G473" i="1"/>
  <c r="G340" i="1"/>
  <c r="G51" i="1"/>
  <c r="G52" i="1"/>
  <c r="G152" i="1"/>
  <c r="G607" i="1"/>
  <c r="G1129" i="1"/>
  <c r="G187" i="1"/>
  <c r="G1083" i="1"/>
  <c r="G572" i="1"/>
  <c r="G835" i="1"/>
  <c r="G969" i="1"/>
  <c r="G754" i="1"/>
  <c r="G177" i="1"/>
  <c r="G678" i="1"/>
  <c r="G133" i="1"/>
  <c r="G616" i="1"/>
  <c r="G1098" i="1"/>
  <c r="G861" i="1"/>
  <c r="G720" i="1"/>
  <c r="G1046" i="1"/>
  <c r="G1032" i="1"/>
  <c r="G200" i="1"/>
  <c r="G201" i="1"/>
  <c r="G401" i="1"/>
  <c r="G474" i="1"/>
  <c r="G70" i="1"/>
  <c r="G287" i="1"/>
  <c r="G475" i="1"/>
  <c r="G341" i="1"/>
  <c r="G145" i="1"/>
  <c r="G768" i="1"/>
  <c r="G1166" i="1"/>
  <c r="G1173" i="1"/>
  <c r="G961" i="1"/>
  <c r="G1043" i="1"/>
  <c r="G476" i="1"/>
  <c r="G573" i="1"/>
  <c r="G583" i="1"/>
  <c r="G477" i="1"/>
  <c r="G537" i="1"/>
  <c r="G1086" i="1"/>
  <c r="G633" i="1"/>
  <c r="G656" i="1"/>
  <c r="G293" i="1"/>
  <c r="G21" i="1"/>
  <c r="G342" i="1"/>
  <c r="G681" i="1"/>
  <c r="G758" i="1"/>
  <c r="G122" i="1"/>
  <c r="G402" i="1"/>
  <c r="G31" i="1"/>
  <c r="G32" i="1"/>
  <c r="G745" i="1"/>
  <c r="G1199" i="1"/>
  <c r="G102" i="1"/>
  <c r="G403" i="1"/>
  <c r="G404" i="1"/>
  <c r="G1023" i="1"/>
  <c r="G1140" i="1"/>
  <c r="G478" i="1"/>
  <c r="G479" i="1"/>
  <c r="G194" i="1"/>
  <c r="G1167" i="1"/>
  <c r="G769" i="1"/>
  <c r="G912" i="1"/>
  <c r="G710" i="1"/>
  <c r="G962" i="1"/>
  <c r="G311" i="1"/>
  <c r="G635" i="1"/>
  <c r="G480" i="1"/>
  <c r="G1087" i="1"/>
  <c r="G206" i="1"/>
  <c r="G9" i="1"/>
  <c r="G608" i="1"/>
  <c r="G617" i="1"/>
  <c r="G913" i="1"/>
  <c r="G770" i="1"/>
  <c r="G1194" i="1"/>
  <c r="G1124" i="1"/>
  <c r="G481" i="1"/>
  <c r="G482" i="1"/>
  <c r="G483" i="1"/>
  <c r="G836" i="1"/>
  <c r="G484" i="1"/>
  <c r="G485" i="1"/>
  <c r="G486" i="1"/>
  <c r="G1141" i="1"/>
  <c r="G692" i="1"/>
  <c r="G618" i="1"/>
  <c r="G1125" i="1"/>
  <c r="G273" i="1"/>
  <c r="G1150" i="1"/>
  <c r="G837" i="1"/>
  <c r="G653" i="1"/>
  <c r="G239" i="1"/>
  <c r="G538" i="1"/>
  <c r="G190" i="1"/>
  <c r="G202" i="1"/>
  <c r="G529" i="1"/>
  <c r="G584" i="1"/>
  <c r="G405" i="1"/>
  <c r="G746" i="1"/>
  <c r="G381" i="1"/>
  <c r="G424" i="1"/>
  <c r="G487" i="1"/>
  <c r="G488" i="1"/>
  <c r="G288" i="1"/>
  <c r="G435" i="1"/>
  <c r="G737" i="1"/>
  <c r="G71" i="1"/>
  <c r="G217" i="1"/>
  <c r="G970" i="1"/>
  <c r="G489" i="1"/>
  <c r="G882" i="1"/>
  <c r="G679" i="1"/>
  <c r="G771" i="1"/>
  <c r="G15" i="1"/>
  <c r="G490" i="1"/>
  <c r="G1142" i="1"/>
  <c r="G428" i="1"/>
  <c r="G436" i="1"/>
  <c r="G437" i="1"/>
  <c r="G33" i="1"/>
  <c r="G574" i="1"/>
  <c r="G438" i="1"/>
  <c r="G294" i="1"/>
  <c r="G657" i="1"/>
  <c r="G862" i="1"/>
  <c r="G1017" i="1"/>
  <c r="G439" i="1"/>
  <c r="G274" i="1"/>
  <c r="G111" i="1"/>
  <c r="G295" i="1"/>
  <c r="G527" i="1"/>
  <c r="G1187" i="1"/>
  <c r="G312" i="1"/>
  <c r="G628" i="1"/>
  <c r="G72" i="1"/>
  <c r="G425" i="1"/>
  <c r="G772" i="1"/>
  <c r="G263" i="1"/>
  <c r="G773" i="1"/>
  <c r="G585" i="1"/>
  <c r="G406" i="1"/>
  <c r="G452" i="1"/>
  <c r="G1188" i="1"/>
  <c r="G838" i="1"/>
  <c r="G229" i="1"/>
  <c r="G586" i="1"/>
  <c r="G799" i="1"/>
  <c r="G1204" i="1"/>
  <c r="G1143" i="1"/>
  <c r="G1047" i="1"/>
  <c r="G1184" i="1"/>
  <c r="G1114" i="1"/>
  <c r="G1185" i="1"/>
  <c r="G680" i="1"/>
  <c r="G587" i="1"/>
  <c r="G588" i="1"/>
  <c r="G227" i="1"/>
  <c r="G637" i="1"/>
  <c r="G491" i="1"/>
  <c r="G382" i="1"/>
  <c r="G383" i="1"/>
  <c r="G963" i="1"/>
  <c r="G492" i="1"/>
  <c r="G343" i="1"/>
  <c r="G153" i="1"/>
  <c r="G693" i="1"/>
  <c r="G407" i="1"/>
  <c r="G154" i="1"/>
  <c r="G408" i="1"/>
  <c r="G914" i="1"/>
  <c r="G1024" i="1"/>
  <c r="G493" i="1"/>
  <c r="G682" i="1"/>
  <c r="G53" i="1"/>
  <c r="G494" i="1"/>
  <c r="G18" i="1"/>
  <c r="G603" i="1"/>
  <c r="G747" i="1"/>
  <c r="G694" i="1"/>
  <c r="G915" i="1"/>
  <c r="G883" i="1"/>
  <c r="G155" i="1"/>
  <c r="G495" i="1"/>
  <c r="G575" i="1"/>
  <c r="G576" i="1"/>
  <c r="G240" i="1"/>
  <c r="G1157" i="1"/>
  <c r="G218" i="1"/>
  <c r="G264" i="1"/>
  <c r="G34" i="1"/>
  <c r="G344" i="1"/>
  <c r="G738" i="1"/>
  <c r="G7" i="1"/>
  <c r="G1040" i="1"/>
  <c r="G916" i="1"/>
  <c r="G496" i="1"/>
  <c r="G896" i="1"/>
  <c r="G35" i="1"/>
  <c r="G207" i="1"/>
  <c r="G36" i="1"/>
  <c r="G497" i="1"/>
  <c r="G178" i="1"/>
  <c r="G789" i="1"/>
  <c r="G539" i="1"/>
  <c r="G721" i="1"/>
  <c r="G73" i="1"/>
  <c r="G284" i="1"/>
  <c r="G241" i="1"/>
  <c r="G873" i="1"/>
  <c r="G863" i="1"/>
  <c r="G1044" i="1"/>
  <c r="G610" i="1"/>
  <c r="G1192" i="1"/>
  <c r="G636" i="1"/>
  <c r="G112" i="1"/>
  <c r="G285" i="1"/>
  <c r="G259" i="1"/>
  <c r="G498" i="1"/>
  <c r="G499" i="1"/>
  <c r="G134" i="1"/>
  <c r="G790" i="1"/>
  <c r="G37" i="1"/>
  <c r="G500" i="1"/>
  <c r="G345" i="1"/>
  <c r="G38" i="1"/>
  <c r="G501" i="1"/>
  <c r="G286" i="1"/>
  <c r="G116" i="1"/>
  <c r="G242" i="1"/>
  <c r="G243" i="1"/>
  <c r="G426" i="1"/>
  <c r="G246" i="1"/>
  <c r="G774" i="1"/>
  <c r="G265" i="1"/>
  <c r="G1099" i="1"/>
  <c r="G74" i="1"/>
  <c r="G827" i="1"/>
  <c r="G839" i="1"/>
  <c r="G805" i="1"/>
  <c r="G540" i="1"/>
  <c r="G964" i="1"/>
  <c r="G39" i="1"/>
  <c r="G502" i="1"/>
  <c r="G409" i="1"/>
  <c r="G503" i="1"/>
  <c r="G346" i="1"/>
  <c r="G410" i="1"/>
  <c r="G156" i="1"/>
  <c r="G54" i="1"/>
  <c r="G347" i="1"/>
  <c r="G411" i="1"/>
  <c r="G412" i="1"/>
  <c r="G1117" i="1"/>
  <c r="G1050" i="1"/>
  <c r="G413" i="1"/>
  <c r="G313" i="1"/>
  <c r="G864" i="1"/>
  <c r="G981" i="1"/>
  <c r="G722" i="1"/>
  <c r="G1073" i="1"/>
  <c r="G414" i="1"/>
  <c r="G999" i="1"/>
  <c r="G917" i="1"/>
  <c r="G1019" i="1"/>
  <c r="G166" i="1"/>
  <c r="G219" i="1"/>
  <c r="G157" i="1"/>
  <c r="G348" i="1"/>
  <c r="G40" i="1"/>
  <c r="G22" i="1"/>
  <c r="G55" i="1"/>
  <c r="G349" i="1"/>
  <c r="G350" i="1"/>
  <c r="G351" i="1"/>
  <c r="G266" i="1"/>
  <c r="G56" i="1"/>
  <c r="G1025" i="1"/>
  <c r="G267" i="1"/>
  <c r="G373" i="1"/>
  <c r="G988" i="1"/>
  <c r="G897" i="1"/>
  <c r="G971" i="1"/>
  <c r="G865" i="1"/>
  <c r="G638" i="1"/>
  <c r="G1001" i="1"/>
  <c r="G748" i="1"/>
  <c r="G415" i="1"/>
  <c r="G260" i="1"/>
  <c r="G1074" i="1"/>
  <c r="G416" i="1"/>
  <c r="G541" i="1"/>
  <c r="G23" i="1"/>
  <c r="G352" i="1"/>
  <c r="G353" i="1"/>
  <c r="G354" i="1"/>
  <c r="G355" i="1"/>
  <c r="G57" i="1"/>
  <c r="G356" i="1"/>
  <c r="G75" i="1"/>
  <c r="G504" i="1"/>
  <c r="G601" i="1"/>
  <c r="G866" i="1"/>
  <c r="G26" i="1"/>
  <c r="G268" i="1"/>
  <c r="G930" i="1"/>
  <c r="G664" i="1"/>
  <c r="G755" i="1"/>
  <c r="G505" i="1"/>
  <c r="G1051" i="1"/>
  <c r="G275" i="1"/>
  <c r="G723" i="1"/>
  <c r="G542" i="1"/>
  <c r="G389" i="1"/>
  <c r="G390" i="1"/>
  <c r="G724" i="1"/>
  <c r="G937" i="1"/>
  <c r="G357" i="1"/>
  <c r="G220" i="1"/>
  <c r="G1052" i="1"/>
  <c r="G93" i="1"/>
  <c r="G1053" i="1"/>
  <c r="G384" i="1"/>
  <c r="G326" i="1"/>
  <c r="G13" i="1"/>
  <c r="G41" i="1"/>
  <c r="G42" i="1"/>
  <c r="G530" i="1"/>
  <c r="G254" i="1"/>
  <c r="G695" i="1"/>
  <c r="G88" i="1"/>
  <c r="G144" i="1"/>
  <c r="G367" i="1"/>
  <c r="G619" i="1"/>
  <c r="G368" i="1"/>
  <c r="G639" i="1"/>
  <c r="G640" i="1"/>
  <c r="G76" i="1"/>
  <c r="G620" i="1"/>
  <c r="G791" i="1"/>
  <c r="G314" i="1"/>
  <c r="G965" i="1"/>
  <c r="G43" i="1"/>
  <c r="G44" i="1"/>
  <c r="G45" i="1"/>
  <c r="G1048" i="1"/>
  <c r="G629" i="1"/>
  <c r="G315" i="1"/>
  <c r="G822" i="1"/>
  <c r="G208" i="1"/>
  <c r="G1015" i="1"/>
  <c r="G784" i="1"/>
  <c r="G641" i="1"/>
  <c r="G270" i="1"/>
  <c r="G316" i="1"/>
  <c r="G569" i="1"/>
  <c r="G725" i="1"/>
  <c r="G665" i="1"/>
  <c r="G796" i="1"/>
  <c r="G666" i="1"/>
  <c r="G954" i="1"/>
  <c r="G898" i="1"/>
  <c r="G276" i="1"/>
  <c r="G440" i="1"/>
  <c r="G172" i="1"/>
  <c r="G800" i="1"/>
  <c r="G543" i="1"/>
  <c r="G417" i="1"/>
  <c r="G418" i="1"/>
  <c r="G683" i="1"/>
  <c r="G506" i="1"/>
  <c r="G507" i="1"/>
  <c r="G972" i="1"/>
  <c r="G508" i="1"/>
  <c r="G853" i="1"/>
  <c r="G958" i="1"/>
  <c r="G892" i="1"/>
  <c r="G918" i="1"/>
  <c r="G982" i="1"/>
  <c r="G867" i="1"/>
  <c r="G441" i="1"/>
  <c r="G919" i="1"/>
  <c r="G775" i="1"/>
  <c r="G650" i="1"/>
  <c r="G317" i="1"/>
  <c r="G1075" i="1"/>
  <c r="G146" i="1"/>
  <c r="G24" i="1"/>
  <c r="G989" i="1"/>
  <c r="G621" i="1"/>
  <c r="G1026" i="1"/>
  <c r="G776" i="1"/>
  <c r="G509" i="1"/>
  <c r="G46" i="1"/>
  <c r="G510" i="1"/>
  <c r="G511" i="1"/>
  <c r="G512" i="1"/>
  <c r="G513" i="1"/>
  <c r="G514" i="1"/>
  <c r="G515" i="1"/>
  <c r="G516" i="1"/>
  <c r="G517" i="1"/>
  <c r="G518" i="1"/>
  <c r="G1020" i="1"/>
  <c r="G1039" i="1"/>
  <c r="G920" i="1"/>
  <c r="G884" i="1"/>
  <c r="G135" i="1"/>
  <c r="G667" i="1"/>
  <c r="G19" i="1"/>
  <c r="G993" i="1"/>
  <c r="G221" i="1"/>
  <c r="G798" i="1"/>
  <c r="G1168" i="1"/>
  <c r="G230" i="1"/>
  <c r="G830" i="1"/>
  <c r="G642" i="1"/>
  <c r="G868" i="1"/>
  <c r="G1093" i="1"/>
  <c r="G222" i="1"/>
  <c r="G823" i="1"/>
  <c r="G978" i="1"/>
  <c r="G643" i="1"/>
  <c r="G973" i="1"/>
  <c r="G519" i="1"/>
  <c r="G77" i="1"/>
  <c r="G806" i="1"/>
  <c r="G255" i="1"/>
  <c r="G256" i="1"/>
  <c r="G520" i="1"/>
  <c r="G521" i="1"/>
  <c r="G1158" i="1"/>
  <c r="G944" i="1"/>
  <c r="G945" i="1"/>
  <c r="G544" i="1"/>
  <c r="G257" i="1"/>
  <c r="G258" i="1"/>
  <c r="G545" i="1"/>
  <c r="G179" i="1"/>
  <c r="G696" i="1"/>
  <c r="G78" i="1"/>
  <c r="G522" i="1"/>
  <c r="G358" i="1"/>
  <c r="G79" i="1"/>
  <c r="G247" i="1"/>
  <c r="G244" i="1"/>
  <c r="G622" i="1"/>
  <c r="G623" i="1"/>
  <c r="G419" i="1"/>
  <c r="G58" i="1"/>
  <c r="G80" i="1"/>
  <c r="G81" i="1"/>
  <c r="G624" i="1"/>
  <c r="G359" i="1"/>
  <c r="G6" i="1"/>
  <c r="G82" i="1"/>
  <c r="G277" i="1"/>
  <c r="G1134" i="1"/>
  <c r="G974" i="1"/>
  <c r="G840" i="1"/>
  <c r="G801" i="1"/>
  <c r="G668" i="1"/>
  <c r="G1009" i="1"/>
  <c r="G420" i="1"/>
  <c r="G749" i="1"/>
  <c r="G946" i="1"/>
  <c r="G931" i="1"/>
  <c r="G546" i="1"/>
  <c r="G797" i="1"/>
  <c r="G994" i="1"/>
  <c r="G589" i="1"/>
  <c r="G1010" i="1"/>
  <c r="G1146" i="1"/>
  <c r="G750" i="1"/>
  <c r="G245" i="1"/>
  <c r="G947" i="1"/>
  <c r="G734" i="1"/>
  <c r="G936" i="1"/>
  <c r="G547" i="1"/>
  <c r="G1110" i="1"/>
  <c r="G899" i="1"/>
  <c r="G995" i="1"/>
  <c r="G733" i="1"/>
  <c r="G1179" i="1"/>
  <c r="G849" i="1"/>
  <c r="G1076" i="1"/>
  <c r="G904" i="1"/>
  <c r="G1111" i="1"/>
  <c r="G548" i="1"/>
  <c r="G979" i="1"/>
  <c r="G203" i="1"/>
  <c r="G1180" i="1"/>
  <c r="G1094" i="1"/>
  <c r="G86" i="1"/>
  <c r="G1151" i="1"/>
  <c r="G802" i="1"/>
  <c r="G659" i="1"/>
  <c r="G318" i="1"/>
  <c r="G180" i="1"/>
  <c r="G1021" i="1"/>
  <c r="G136" i="1"/>
  <c r="G785" i="1"/>
  <c r="G649" i="1"/>
  <c r="G1152" i="1"/>
  <c r="G900" i="1"/>
  <c r="G751" i="1"/>
  <c r="G874" i="1"/>
  <c r="G1077" i="1"/>
  <c r="G1144" i="1"/>
  <c r="G147" i="1"/>
  <c r="G442" i="1"/>
  <c r="G1036" i="1"/>
  <c r="G167" i="1"/>
  <c r="G391" i="1"/>
  <c r="G1054" i="1"/>
  <c r="G1088" i="1"/>
  <c r="G1126" i="1"/>
  <c r="G957" i="1"/>
  <c r="G113" i="1"/>
  <c r="G1037" i="1"/>
  <c r="G549" i="1"/>
  <c r="G726" i="1"/>
  <c r="G697" i="1"/>
  <c r="G392" i="1"/>
  <c r="G727" i="1"/>
  <c r="G550" i="1"/>
  <c r="G551" i="1"/>
  <c r="G669" i="1"/>
  <c r="G231" i="1"/>
  <c r="G670" i="1"/>
  <c r="G319" i="1"/>
  <c r="G885" i="1"/>
  <c r="G385" i="1"/>
  <c r="G886" i="1"/>
  <c r="G807" i="1"/>
  <c r="G443" i="1"/>
  <c r="G887" i="1"/>
  <c r="G566" i="1"/>
  <c r="G386" i="1"/>
  <c r="G1100" i="1"/>
  <c r="G209" i="1"/>
  <c r="G89" i="1"/>
  <c r="G590" i="1"/>
  <c r="G983" i="1"/>
  <c r="G114" i="1"/>
  <c r="G921" i="1"/>
  <c r="G296" i="1"/>
  <c r="G297" i="1"/>
  <c r="G298" i="1"/>
  <c r="G728" i="1"/>
  <c r="G429" i="1"/>
  <c r="G1000" i="1"/>
  <c r="G990" i="1"/>
  <c r="G841" i="1"/>
  <c r="G777" i="1"/>
  <c r="G998" i="1"/>
  <c r="G808" i="1"/>
  <c r="G444" i="1"/>
  <c r="G1011" i="1"/>
  <c r="G1101" i="1"/>
  <c r="G261" i="1"/>
  <c r="G1102" i="1"/>
  <c r="G842" i="1"/>
  <c r="G757" i="1"/>
  <c r="G278" i="1"/>
  <c r="G1181" i="1"/>
  <c r="G686" i="1"/>
  <c r="G591" i="1"/>
  <c r="G1127" i="1"/>
  <c r="G279" i="1"/>
  <c r="G1169" i="1"/>
  <c r="G393" i="1"/>
  <c r="G922" i="1"/>
  <c r="G1016" i="1"/>
  <c r="G843" i="1"/>
  <c r="G137" i="1"/>
  <c r="G1041" i="1"/>
  <c r="G809" i="1"/>
  <c r="G923" i="1"/>
  <c r="G967" i="1"/>
  <c r="G968" i="1"/>
  <c r="G158" i="1"/>
  <c r="G262" i="1"/>
  <c r="G83" i="1"/>
  <c r="G1055" i="1"/>
  <c r="G1056" i="1"/>
  <c r="G1057" i="1"/>
  <c r="G1058" i="1"/>
  <c r="G59" i="1"/>
  <c r="G223" i="1"/>
  <c r="G901" i="1"/>
  <c r="G902" i="1"/>
  <c r="G592" i="1"/>
  <c r="G374" i="1"/>
  <c r="G593" i="1"/>
  <c r="G299" i="1"/>
  <c r="G552" i="1"/>
  <c r="G300" i="1"/>
  <c r="G394" i="1"/>
  <c r="G553" i="1"/>
  <c r="G554" i="1"/>
  <c r="G232" i="1"/>
  <c r="G233" i="1"/>
  <c r="G234" i="1"/>
  <c r="G235" i="1"/>
  <c r="G567" i="1"/>
  <c r="G810" i="1"/>
  <c r="G594" i="1"/>
  <c r="G445" i="1"/>
  <c r="G303" i="1"/>
  <c r="G996" i="1"/>
  <c r="G138" i="1"/>
  <c r="G932" i="1"/>
  <c r="G570" i="1"/>
  <c r="G139" i="1"/>
  <c r="G181" i="1"/>
  <c r="G938" i="1"/>
  <c r="G1045" i="1"/>
  <c r="G1038" i="1"/>
  <c r="G182" i="1"/>
  <c r="G446" i="1"/>
  <c r="G948" i="1"/>
  <c r="G1195" i="1"/>
  <c r="G430" i="1"/>
  <c r="G878" i="1"/>
  <c r="G168" i="1"/>
  <c r="G1112" i="1"/>
  <c r="G997" i="1"/>
  <c r="G236" i="1"/>
  <c r="G555" i="1"/>
  <c r="G1176" i="1"/>
  <c r="G778" i="1"/>
  <c r="G183" i="1"/>
  <c r="G237" i="1"/>
  <c r="G854" i="1"/>
  <c r="G779" i="1"/>
  <c r="G933" i="1"/>
  <c r="G1183" i="1"/>
  <c r="G421" i="1"/>
  <c r="G532" i="1"/>
  <c r="G869" i="1"/>
  <c r="G595" i="1"/>
  <c r="G280" i="1"/>
  <c r="G851" i="1"/>
  <c r="G60" i="1"/>
  <c r="G811" i="1"/>
  <c r="G320" i="1"/>
  <c r="G1003" i="1"/>
  <c r="G698" i="1"/>
  <c r="G699" i="1"/>
  <c r="G934" i="1"/>
  <c r="G1145" i="1"/>
  <c r="G1103" i="1"/>
  <c r="G556" i="1"/>
  <c r="G924" i="1"/>
  <c r="G780" i="1"/>
  <c r="G95" i="1"/>
  <c r="G103" i="1"/>
  <c r="G104" i="1"/>
  <c r="G96" i="1"/>
  <c r="G97" i="1"/>
  <c r="G98" i="1"/>
  <c r="G1004" i="1"/>
  <c r="G966" i="1"/>
  <c r="G1178" i="1"/>
  <c r="G1200" i="1"/>
  <c r="G1078" i="1"/>
  <c r="G812" i="1"/>
  <c r="G301" i="1"/>
  <c r="G644" i="1"/>
  <c r="G169" i="1"/>
  <c r="G281" i="1"/>
  <c r="G671" i="1"/>
  <c r="G729" i="1"/>
  <c r="G875" i="1"/>
  <c r="G855" i="1"/>
  <c r="G844" i="1"/>
  <c r="G856" i="1"/>
  <c r="G672" i="1"/>
  <c r="G648" i="1"/>
  <c r="G523" i="1"/>
  <c r="G25" i="1"/>
  <c r="G949" i="1"/>
  <c r="G184" i="1"/>
  <c r="G1153" i="1"/>
  <c r="G16" i="1"/>
  <c r="G1027" i="1"/>
  <c r="G1104" i="1"/>
  <c r="G1170" i="1"/>
  <c r="G224" i="1"/>
  <c r="G524" i="1"/>
  <c r="G781" i="1"/>
  <c r="G1079" i="1"/>
  <c r="G304" i="1"/>
  <c r="G148" i="1"/>
  <c r="G782" i="1"/>
  <c r="G431" i="1"/>
  <c r="G282" i="1"/>
  <c r="G673" i="1"/>
  <c r="G596" i="1"/>
  <c r="G674" i="1"/>
  <c r="G906" i="1"/>
  <c r="G289" i="1"/>
  <c r="G115" i="1"/>
  <c r="G700" i="1"/>
  <c r="G685" i="1"/>
  <c r="G1105" i="1"/>
  <c r="G360" i="1"/>
  <c r="G422" i="1"/>
  <c r="G675" i="1"/>
  <c r="G302" i="1"/>
  <c r="G375" i="1"/>
  <c r="G361" i="1"/>
  <c r="G557" i="1"/>
  <c r="G387" i="1"/>
  <c r="G362" i="1"/>
  <c r="G925" i="1"/>
  <c r="G1130" i="1"/>
  <c r="G159" i="1"/>
  <c r="G571" i="1"/>
  <c r="G845" i="1"/>
  <c r="G160" i="1"/>
  <c r="G604" i="1"/>
  <c r="G61" i="1"/>
  <c r="G705" i="1"/>
  <c r="G706" i="1"/>
  <c r="G707" i="1"/>
  <c r="G708" i="1"/>
  <c r="G709" i="1"/>
  <c r="G609" i="1"/>
  <c r="G939" i="1"/>
  <c r="G1033" i="1"/>
  <c r="G321" i="1"/>
  <c r="G984" i="1"/>
  <c r="G926" i="1"/>
  <c r="G327" i="1"/>
  <c r="G630" i="1"/>
  <c r="G955" i="1"/>
  <c r="G1162" i="1"/>
  <c r="G94" i="1"/>
  <c r="G432" i="1"/>
  <c r="G91" i="1"/>
  <c r="G14" i="1"/>
  <c r="G879" i="1"/>
  <c r="G711" i="1"/>
  <c r="G631" i="1"/>
  <c r="G828" i="1"/>
  <c r="G388" i="1"/>
  <c r="G1063" i="1"/>
  <c r="G84" i="1"/>
  <c r="G1012" i="1"/>
  <c r="G1028" i="1"/>
  <c r="G140" i="1"/>
  <c r="G927" i="1"/>
  <c r="G1128" i="1"/>
  <c r="G1013" i="1"/>
  <c r="G1182" i="1"/>
  <c r="G1132" i="1"/>
  <c r="G676" i="1"/>
  <c r="G1089" i="1"/>
  <c r="G831" i="1"/>
  <c r="G905" i="1"/>
  <c r="G11" i="1"/>
  <c r="G1095" i="1"/>
  <c r="G625" i="1"/>
  <c r="G645" i="1"/>
  <c r="G1118" i="1"/>
  <c r="G558" i="1"/>
  <c r="G447" i="1"/>
  <c r="G305" i="1"/>
  <c r="G626" i="1"/>
  <c r="G448" i="1"/>
  <c r="G449" i="1"/>
  <c r="G450" i="1"/>
  <c r="G531" i="1"/>
  <c r="G376" i="1"/>
  <c r="G1119" i="1"/>
  <c r="G597" i="1"/>
  <c r="G752" i="1"/>
  <c r="G824" i="1"/>
  <c r="G559" i="1"/>
  <c r="G730" i="1"/>
  <c r="G876" i="1"/>
  <c r="G1201" i="1"/>
  <c r="G975" i="1"/>
  <c r="G322" i="1"/>
  <c r="G1189" i="1"/>
  <c r="G323" i="1"/>
  <c r="G793" i="1"/>
  <c r="G985" i="1"/>
  <c r="G986" i="1"/>
  <c r="G225" i="1"/>
  <c r="G188" i="1"/>
  <c r="G62" i="1"/>
  <c r="G991" i="1"/>
  <c r="G850" i="1"/>
  <c r="G1031" i="1"/>
  <c r="G888" i="1"/>
  <c r="G889" i="1"/>
  <c r="G846" i="1"/>
  <c r="G857" i="1"/>
  <c r="G560" i="1"/>
  <c r="G525" i="1"/>
  <c r="G526" i="1"/>
  <c r="G646" i="1"/>
  <c r="G825" i="1"/>
  <c r="G105" i="1"/>
  <c r="G826" i="1"/>
  <c r="G1120" i="1"/>
  <c r="G1113" i="1"/>
  <c r="G753" i="1"/>
  <c r="G561" i="1"/>
  <c r="G1029" i="1"/>
  <c r="G870" i="1"/>
  <c r="G1135" i="1"/>
  <c r="G1080" i="1"/>
  <c r="G859" i="1"/>
  <c r="G598" i="1"/>
  <c r="G161" i="1"/>
  <c r="G451" i="1"/>
  <c r="G17" i="1"/>
  <c r="G1060" i="1"/>
  <c r="G847" i="1"/>
  <c r="G1061" i="1"/>
  <c r="G794" i="1"/>
  <c r="G813" i="1"/>
  <c r="G701" i="1"/>
  <c r="G731" i="1"/>
  <c r="G647" i="1"/>
  <c r="G324" i="1"/>
  <c r="G890" i="1"/>
  <c r="G1081" i="1"/>
  <c r="G987" i="1"/>
  <c r="G688" i="1"/>
  <c r="G903" i="1"/>
  <c r="G880" i="1"/>
  <c r="G1106" i="1"/>
  <c r="G141" i="1"/>
  <c r="G599" i="1"/>
  <c r="G1084" i="1"/>
  <c r="G562" i="1"/>
  <c r="G1082" i="1"/>
  <c r="G377" i="1"/>
  <c r="G170" i="1"/>
  <c r="G378" i="1"/>
  <c r="G1115" i="1"/>
  <c r="G123" i="1"/>
  <c r="G563" i="1"/>
  <c r="G427" i="1"/>
  <c r="G189" i="1"/>
  <c r="G783" i="1"/>
  <c r="G1190" i="1"/>
  <c r="G1059" i="1"/>
  <c r="G171" i="1"/>
  <c r="G756" i="1"/>
  <c r="G732" i="1"/>
  <c r="G369" i="1"/>
  <c r="G64" i="1"/>
  <c r="G142" i="1"/>
  <c r="G1131" i="1"/>
  <c r="G1014" i="1"/>
  <c r="G891" i="1"/>
  <c r="G162" i="1"/>
  <c r="G1121" i="1"/>
  <c r="G63" i="1"/>
  <c r="G306" i="1"/>
  <c r="G848" i="1"/>
  <c r="G290" i="1"/>
</calcChain>
</file>

<file path=xl/sharedStrings.xml><?xml version="1.0" encoding="utf-8"?>
<sst xmlns="http://schemas.openxmlformats.org/spreadsheetml/2006/main" count="21195" uniqueCount="2906">
  <si>
    <t>Property_ID</t>
  </si>
  <si>
    <t>Property Type</t>
  </si>
  <si>
    <t>Bedrooms</t>
  </si>
  <si>
    <t>Bathrooms</t>
  </si>
  <si>
    <t>Area</t>
  </si>
  <si>
    <t>Price</t>
  </si>
  <si>
    <t>Description</t>
  </si>
  <si>
    <t>Location</t>
  </si>
  <si>
    <t>District</t>
  </si>
  <si>
    <t>City</t>
  </si>
  <si>
    <t>Agency_Name</t>
  </si>
  <si>
    <t>A877409248</t>
  </si>
  <si>
    <t>دور</t>
  </si>
  <si>
    <t>دور للبيع في بدر, جنوب الرياض</t>
  </si>
  <si>
    <t>بدر، جنوب الرياض، الرياض</t>
  </si>
  <si>
    <t>حي بدر</t>
  </si>
  <si>
    <t>الرياض</t>
  </si>
  <si>
    <t>W448904463</t>
  </si>
  <si>
    <t>فیلا</t>
  </si>
  <si>
    <t>فيلا للبيع في الملك فهد، شمال الرياض</t>
  </si>
  <si>
    <t>الملك فهد، شمال الرياض، الرياض</t>
  </si>
  <si>
    <t>حي الملك فهد</t>
  </si>
  <si>
    <t>M187516680</t>
  </si>
  <si>
    <t>فيلا للبيع في الوادي، شمال الرياض</t>
  </si>
  <si>
    <t>الوادي، شمال الرياض، الرياض</t>
  </si>
  <si>
    <t>حي الوادي</t>
  </si>
  <si>
    <t>H808583263</t>
  </si>
  <si>
    <t>دور للبيع في  المونسية، شرق الرياض</t>
  </si>
  <si>
    <t>المونسية، شرق الرياض، الرياض</t>
  </si>
  <si>
    <t>حي المونسية</t>
  </si>
  <si>
    <t>T501925005</t>
  </si>
  <si>
    <t>فيلا للبيع في  بدر، جنوب الرياض</t>
  </si>
  <si>
    <t>مؤسسة غزالة للخدمات العقارية</t>
  </si>
  <si>
    <t>G622333075</t>
  </si>
  <si>
    <t>دور للبيع في الخليج, شرق الرياض</t>
  </si>
  <si>
    <t>الخليج، شرق الرياض، الرياض</t>
  </si>
  <si>
    <t>حي الخليج</t>
  </si>
  <si>
    <t>شركة سياد للاستثمار</t>
  </si>
  <si>
    <t>L472435811</t>
  </si>
  <si>
    <t>للبيع أدوار في الريان، شرق الرياض</t>
  </si>
  <si>
    <t>الريان، شرق الرياض، الرياض</t>
  </si>
  <si>
    <t>حي الريان</t>
  </si>
  <si>
    <t>G066192381</t>
  </si>
  <si>
    <t>الربوة، وسط الرياض، الرياض</t>
  </si>
  <si>
    <t>حي الربوة</t>
  </si>
  <si>
    <t>مساكن ركاز للعقارات</t>
  </si>
  <si>
    <t>B566435343</t>
  </si>
  <si>
    <t>دور للبيع في شبرا، غرب الرياض</t>
  </si>
  <si>
    <t>شبرا، غرب الرياض، الرياض</t>
  </si>
  <si>
    <t>حي شبرا</t>
  </si>
  <si>
    <t>شركة نجمة التميز للعقارات</t>
  </si>
  <si>
    <t>S442527647</t>
  </si>
  <si>
    <t>فيلا للبيع في الملز، شرق الرياض</t>
  </si>
  <si>
    <t>الملز، شرق الرياض، الرياض</t>
  </si>
  <si>
    <t>حي الملز</t>
  </si>
  <si>
    <t>مؤسسة سعود علي عبدالعزيز السقامي للعقارات</t>
  </si>
  <si>
    <t>W111682250</t>
  </si>
  <si>
    <t>أرض للبيع في شارع حمزة بوقري, حي الخير, مدينة الرياض, منطقة الرياض</t>
  </si>
  <si>
    <t>مخطط الخير، شمال الرياض، الرياض</t>
  </si>
  <si>
    <t>حي مخطط الخير</t>
  </si>
  <si>
    <t>T586702253</t>
  </si>
  <si>
    <t>عمارة سكنية للبيع في حي الجرادية, غرب الرياض</t>
  </si>
  <si>
    <t>الجرادية، غرب الرياض، الرياض</t>
  </si>
  <si>
    <t>حي الجرادية</t>
  </si>
  <si>
    <t>شركة الوديان العربيه للتطوير العقاري</t>
  </si>
  <si>
    <t>T771872957</t>
  </si>
  <si>
    <t>شقة</t>
  </si>
  <si>
    <t>شقة 3 غرف نوم للبيع في ظهرة لبن، الرياض</t>
  </si>
  <si>
    <t>ظهرة لبن، غرب الرياض، الرياض</t>
  </si>
  <si>
    <t>حي ظهرة لبن</t>
  </si>
  <si>
    <t>شركة صروح السعودية للتطوير والاستثمار العقاري</t>
  </si>
  <si>
    <t>I151063802</t>
  </si>
  <si>
    <t>دور للبيع في  العوالي، غرب الرياض</t>
  </si>
  <si>
    <t>العوالي، غرب الرياض، الرياض</t>
  </si>
  <si>
    <t>حي العوالي</t>
  </si>
  <si>
    <t>L680464272</t>
  </si>
  <si>
    <t>دور للبيع في المونسية، شرق الرياض</t>
  </si>
  <si>
    <t>مؤسسة وسام المساكن العقارية</t>
  </si>
  <si>
    <t>D254189383</t>
  </si>
  <si>
    <t>دور للبيع في الطيبة، جنوب الرياض</t>
  </si>
  <si>
    <t>طيبة، جنوب الرياض، الرياض</t>
  </si>
  <si>
    <t>حي طيبة</t>
  </si>
  <si>
    <t>J275107714</t>
  </si>
  <si>
    <t>فيلا دورين مفصوله للبيع في العريجاء الرياض</t>
  </si>
  <si>
    <t>العريجاء، غرب الرياض، الرياض</t>
  </si>
  <si>
    <t>حي العريجاء</t>
  </si>
  <si>
    <t>شركة أختصاصي الأول للعقارات</t>
  </si>
  <si>
    <t>N377810082</t>
  </si>
  <si>
    <t>أرض سكنية للبيع في  الحائر، الرياض</t>
  </si>
  <si>
    <t>الحائر، الرياض</t>
  </si>
  <si>
    <t>حي الحائر</t>
  </si>
  <si>
    <t>C003958908</t>
  </si>
  <si>
    <t>أرض سكنية للبيع في  النسيم الغربي، شرق الرياض</t>
  </si>
  <si>
    <t>النسيم الغربي، شرق الرياض، الرياض</t>
  </si>
  <si>
    <t>حي النسيم الغربي</t>
  </si>
  <si>
    <t>X155815562</t>
  </si>
  <si>
    <t>ارض سكنية للبيع في  الجنادرية، شرق الرياض</t>
  </si>
  <si>
    <t>الجنادرية، شرق الرياض، الرياض</t>
  </si>
  <si>
    <t>حي الجنادرية</t>
  </si>
  <si>
    <t>N468384345</t>
  </si>
  <si>
    <t>أرض سكنية للبيع في  العلا، الرياض</t>
  </si>
  <si>
    <t>العلا، الرياض</t>
  </si>
  <si>
    <t>حي العلا</t>
  </si>
  <si>
    <t>A311606968</t>
  </si>
  <si>
    <t>أرض سكنية للبيع في عريض الرياض</t>
  </si>
  <si>
    <t>عريض، جنوب الرياض، الرياض</t>
  </si>
  <si>
    <t>حي عريض</t>
  </si>
  <si>
    <t>F740062252</t>
  </si>
  <si>
    <t>أرض سكنية للبيع في  الغنامية، جنوب الرياض</t>
  </si>
  <si>
    <t>الغنامية، جنوب الرياض، الرياض</t>
  </si>
  <si>
    <t>حي الغنامية</t>
  </si>
  <si>
    <t>W237753130</t>
  </si>
  <si>
    <t>بيت شعبي مكون من  8 غرف نوم للبيع في المرقب، الرياض</t>
  </si>
  <si>
    <t>المرقب، وسط الرياض، الرياض</t>
  </si>
  <si>
    <t>حي المرقب</t>
  </si>
  <si>
    <t>مكتب خالد تركي العصيمي للعقارات</t>
  </si>
  <si>
    <t>H976566219</t>
  </si>
  <si>
    <t>أرض سكنية للبيع في القيروان, شمال الرياض</t>
  </si>
  <si>
    <t>القيروان، شمال الرياض، الرياض</t>
  </si>
  <si>
    <t>حي القيروان</t>
  </si>
  <si>
    <t>مكتب الدوهان للعقارات</t>
  </si>
  <si>
    <t>Z373191240</t>
  </si>
  <si>
    <t>ادوار للبيع في  شبرا، غرب الرياض</t>
  </si>
  <si>
    <t>O899275444</t>
  </si>
  <si>
    <t>فيلا زاوية درج داخلي وشقة للبيع في اليرموك، شرق الرياض</t>
  </si>
  <si>
    <t>اليرموك، شرق الرياض، الرياض</t>
  </si>
  <si>
    <t>حي اليرموك</t>
  </si>
  <si>
    <t>M430464573</t>
  </si>
  <si>
    <t>شقة للبيع في ظهرة لبن، غرب الرياض</t>
  </si>
  <si>
    <t>W092745745</t>
  </si>
  <si>
    <t>للبيع فيلا مع شقة في الربيع، شمال الرياض</t>
  </si>
  <si>
    <t>الربيع، شمال الرياض، الرياض</t>
  </si>
  <si>
    <t>حي الربيع</t>
  </si>
  <si>
    <t>D089444658</t>
  </si>
  <si>
    <t>E273062078</t>
  </si>
  <si>
    <t>A724019977</t>
  </si>
  <si>
    <t>دور للبيع في  بدر، جنوب الرياض</t>
  </si>
  <si>
    <t>A689471085</t>
  </si>
  <si>
    <t>شقة للبيع في بدر، جنوب الرياض</t>
  </si>
  <si>
    <t>L866650018</t>
  </si>
  <si>
    <t>شقة للبيع في  الدار البيضاء، جنوب الرياض</t>
  </si>
  <si>
    <t>الدار البيضاء، جنوب الرياض، الرياض</t>
  </si>
  <si>
    <t>حي الدار البيضاء</t>
  </si>
  <si>
    <t>D266817233</t>
  </si>
  <si>
    <t>شقة  للبيع في العارض، الرياض</t>
  </si>
  <si>
    <t>العارض، شمال الرياض، الرياض</t>
  </si>
  <si>
    <t>حي العارض</t>
  </si>
  <si>
    <t>مكتب بدر حمد الموسى للعقارات</t>
  </si>
  <si>
    <t>Y307883251</t>
  </si>
  <si>
    <t>X341668579</t>
  </si>
  <si>
    <t>فيلا زاوية للبيع في الربيع، شمال الرياض</t>
  </si>
  <si>
    <t>مكتب غربي النخيل للعقارات</t>
  </si>
  <si>
    <t>Y094318912</t>
  </si>
  <si>
    <t>شقة للبيع في  طويق، غرب الرياض</t>
  </si>
  <si>
    <t>طويق، غرب الرياض، الرياض</t>
  </si>
  <si>
    <t>حي طويق</t>
  </si>
  <si>
    <t>A258985150</t>
  </si>
  <si>
    <t>فيلا للبيع في ظهرة لبن، غرب الرياض</t>
  </si>
  <si>
    <t>B089101864</t>
  </si>
  <si>
    <t>دور أرضي للبيع في شبرا، غرب الرياض</t>
  </si>
  <si>
    <t>X403241518</t>
  </si>
  <si>
    <t>أدوار للبيع في شبرا، غرب الرياض</t>
  </si>
  <si>
    <t>S001619488</t>
  </si>
  <si>
    <t>فيلا للبيع في المهدية، غرب الرياض</t>
  </si>
  <si>
    <t>المهدية، غرب الرياض، الرياض</t>
  </si>
  <si>
    <t>حي المهدية</t>
  </si>
  <si>
    <t>مكتب وسيط المسعد للعقارات</t>
  </si>
  <si>
    <t>I403364540</t>
  </si>
  <si>
    <t>دور للبيع في حي الرمال, شرق الرياض</t>
  </si>
  <si>
    <t>الرمال، شرق الرياض، الرياض</t>
  </si>
  <si>
    <t>حي الرمال</t>
  </si>
  <si>
    <t>شركة إثراء الأولى العقارية</t>
  </si>
  <si>
    <t>B506920439</t>
  </si>
  <si>
    <t>النرجس، شمال الرياض، الرياض</t>
  </si>
  <si>
    <t>حي النرجس</t>
  </si>
  <si>
    <t>N608778655</t>
  </si>
  <si>
    <t>شقة مميزة للبيع في أحياء راقية حي النرجس</t>
  </si>
  <si>
    <t>V461137668</t>
  </si>
  <si>
    <t>أرض للبيع في العمل, وسط الرياض</t>
  </si>
  <si>
    <t>العمل، وسط الرياض، الرياض</t>
  </si>
  <si>
    <t>حي العمل</t>
  </si>
  <si>
    <t>مكتب صالح بن علي بن عبدالله النجيدي للعقارات</t>
  </si>
  <si>
    <t>W549549320</t>
  </si>
  <si>
    <t>فيلا 11 غرفة نوم للبيع في ظهرة لبن، الرياض</t>
  </si>
  <si>
    <t>L644597154</t>
  </si>
  <si>
    <t>دور للبيع في السويدي، غرب الرياض</t>
  </si>
  <si>
    <t>السويدي، غرب الرياض، الرياض</t>
  </si>
  <si>
    <t>حي السويدي</t>
  </si>
  <si>
    <t>P594943733</t>
  </si>
  <si>
    <t>عمارة</t>
  </si>
  <si>
    <t>شقق للبيع في السويدي, غرب الرياض</t>
  </si>
  <si>
    <t>E987144297</t>
  </si>
  <si>
    <t>H817259233</t>
  </si>
  <si>
    <t>R761289942</t>
  </si>
  <si>
    <t>شقة للبيع في الزهرة, غرب الرياض</t>
  </si>
  <si>
    <t>الزهرة، غرب الرياض، الرياض</t>
  </si>
  <si>
    <t>حي الزهرة</t>
  </si>
  <si>
    <t>H683029149</t>
  </si>
  <si>
    <t>ادوار بصك حي السويدي</t>
  </si>
  <si>
    <t>U008630173</t>
  </si>
  <si>
    <t>أرض سكنية للبيع في العارض، شمال الرياض</t>
  </si>
  <si>
    <t>B603367921</t>
  </si>
  <si>
    <t>شقة للبيع في حي النرجس،</t>
  </si>
  <si>
    <t>مؤسسة ودود العقارية</t>
  </si>
  <si>
    <t>T346946457</t>
  </si>
  <si>
    <t>فيلا فاخرة للبيع في المهدية، غرب الرياض</t>
  </si>
  <si>
    <t>عبدالملك بن سليمان بن عبدالله اليوسف</t>
  </si>
  <si>
    <t>G206552822</t>
  </si>
  <si>
    <t>للبيع ارض بحي البيان 3002م شارعين 30م ب1900ريال للمتر</t>
  </si>
  <si>
    <t>حي البيان، شرق الرياض، الرياض</t>
  </si>
  <si>
    <t>حي حي البيان</t>
  </si>
  <si>
    <t>شركة مهم العقارية</t>
  </si>
  <si>
    <t>G151960281</t>
  </si>
  <si>
    <t>شقة للبيع في الرمال، الرياض</t>
  </si>
  <si>
    <t>T500719185</t>
  </si>
  <si>
    <t>شقة للبيع في الجندرية، الرياض</t>
  </si>
  <si>
    <t>W680818240</t>
  </si>
  <si>
    <t>شقة للبيع في عكاظ، جنوب الرياض</t>
  </si>
  <si>
    <t>عكاظ، جنوب الرياض، الرياض</t>
  </si>
  <si>
    <t>حي عكاظ</t>
  </si>
  <si>
    <t>B081401018</t>
  </si>
  <si>
    <t>فيلا للبيع في النرجس, شمال الرياض</t>
  </si>
  <si>
    <t>D821946759</t>
  </si>
  <si>
    <t>أرض للبيع في مخطط الخير، شمال الرياض</t>
  </si>
  <si>
    <t>حي الرياض</t>
  </si>
  <si>
    <t>مكتب دار باجد للعقارات</t>
  </si>
  <si>
    <t>E019389809</t>
  </si>
  <si>
    <t>أرض للبيع في العارض، شمال الرياض</t>
  </si>
  <si>
    <t>Z104757533</t>
  </si>
  <si>
    <t>للبيع فيلا في حي الجنادرية مخطط المعالي</t>
  </si>
  <si>
    <t>شركة قمة الوطن العقارية</t>
  </si>
  <si>
    <t>T374576068</t>
  </si>
  <si>
    <t>مشروع أبادي - 1 بحي ‫الياسمين</t>
  </si>
  <si>
    <t>الياسمين، شمال الرياض، الرياض</t>
  </si>
  <si>
    <t>حي الياسمين</t>
  </si>
  <si>
    <t>I514829571</t>
  </si>
  <si>
    <t>شقة للبيع في العارض, شمال الرياض</t>
  </si>
  <si>
    <t>شركة رفاه العقارية</t>
  </si>
  <si>
    <t>N703783545</t>
  </si>
  <si>
    <t>M205981905</t>
  </si>
  <si>
    <t>شقة للبيع في الملقا، شمال الرياض</t>
  </si>
  <si>
    <t>الملقا، شمال الرياض، الرياض</t>
  </si>
  <si>
    <t>حي الملقا</t>
  </si>
  <si>
    <t>مكتب شريط للعقارات</t>
  </si>
  <si>
    <t>Z990195871</t>
  </si>
  <si>
    <t>أرض سكنية للبيع في الرمال، شرق الرياض</t>
  </si>
  <si>
    <t>E434840747</t>
  </si>
  <si>
    <t>A121741709</t>
  </si>
  <si>
    <t>دور 3 غرف نوم للبيع في بدر، الرياض</t>
  </si>
  <si>
    <t>J999964920</t>
  </si>
  <si>
    <t>O493406065</t>
  </si>
  <si>
    <t>استراحة</t>
  </si>
  <si>
    <t>مكتب تميز البلاد للخدمات العقارية</t>
  </si>
  <si>
    <t>Y631740910</t>
  </si>
  <si>
    <t>شقة للبيع في حي حطين ، شمال الرياض</t>
  </si>
  <si>
    <t>حطين، شمال الرياض، الرياض</t>
  </si>
  <si>
    <t>حي حطين</t>
  </si>
  <si>
    <t>مكتب آعالي للخدمات العقارية</t>
  </si>
  <si>
    <t>J138392492</t>
  </si>
  <si>
    <t>فيلا للبيع في النرجس، شمال الرياض</t>
  </si>
  <si>
    <t>F693399218</t>
  </si>
  <si>
    <t>شقة للبيع في السويدي، غرب الرياض</t>
  </si>
  <si>
    <t>K483405986</t>
  </si>
  <si>
    <t>شقق جديدة للبيع في السعادة، شرق الرياض</t>
  </si>
  <si>
    <t>السعادة، شرق الرياض، الرياض</t>
  </si>
  <si>
    <t>حي السعادة</t>
  </si>
  <si>
    <t>Y539987170</t>
  </si>
  <si>
    <t>فيلا للبيع في السعادة, شرق الرياض</t>
  </si>
  <si>
    <t>M376580061</t>
  </si>
  <si>
    <t>شقة للبيع في الرمال, شرق الرياض</t>
  </si>
  <si>
    <t>K600054376</t>
  </si>
  <si>
    <t>L351269020</t>
  </si>
  <si>
    <t>N062087818</t>
  </si>
  <si>
    <t>شقة للبيع في الرمال، شرق الرياض</t>
  </si>
  <si>
    <t>شركة ترف للتطوير والاستثمار العقاري</t>
  </si>
  <si>
    <t>D104698284</t>
  </si>
  <si>
    <t>S904625500</t>
  </si>
  <si>
    <t>X564268706</t>
  </si>
  <si>
    <t>شقه للبيع في  الزهرة، غرب الرياض</t>
  </si>
  <si>
    <t>N958226528</t>
  </si>
  <si>
    <t>دور للبيع في شبرا, غرب الرياض</t>
  </si>
  <si>
    <t>U934146095</t>
  </si>
  <si>
    <t>O424839322</t>
  </si>
  <si>
    <t>دور للبيع في العارض، شمال الرياض</t>
  </si>
  <si>
    <t>مؤسسة منازل النرجس للتطوير العقاري</t>
  </si>
  <si>
    <t>E940246066</t>
  </si>
  <si>
    <t>E739553712</t>
  </si>
  <si>
    <t>شقه للبيع حي الغروب , الرياض</t>
  </si>
  <si>
    <t>مكتب عبدالرحمن عبدالله الهويمل للعقارات</t>
  </si>
  <si>
    <t>T077412920</t>
  </si>
  <si>
    <t>شقة للبيع في الملك فيصل, شرق الرياض</t>
  </si>
  <si>
    <t>الملك فيصل، شرق الرياض، الرياض</t>
  </si>
  <si>
    <t>حي الملك فيصل</t>
  </si>
  <si>
    <t>Z255908560</t>
  </si>
  <si>
    <t>G383274413</t>
  </si>
  <si>
    <t>أرض سكنية للبيع في الملقا، شمال الرياض</t>
  </si>
  <si>
    <t>شركة العمار العقارية</t>
  </si>
  <si>
    <t>M023797587</t>
  </si>
  <si>
    <t>أرض سكنية للبيع في حي الخير، شمال الرياض</t>
  </si>
  <si>
    <t>Q980046426</t>
  </si>
  <si>
    <t>أرض للبيع في الملقا، شمال الرياض</t>
  </si>
  <si>
    <t>R135067827</t>
  </si>
  <si>
    <t>Q542824172</t>
  </si>
  <si>
    <t>مشروع إعمار الياسمين بحي الياسمين</t>
  </si>
  <si>
    <t>U076772864</t>
  </si>
  <si>
    <t>Q239655379</t>
  </si>
  <si>
    <t>N349421005</t>
  </si>
  <si>
    <t>فيلا للبيع في الياسمين, شمال الرياض</t>
  </si>
  <si>
    <t>K259497666</t>
  </si>
  <si>
    <t>شقة للبيع في حي السعادة، شرق الرياض</t>
  </si>
  <si>
    <t>K341463441</t>
  </si>
  <si>
    <t>عمارة للبيع في الضباض، وسط الرياض</t>
  </si>
  <si>
    <t>الضباط، وسط الرياض، الرياض</t>
  </si>
  <si>
    <t>حي الضباط</t>
  </si>
  <si>
    <t>Q849167239</t>
  </si>
  <si>
    <t>حطين طريق الأمير محمد بن سلمان</t>
  </si>
  <si>
    <t>D554727661</t>
  </si>
  <si>
    <t>دور للبيع في بدر، جنوب الرياض</t>
  </si>
  <si>
    <t>Z952751472</t>
  </si>
  <si>
    <t>C013290657</t>
  </si>
  <si>
    <t>K018925967</t>
  </si>
  <si>
    <t>أدوار للبيع في بدر، جنوب الرياض</t>
  </si>
  <si>
    <t>C744104276</t>
  </si>
  <si>
    <t>شقة للبيع في الدار البيضاء، جنوب الرياض</t>
  </si>
  <si>
    <t>U958414783</t>
  </si>
  <si>
    <t>شقة فاخرة للبيع في النرجس, شمال الرياض (تم الحجز) (لدينا شقق أخرى) بنفس السعر والمواصفات</t>
  </si>
  <si>
    <t>شركة رايات نجد للتطوير العقاري</t>
  </si>
  <si>
    <t>G806519368</t>
  </si>
  <si>
    <t>شقة فاخرة  للبيع بالعارض بسعر منافس وموقع متميز 3 غرف نوم منهم غرفتين نوم ماستر بحمام</t>
  </si>
  <si>
    <t>X627474393</t>
  </si>
  <si>
    <t>أدورا للبيع في شبرا، غرب الرياض</t>
  </si>
  <si>
    <t>A906369951</t>
  </si>
  <si>
    <t>E562543978</t>
  </si>
  <si>
    <t>W524274354</t>
  </si>
  <si>
    <t>شقة للبيع في حطين، شمال الرياض</t>
  </si>
  <si>
    <t>مكتب محترفون للعقارات</t>
  </si>
  <si>
    <t>T947839059</t>
  </si>
  <si>
    <t>دور للبيع في شارع الطفيل بن زيد, حي الزهرة, مدينة الرياض, منطقة الرياض</t>
  </si>
  <si>
    <t>U845525076</t>
  </si>
  <si>
    <t>شقة 3 غرف نوم للبيع في السويدي، الرياض</t>
  </si>
  <si>
    <t>P978826675</t>
  </si>
  <si>
    <t>Y761170177</t>
  </si>
  <si>
    <t>A763958248</t>
  </si>
  <si>
    <t>دور للبيع في الريان, شرق الرياض</t>
  </si>
  <si>
    <t>T608796423</t>
  </si>
  <si>
    <t>فيلا راقية للبيع في الصحافة، شمال الرياض</t>
  </si>
  <si>
    <t>الصحافة، شمال الرياض، الرياض</t>
  </si>
  <si>
    <t>حي الصحافة</t>
  </si>
  <si>
    <t>G861017665</t>
  </si>
  <si>
    <t>شقة للبيع في  الملك فيصل، شرق الرياض</t>
  </si>
  <si>
    <t>Q645049391</t>
  </si>
  <si>
    <t>شقة للبيع في النرجس, شمال الرياض</t>
  </si>
  <si>
    <t>I885190007</t>
  </si>
  <si>
    <t>عمارة للبيع في الورود، شمال الرياض</t>
  </si>
  <si>
    <t>الورود، شمال الرياض، الرياض</t>
  </si>
  <si>
    <t>حي الورود</t>
  </si>
  <si>
    <t>مكتب أحياء المدينة للخدمات العقارية</t>
  </si>
  <si>
    <t>I797471380</t>
  </si>
  <si>
    <t>دور للبيع في عكاظ، جنوب الرياض</t>
  </si>
  <si>
    <t>W778427702</t>
  </si>
  <si>
    <t>E979715550</t>
  </si>
  <si>
    <t>Q672444822</t>
  </si>
  <si>
    <t>G258592692</t>
  </si>
  <si>
    <t>شقة للبيع في حي المهدية، غرب بالرياض</t>
  </si>
  <si>
    <t>F588884204</t>
  </si>
  <si>
    <t>O178654932</t>
  </si>
  <si>
    <t>M225406323</t>
  </si>
  <si>
    <t>شقة للبيع في الوادي، شمال الرياض</t>
  </si>
  <si>
    <t>V760234914</t>
  </si>
  <si>
    <t>شقق مودرن للبيع في المهدية, غرب الرياض</t>
  </si>
  <si>
    <t>C195758869</t>
  </si>
  <si>
    <t>F454234640</t>
  </si>
  <si>
    <t>شقق للبيع في الحزم, غرب الرياض</t>
  </si>
  <si>
    <t>الحزم، غرب الرياض، الرياض</t>
  </si>
  <si>
    <t>حي الحزم</t>
  </si>
  <si>
    <t>D174760725</t>
  </si>
  <si>
    <t>شركة رحابة العقارية</t>
  </si>
  <si>
    <t>S943604970</t>
  </si>
  <si>
    <t>شقق للبيع في  الزهرة، غرب الرياض</t>
  </si>
  <si>
    <t>N564940755</t>
  </si>
  <si>
    <t>N870116651</t>
  </si>
  <si>
    <t>شفة للإيجار في قرطبة، شرق الرياض</t>
  </si>
  <si>
    <t>قرطبة، شرق الرياض، الرياض</t>
  </si>
  <si>
    <t>حي قرطبة</t>
  </si>
  <si>
    <t>مكتب عبدالله بن فيحان بن محمد العتيبي للعقارات</t>
  </si>
  <si>
    <t>E422920763</t>
  </si>
  <si>
    <t>شقة استوديو للبيع في العليا، الرياض</t>
  </si>
  <si>
    <t>العليا، شمال الرياض، الرياض</t>
  </si>
  <si>
    <t>حي العليا</t>
  </si>
  <si>
    <t>صلة العقارية</t>
  </si>
  <si>
    <t>V626679123</t>
  </si>
  <si>
    <t>فيلا للبيع في الدار البيضاء، جنوب الرياض</t>
  </si>
  <si>
    <t>مسكنكم للخدمات العقارية</t>
  </si>
  <si>
    <t>X835130619</t>
  </si>
  <si>
    <t>دور ارضي للبيع في الخليج, شرق الرياض</t>
  </si>
  <si>
    <t>G269500648</t>
  </si>
  <si>
    <t>الرياض حي العارض</t>
  </si>
  <si>
    <t>C265882765</t>
  </si>
  <si>
    <t>شقة للبيع في عرقة، غرب الرياض</t>
  </si>
  <si>
    <t>عرقة، غرب الرياض، الرياض</t>
  </si>
  <si>
    <t>حي عرقة</t>
  </si>
  <si>
    <t>شركة دياري للتطوير العقاري</t>
  </si>
  <si>
    <t>M829436455</t>
  </si>
  <si>
    <t>V178171560</t>
  </si>
  <si>
    <t>L536271756</t>
  </si>
  <si>
    <t>القادسية، شرق الرياض، الرياض</t>
  </si>
  <si>
    <t>حي القادسية</t>
  </si>
  <si>
    <t>سكن المعالي للعقارات</t>
  </si>
  <si>
    <t>G744104276</t>
  </si>
  <si>
    <t>V634968378</t>
  </si>
  <si>
    <t>دور للبيع في الرمال, شرق الرياض</t>
  </si>
  <si>
    <t>Q386219271</t>
  </si>
  <si>
    <t>فيلا للايجار حي الشفاء</t>
  </si>
  <si>
    <t>الشفا، جنوب الرياض، الرياض</t>
  </si>
  <si>
    <t>حي الشفا</t>
  </si>
  <si>
    <t>شركة مدى الاعصار العقارية</t>
  </si>
  <si>
    <t>P766932871</t>
  </si>
  <si>
    <t>شقة للبيع الملقا، شمال الرياض</t>
  </si>
  <si>
    <t>W073902625</t>
  </si>
  <si>
    <t>شقق للبيع في عكاظ، جنوب الرياض</t>
  </si>
  <si>
    <t>N942053353</t>
  </si>
  <si>
    <t>البديعة، غرب الرياض، الرياض</t>
  </si>
  <si>
    <t>حي البديعة</t>
  </si>
  <si>
    <t>K978389469</t>
  </si>
  <si>
    <t>Z312254849</t>
  </si>
  <si>
    <t>C369197703</t>
  </si>
  <si>
    <t>شركة بنائات العقارية</t>
  </si>
  <si>
    <t>C829436455</t>
  </si>
  <si>
    <t>B885072826</t>
  </si>
  <si>
    <t>٣ غرف نوم ادوار للبيع العزيزية، الرياض</t>
  </si>
  <si>
    <t>العزيزية، جنوب الرياض، الرياض</t>
  </si>
  <si>
    <t>حي العزيزية</t>
  </si>
  <si>
    <t>X565851689</t>
  </si>
  <si>
    <t>U557985808</t>
  </si>
  <si>
    <t>A952751472</t>
  </si>
  <si>
    <t>Q892210637</t>
  </si>
  <si>
    <t>شقة للبيع في العليا، شمال الرياض</t>
  </si>
  <si>
    <t>B878460946</t>
  </si>
  <si>
    <t>E526674161</t>
  </si>
  <si>
    <t>تاون هاوس وشقق وادوار للبيع في الجنادرية، الرياض</t>
  </si>
  <si>
    <t>شركة مباشر للعقارات للتسويق العقاري</t>
  </si>
  <si>
    <t>F822756369</t>
  </si>
  <si>
    <t>أرض للبيع في شارع العطايف ، حي الحمراء ، الرياض ، منطقة الرياض</t>
  </si>
  <si>
    <t>الحمراء، شرق الرياض، الرياض</t>
  </si>
  <si>
    <t>حي الحمراء</t>
  </si>
  <si>
    <t>D345542154</t>
  </si>
  <si>
    <t>شقة للبيع في الربيع، شمال الرياض</t>
  </si>
  <si>
    <t>مكتب ركن المؤشر للعقارات</t>
  </si>
  <si>
    <t>X917525072</t>
  </si>
  <si>
    <t>فيلا للبيع مستخدمة بحى العقيق</t>
  </si>
  <si>
    <t>العقيق، شمال الرياض، الرياض</t>
  </si>
  <si>
    <t>حي العقيق</t>
  </si>
  <si>
    <t>مكتب زيد جندل زيد الجندل للعقارات</t>
  </si>
  <si>
    <t>C449034362</t>
  </si>
  <si>
    <t>شركة حلول دارك العقارية</t>
  </si>
  <si>
    <t>E837692382</t>
  </si>
  <si>
    <t>دور فاخر للبيع</t>
  </si>
  <si>
    <t>O412344465</t>
  </si>
  <si>
    <t>A450630225</t>
  </si>
  <si>
    <t>شقق تمليك فاخره للبيع في حي الحزم، الرياض</t>
  </si>
  <si>
    <t>A444901493</t>
  </si>
  <si>
    <t>شقة للبيع في قرطبة، شرق الرياض</t>
  </si>
  <si>
    <t>W452425177</t>
  </si>
  <si>
    <t>شقق للبيع في المونسية, شرق الرياض</t>
  </si>
  <si>
    <t>مؤسسة منازل رائدة العقارية</t>
  </si>
  <si>
    <t>W156497679</t>
  </si>
  <si>
    <t>W851799459</t>
  </si>
  <si>
    <t>دور ارضي - تاون هاوس علوي (حي المونسيه )</t>
  </si>
  <si>
    <t>W704836619</t>
  </si>
  <si>
    <t>دور للبيع في الجنادرية، شرق الرياض</t>
  </si>
  <si>
    <t>H472565860</t>
  </si>
  <si>
    <t>دور للبيع في حي بدر، جنوب الرياض</t>
  </si>
  <si>
    <t>E693399218</t>
  </si>
  <si>
    <t>S270709243</t>
  </si>
  <si>
    <t>شقق للبيع في بدر، جنوب الرياض</t>
  </si>
  <si>
    <t>V859261897</t>
  </si>
  <si>
    <t>S899256299</t>
  </si>
  <si>
    <t>دور للبيع في الزهرة، غرب الرياض</t>
  </si>
  <si>
    <t>O715245325</t>
  </si>
  <si>
    <t>شقة 3 غرف نوم للبيع في المهدية، الرياض</t>
  </si>
  <si>
    <t>R850549264</t>
  </si>
  <si>
    <t>D666336316</t>
  </si>
  <si>
    <t>فيلا جديدة للبيع في السليمانية، شمال الرياض</t>
  </si>
  <si>
    <t>السليمانية، شمال الرياض، الرياض</t>
  </si>
  <si>
    <t>حي السليمانية</t>
  </si>
  <si>
    <t>مكتب ركن الافق للعقارات</t>
  </si>
  <si>
    <t>U848614168</t>
  </si>
  <si>
    <t>أرض للبيع في  عريض، جنوب الرياض</t>
  </si>
  <si>
    <t>H689471085</t>
  </si>
  <si>
    <t>S819538263</t>
  </si>
  <si>
    <t>شقق للبيع في العارض, شمال الرياض</t>
  </si>
  <si>
    <t>مؤسسة حلول الرياض للخدمات العقارية</t>
  </si>
  <si>
    <t>F788880448</t>
  </si>
  <si>
    <t>شقة  للبيع في  الروضة، شرق الرياض</t>
  </si>
  <si>
    <t>الروضة، شرق الرياض، الرياض</t>
  </si>
  <si>
    <t>حي الروضة</t>
  </si>
  <si>
    <t>شركة رؤية التسويق العقاري</t>
  </si>
  <si>
    <t>G402209423</t>
  </si>
  <si>
    <t>فيلا للبيع في الرمال, شرق الرياض</t>
  </si>
  <si>
    <t>مؤسسة بصمة الانجاز للخدمات العقارية</t>
  </si>
  <si>
    <t>S882591894</t>
  </si>
  <si>
    <t>شقة للبيع في الروضة، شرق الرياض</t>
  </si>
  <si>
    <t>T839834296</t>
  </si>
  <si>
    <t>فيلا للبيع في حي طيبة , الرياض</t>
  </si>
  <si>
    <t>مكتب العقد الذهبي للعقارات</t>
  </si>
  <si>
    <t>P876087626</t>
  </si>
  <si>
    <t>A940246066</t>
  </si>
  <si>
    <t>L890011961</t>
  </si>
  <si>
    <t>أدوار للبيع في الدار البيضاء, جنوب الرياض</t>
  </si>
  <si>
    <t>شركة غيوم نجد للخدمات العقارية</t>
  </si>
  <si>
    <t>J028136760</t>
  </si>
  <si>
    <t>فيلا ١٠ غرف نوم للبيع في النرجس، الرياض</t>
  </si>
  <si>
    <t>مؤسسة الحوراء للخدمات العقارية</t>
  </si>
  <si>
    <t>X970177610</t>
  </si>
  <si>
    <t>مكتب عبدالله البراك للعقارات</t>
  </si>
  <si>
    <t>Q124606927</t>
  </si>
  <si>
    <t>شقه للبيع</t>
  </si>
  <si>
    <t>A308173109</t>
  </si>
  <si>
    <t>شقه حي القادسية</t>
  </si>
  <si>
    <t>Y437201426</t>
  </si>
  <si>
    <t>Z584436597</t>
  </si>
  <si>
    <t>للبيع دور علوي تاون هاوس ممتاز القادسيه</t>
  </si>
  <si>
    <t>E616539307</t>
  </si>
  <si>
    <t>شقة مودرن</t>
  </si>
  <si>
    <t>L598121154</t>
  </si>
  <si>
    <t>K554727661</t>
  </si>
  <si>
    <t>F339327109</t>
  </si>
  <si>
    <t>Y812356931</t>
  </si>
  <si>
    <t>أدوار فاخرة للبيع في العارض، شمال الرياض</t>
  </si>
  <si>
    <t>B218814020</t>
  </si>
  <si>
    <t>شقة  للبيع في العريض، الرياض</t>
  </si>
  <si>
    <t>شركة قصر الرقي العقارية</t>
  </si>
  <si>
    <t>Q544486555</t>
  </si>
  <si>
    <t>دور أرضي للبيع في قرطبة، شرق الرياض</t>
  </si>
  <si>
    <t>الأول للشركة المحدودة</t>
  </si>
  <si>
    <t>K021886637</t>
  </si>
  <si>
    <t>عمارة للبيع في النرجس, شمال الرياض</t>
  </si>
  <si>
    <t>شركة ادراك الفرص المحدودة</t>
  </si>
  <si>
    <t>N790841066</t>
  </si>
  <si>
    <t>شقة للبيع في الزهراء، غرب الرياض</t>
  </si>
  <si>
    <t>W292605016</t>
  </si>
  <si>
    <t>ادوار 3 غرف نوم للبيع في النرجس، الرياض</t>
  </si>
  <si>
    <t>R127010331</t>
  </si>
  <si>
    <t>فيلا للبيع في حي الياسمين، شمال الرياض</t>
  </si>
  <si>
    <t>E444987673</t>
  </si>
  <si>
    <t>H764010377</t>
  </si>
  <si>
    <t>P813494093</t>
  </si>
  <si>
    <t>شقة للبيع في النرجس، شمال الرياض</t>
  </si>
  <si>
    <t>X492348743</t>
  </si>
  <si>
    <t>K975489499</t>
  </si>
  <si>
    <t>للبيع فيلا في بدر، جنوب الرياض</t>
  </si>
  <si>
    <t>S697226943</t>
  </si>
  <si>
    <t>أدوار للبيع في شارع النورس، الرياض</t>
  </si>
  <si>
    <t>F893121520</t>
  </si>
  <si>
    <t>Q180780624</t>
  </si>
  <si>
    <t>شقة فاخره بحي القادسية لراغبي التميز</t>
  </si>
  <si>
    <t>S450036339</t>
  </si>
  <si>
    <t>شقة للبيع في بدر, جنوب الرياض</t>
  </si>
  <si>
    <t>B752754860</t>
  </si>
  <si>
    <t>فيلا للبيع في الملقا, شمال الرياض</t>
  </si>
  <si>
    <t>L048647177</t>
  </si>
  <si>
    <t>فيلا للبيع في طويق, غرب الرياض</t>
  </si>
  <si>
    <t>L075155414</t>
  </si>
  <si>
    <t>أستراحة للبيع في بنبان, شمال الرياض</t>
  </si>
  <si>
    <t>بنبان، الرياض</t>
  </si>
  <si>
    <t>حي بنبان</t>
  </si>
  <si>
    <t>O525625941</t>
  </si>
  <si>
    <t>مكتب دليل المسوقين للعقارات</t>
  </si>
  <si>
    <t>K648420020</t>
  </si>
  <si>
    <t>فيلا حي المعيزيله -درج داخلي - مستخدمة</t>
  </si>
  <si>
    <t>المعيزلة، شرق الرياض، الرياض</t>
  </si>
  <si>
    <t>حي المعيزلة</t>
  </si>
  <si>
    <t>D673704645</t>
  </si>
  <si>
    <t>فيلا للبيع في العارض، الرياض</t>
  </si>
  <si>
    <t>مشاورات العقارية</t>
  </si>
  <si>
    <t>V024212599</t>
  </si>
  <si>
    <t>دور للبيع في الحزم، غرب الرياض</t>
  </si>
  <si>
    <t>M744512289</t>
  </si>
  <si>
    <t>فيلا للبيع في بدر، جنوب الرياض</t>
  </si>
  <si>
    <t>M787452868</t>
  </si>
  <si>
    <t>شقة للبيع في الحزم، غرب الرياض</t>
  </si>
  <si>
    <t>V872010771</t>
  </si>
  <si>
    <t>D596221626</t>
  </si>
  <si>
    <t>فيلا للبيع مساحتها 1090م ، حي العارض ، شمال الرياض</t>
  </si>
  <si>
    <t>A036763011</t>
  </si>
  <si>
    <t>مبنى سكني بـ 5 غرف نوم للبيع في الخالدية، الرياض</t>
  </si>
  <si>
    <t>الخالدية، وسط الرياض، الرياض</t>
  </si>
  <si>
    <t>حي الخالدية</t>
  </si>
  <si>
    <t>V207564433</t>
  </si>
  <si>
    <t>R033797270</t>
  </si>
  <si>
    <t>عماره للبيع بمجموعة شقق، الرياض</t>
  </si>
  <si>
    <t>العود، وسط الرياض، الرياض</t>
  </si>
  <si>
    <t>حي العود</t>
  </si>
  <si>
    <t>U817780540</t>
  </si>
  <si>
    <t>فيلا للبيع في النرجس، الرياض</t>
  </si>
  <si>
    <t>E712374039</t>
  </si>
  <si>
    <t>X686586861</t>
  </si>
  <si>
    <t>8 غرف نوم فيلل للبيع في طويق</t>
  </si>
  <si>
    <t>O096664982</t>
  </si>
  <si>
    <t>شقة للبيع في الزهرة، غرب الرياض</t>
  </si>
  <si>
    <t>E824489022</t>
  </si>
  <si>
    <t>فلل للبيع في المهدية، غرب الرياض</t>
  </si>
  <si>
    <t>لمسة ترف العقارية</t>
  </si>
  <si>
    <t>J853464113</t>
  </si>
  <si>
    <t>شقق فاخرة للبيع في  الملقا، شمال الرياض</t>
  </si>
  <si>
    <t>Y613069109</t>
  </si>
  <si>
    <t>للبيع فله مستقله بحي النرجس سلمان</t>
  </si>
  <si>
    <t>H980234855</t>
  </si>
  <si>
    <t>فيلا فاخرة للبيع في الروضة, شرق الرياض</t>
  </si>
  <si>
    <t>مكتب عواض شعيفان المطيري للعقارات</t>
  </si>
  <si>
    <t>P544501935</t>
  </si>
  <si>
    <t>أرض سكنية للبيع في ظهرة لبن، غرب الرياض</t>
  </si>
  <si>
    <t>Z364227129</t>
  </si>
  <si>
    <t>فيلا 6 غرف نوم للبيع في الجنادرية، الرياض</t>
  </si>
  <si>
    <t>I201441787</t>
  </si>
  <si>
    <t>فيلا درج داخلي للبيع في الرمال، شرق الرياض</t>
  </si>
  <si>
    <t>مكتب ركن هتان للعقارات</t>
  </si>
  <si>
    <t>U541688274</t>
  </si>
  <si>
    <t>للبيع فيلا في المهدية، غرب الرياض</t>
  </si>
  <si>
    <t>R909930328</t>
  </si>
  <si>
    <t>مكتب عبدالعزيز ياسين محمد العجلاني للخدمات العقارية</t>
  </si>
  <si>
    <t>M530358577</t>
  </si>
  <si>
    <t>K947512316</t>
  </si>
  <si>
    <t>شقة للبيع في العوالي، غرب الرياض</t>
  </si>
  <si>
    <t>إسكان سلمان للتسويق العقاري</t>
  </si>
  <si>
    <t>R290227775</t>
  </si>
  <si>
    <t>شقة للبيع في  عكاظ، جنوب الرياض</t>
  </si>
  <si>
    <t>L066807224</t>
  </si>
  <si>
    <t>دور للبيع في حي العزيزية، جنوب الرياض</t>
  </si>
  <si>
    <t>T640666456</t>
  </si>
  <si>
    <t>منفوحة، وسط الرياض، الرياض</t>
  </si>
  <si>
    <t>حي منفوحة</t>
  </si>
  <si>
    <t>A539461929</t>
  </si>
  <si>
    <t>W664367006</t>
  </si>
  <si>
    <t>شقة للبيع في عكاظ, جنوب الرياض</t>
  </si>
  <si>
    <t>K928562978</t>
  </si>
  <si>
    <t>X011560087</t>
  </si>
  <si>
    <t>N546158860</t>
  </si>
  <si>
    <t>N420932691</t>
  </si>
  <si>
    <t>Y661799468</t>
  </si>
  <si>
    <t>فيلا للبيع في الحزم، غرب الرياض</t>
  </si>
  <si>
    <t>السليمان للعقارات</t>
  </si>
  <si>
    <t>Q426993727</t>
  </si>
  <si>
    <t>V840089178</t>
  </si>
  <si>
    <t>للبيع دور في بدر، جنوب الرياض</t>
  </si>
  <si>
    <t>B414172549</t>
  </si>
  <si>
    <t>X990398517</t>
  </si>
  <si>
    <t>فيلا للبيع في العارض, شمال الرياض</t>
  </si>
  <si>
    <t>G665595468</t>
  </si>
  <si>
    <t>فلل للبيع في الروضة، شرق الرياض</t>
  </si>
  <si>
    <t>شركة وكن للتطوير واالستثمار العقاري</t>
  </si>
  <si>
    <t>T668552259</t>
  </si>
  <si>
    <t>فيلا 5 غرف نوم للبيع العريض، الرياض</t>
  </si>
  <si>
    <t>مؤسسة المكعب الجديد العقارية</t>
  </si>
  <si>
    <t>V401348601</t>
  </si>
  <si>
    <t>D894006154</t>
  </si>
  <si>
    <t>Z425384313</t>
  </si>
  <si>
    <t>شقة للبيع في طويق, غرب الرياض</t>
  </si>
  <si>
    <t>S013898338</t>
  </si>
  <si>
    <t>W758051952</t>
  </si>
  <si>
    <t>Z913066298</t>
  </si>
  <si>
    <t>شقة للبيع في ظهرة لبن عند نادي الرياض</t>
  </si>
  <si>
    <t>لبن، غرب الرياض، الرياض</t>
  </si>
  <si>
    <t>حي لبن</t>
  </si>
  <si>
    <t>U293474326</t>
  </si>
  <si>
    <t>فيلا في حي الصفا</t>
  </si>
  <si>
    <t>الصفا، شرق الرياض، الرياض</t>
  </si>
  <si>
    <t>حي الصفا</t>
  </si>
  <si>
    <t>نقش للاستثمار</t>
  </si>
  <si>
    <t>X928110485</t>
  </si>
  <si>
    <t>شقة للبيع في العارض، شمال الرياض</t>
  </si>
  <si>
    <t>Z992564272</t>
  </si>
  <si>
    <t>N227283547</t>
  </si>
  <si>
    <t>N939565560</t>
  </si>
  <si>
    <t>للبيع فيلا في حي النظيم</t>
  </si>
  <si>
    <t>النظيم، شرق الرياض، الرياض</t>
  </si>
  <si>
    <t>حي النظيم</t>
  </si>
  <si>
    <t>R322741564</t>
  </si>
  <si>
    <t>فيلا للبيع في الياسمين، الرياض</t>
  </si>
  <si>
    <t>R356186338</t>
  </si>
  <si>
    <t>أرض سكنية للبيع في حي القيروان، شمال الرياض</t>
  </si>
  <si>
    <t>Z498314412</t>
  </si>
  <si>
    <t>ارض للبيع في شمال الرياض</t>
  </si>
  <si>
    <t>P029003937</t>
  </si>
  <si>
    <t>D145802374</t>
  </si>
  <si>
    <t>أرض للبيع في ضاحية نمار, غرب الرياض</t>
  </si>
  <si>
    <t>ضاحية نمار، غرب الرياض، الرياض</t>
  </si>
  <si>
    <t>حي ضاحية نمار</t>
  </si>
  <si>
    <t>شركة رواد التغيير للتطوير العقاري</t>
  </si>
  <si>
    <t>K064469209</t>
  </si>
  <si>
    <t>شقة 6 غرف نوم للبيع في القرطبة، الرياض</t>
  </si>
  <si>
    <t>Q684327464</t>
  </si>
  <si>
    <t>شقه للبيع ظهرة لبن</t>
  </si>
  <si>
    <t>B405626919</t>
  </si>
  <si>
    <t>أرض للبيع في حي الزاهر, مدينة الرياض</t>
  </si>
  <si>
    <t>الزاهر، الرياض</t>
  </si>
  <si>
    <t>حي الزاهر</t>
  </si>
  <si>
    <t>U983403593</t>
  </si>
  <si>
    <t>شقق بنظام أدوار - شادو ريزيدنس</t>
  </si>
  <si>
    <t>شركة أكتال العقارية</t>
  </si>
  <si>
    <t>W291282205</t>
  </si>
  <si>
    <t>Y022450653</t>
  </si>
  <si>
    <t>أرض للبيع في اليرموك, شرق الرياض</t>
  </si>
  <si>
    <t>V038403949</t>
  </si>
  <si>
    <t>فيلا دور واحد في  مخطط الخير، شمال الرياض</t>
  </si>
  <si>
    <t>شركة نهر للعقارات</t>
  </si>
  <si>
    <t>K395176046</t>
  </si>
  <si>
    <t>دور للبيع في العليا, شمال الرياض</t>
  </si>
  <si>
    <t>G808313478</t>
  </si>
  <si>
    <t>V185821518</t>
  </si>
  <si>
    <t>أدوار مفصولة للبيع في شبرا، غرب الرياض</t>
  </si>
  <si>
    <t>I399666533</t>
  </si>
  <si>
    <t>شقة للبيع في اليرموك، شرق الرياض</t>
  </si>
  <si>
    <t>J266872780</t>
  </si>
  <si>
    <t>R081499938</t>
  </si>
  <si>
    <t>فيلا للبيع في  سدرة، الرياض</t>
  </si>
  <si>
    <t>سدرة، الرياض</t>
  </si>
  <si>
    <t>حي سدرة</t>
  </si>
  <si>
    <t>Z376230171</t>
  </si>
  <si>
    <t>دور للبيع في الخالدية, وسط الرياض</t>
  </si>
  <si>
    <t>O195374530</t>
  </si>
  <si>
    <t>فيلا زاوية مع مسبح للبيع في العليا، الرياض</t>
  </si>
  <si>
    <t>I455424304</t>
  </si>
  <si>
    <t>شقق للبيع في طويق, غرب الرياض</t>
  </si>
  <si>
    <t>Z128591552</t>
  </si>
  <si>
    <t>للبيع أدوار وملاحق في النزهة، شمال الرياض</t>
  </si>
  <si>
    <t>النزهة، شمال الرياض، الرياض</t>
  </si>
  <si>
    <t>حي النزهة</t>
  </si>
  <si>
    <t>اللحيدان للعقارات</t>
  </si>
  <si>
    <t>J597372662</t>
  </si>
  <si>
    <t>التشييد الراقي للتطوير العقاري</t>
  </si>
  <si>
    <t>D215878541</t>
  </si>
  <si>
    <t>S663365085</t>
  </si>
  <si>
    <t>قصر للبيع في المغرزات، شمال الرياض المساحة 2160 متر مربع</t>
  </si>
  <si>
    <t>المغرزات، شمال الرياض، الرياض</t>
  </si>
  <si>
    <t>حي المغرزات</t>
  </si>
  <si>
    <t>منازل نجد العقارية</t>
  </si>
  <si>
    <t>A664367006</t>
  </si>
  <si>
    <t>Q411091119</t>
  </si>
  <si>
    <t>B771497518</t>
  </si>
  <si>
    <t>V557245248</t>
  </si>
  <si>
    <t>للبيع أدوار في بدر، جنوب الرياض</t>
  </si>
  <si>
    <t>B456593550</t>
  </si>
  <si>
    <t>W916822852</t>
  </si>
  <si>
    <t>O868944545</t>
  </si>
  <si>
    <t>النفل، شمال الرياض، الرياض</t>
  </si>
  <si>
    <t>حي النفل</t>
  </si>
  <si>
    <t>مؤسسة بارج للتطوير العقاري</t>
  </si>
  <si>
    <t>L010741269</t>
  </si>
  <si>
    <t>شقق للبيع في السويدي، غرب الرياض</t>
  </si>
  <si>
    <t>T764102320</t>
  </si>
  <si>
    <t>فيلا للبيع في مخطط الخير، شمال الرياض</t>
  </si>
  <si>
    <t>L611019102</t>
  </si>
  <si>
    <t>L798902323</t>
  </si>
  <si>
    <t>دور للبيع في قرطبة، شرق الرياض</t>
  </si>
  <si>
    <t>O280010367</t>
  </si>
  <si>
    <t>شقة للبيع في  بدر، جنوب الرياض</t>
  </si>
  <si>
    <t>Y588343737</t>
  </si>
  <si>
    <t>F654941294</t>
  </si>
  <si>
    <t>شركة أسوار العقار للعقارات</t>
  </si>
  <si>
    <t>Q371587538</t>
  </si>
  <si>
    <t>فيلا للبيع في  الخليج، شرق الرياض</t>
  </si>
  <si>
    <t>H900111264</t>
  </si>
  <si>
    <t>شقة للبيع في القادسية، شرق الرياض</t>
  </si>
  <si>
    <t>شركة مطور للتطوير العقاري</t>
  </si>
  <si>
    <t>C914349973</t>
  </si>
  <si>
    <t>أدوار للبيع في المونسية، شرق الرياض</t>
  </si>
  <si>
    <t>Z315311204</t>
  </si>
  <si>
    <t>للبيع فيلا فاخرة في اليرموك، شرق الرياض</t>
  </si>
  <si>
    <t>مكتب ريم الوادي للعقارات</t>
  </si>
  <si>
    <t>N630683474</t>
  </si>
  <si>
    <t>دور للايجار في نمار، غرب الرياض</t>
  </si>
  <si>
    <t>نمار، غرب الرياض، الرياض</t>
  </si>
  <si>
    <t>حي نمار</t>
  </si>
  <si>
    <t>I745427816</t>
  </si>
  <si>
    <t>دور للبيع في طويق, غرب الرياض</t>
  </si>
  <si>
    <t>I358001263</t>
  </si>
  <si>
    <t>دور ارضي بصك مستقل حي الرمال - الماجدية</t>
  </si>
  <si>
    <t>R629003588</t>
  </si>
  <si>
    <t>شقة للبيع في طويق، غرب الرياض</t>
  </si>
  <si>
    <t>I176248817</t>
  </si>
  <si>
    <t>للبيع فيلا درج داخلي وشقة في حي الرمال تنال شرق الرياض</t>
  </si>
  <si>
    <t>X020994728</t>
  </si>
  <si>
    <t>دور للايجار في  عكاظ، جنوب الرياض</t>
  </si>
  <si>
    <t>S044936733</t>
  </si>
  <si>
    <t>دور للبيع في نمار، غرب الرياض</t>
  </si>
  <si>
    <t>J669701526</t>
  </si>
  <si>
    <t>B657459984</t>
  </si>
  <si>
    <t>J758574838</t>
  </si>
  <si>
    <t>شقة 3 غرف بموقع مميز للبيع في اليرموك، الرياض</t>
  </si>
  <si>
    <t>B012472855</t>
  </si>
  <si>
    <t>P586170162</t>
  </si>
  <si>
    <t>V899256299</t>
  </si>
  <si>
    <t>S557985808</t>
  </si>
  <si>
    <t>C895960467</t>
  </si>
  <si>
    <t>T689471085</t>
  </si>
  <si>
    <t>F957890749</t>
  </si>
  <si>
    <t>شقق فاخرة للبيع في السويدي، غرب الرياض</t>
  </si>
  <si>
    <t>O077961289</t>
  </si>
  <si>
    <t>دور أول للبيع في القادسية، شرق الرياض</t>
  </si>
  <si>
    <t>C587521909</t>
  </si>
  <si>
    <t>Q797471380</t>
  </si>
  <si>
    <t>O693692376</t>
  </si>
  <si>
    <t>فيلا جديدة للبيع في الرمال، شرق الرياض</t>
  </si>
  <si>
    <t>M940711499</t>
  </si>
  <si>
    <t>أدوار أرضية للبيع في السعادة، شرق الرياض</t>
  </si>
  <si>
    <t>Y272555791</t>
  </si>
  <si>
    <t>فيلا للبيع في الرمال، شرق الرياض</t>
  </si>
  <si>
    <t>شركة أسس المسكن للعقارات</t>
  </si>
  <si>
    <t>H274669939</t>
  </si>
  <si>
    <t>فيلا للبيع في المعيزيلة، شرق الرياض</t>
  </si>
  <si>
    <t>U055859805</t>
  </si>
  <si>
    <t>شقة للبيع في القرطبة، شرق الرياض</t>
  </si>
  <si>
    <t>G531950070</t>
  </si>
  <si>
    <t>شقة للبيع في القادسية, شرق الرياض</t>
  </si>
  <si>
    <t>W769989295</t>
  </si>
  <si>
    <t>شقه فاخرة للبيع في النرجس, شمال الرياض</t>
  </si>
  <si>
    <t>V182548114</t>
  </si>
  <si>
    <t>دور للبيع في الدار البيضاء, جنوب الرياض</t>
  </si>
  <si>
    <t>C351071519</t>
  </si>
  <si>
    <t>شقة للبيع في السعادة، شرق الرياض</t>
  </si>
  <si>
    <t>N972574096</t>
  </si>
  <si>
    <t>J613405667</t>
  </si>
  <si>
    <t>Y164815080</t>
  </si>
  <si>
    <t>شقة للبيع في  الشهداء، شرق الرياض</t>
  </si>
  <si>
    <t>الشهداء، شرق الرياض، الرياض</t>
  </si>
  <si>
    <t>حي الشهداء</t>
  </si>
  <si>
    <t>Q932514259</t>
  </si>
  <si>
    <t>فيلا 4 غرف نوم للبيع في شارع أربل، الرياض</t>
  </si>
  <si>
    <t>P519507295</t>
  </si>
  <si>
    <t>فلل للبيع حي العارض، الرياض</t>
  </si>
  <si>
    <t>C271925619</t>
  </si>
  <si>
    <t>دور علوي للبيع في طيبة، جنوب الرياض</t>
  </si>
  <si>
    <t>J285446796</t>
  </si>
  <si>
    <t>N124389146</t>
  </si>
  <si>
    <t>J899256299</t>
  </si>
  <si>
    <t>W924307046</t>
  </si>
  <si>
    <t>Z435811083</t>
  </si>
  <si>
    <t>للبيع شقة في ظهرة لبن، غرب الرياض</t>
  </si>
  <si>
    <t>E488111650</t>
  </si>
  <si>
    <t>F557985808</t>
  </si>
  <si>
    <t>E600046048</t>
  </si>
  <si>
    <t>فيلا دبلوكس - الرياض - عكاظ ( بدر )</t>
  </si>
  <si>
    <t>P262408543</t>
  </si>
  <si>
    <t>دور للبيع في السعادة, شرق الرياض</t>
  </si>
  <si>
    <t>F605262015</t>
  </si>
  <si>
    <t>T294444782</t>
  </si>
  <si>
    <t>D725008669</t>
  </si>
  <si>
    <t>فيلا للبيع في  العريجاء الوسطى، غرب الرياض</t>
  </si>
  <si>
    <t>العريجاء الوسطى، غرب الرياض، الرياض</t>
  </si>
  <si>
    <t>حي العريجاء الوسطى</t>
  </si>
  <si>
    <t>J789678175</t>
  </si>
  <si>
    <t>فيلا للبيع في قرطبة, شرق الرياض</t>
  </si>
  <si>
    <t>B177844719</t>
  </si>
  <si>
    <t>ادوار للبيع في  النعيم، شمال جدة</t>
  </si>
  <si>
    <t>E333956278</t>
  </si>
  <si>
    <t>I424882782</t>
  </si>
  <si>
    <t>دور للبيع في طويق، غرب الرياض</t>
  </si>
  <si>
    <t>Q046601429</t>
  </si>
  <si>
    <t>Y895552792</t>
  </si>
  <si>
    <t>دور للبيع في  قرطبة، شرق الرياض</t>
  </si>
  <si>
    <t>S464052926</t>
  </si>
  <si>
    <t>F839497510</t>
  </si>
  <si>
    <t>شقة فاخرة للبيع في النرجس, شمال الرياض</t>
  </si>
  <si>
    <t>M306634679</t>
  </si>
  <si>
    <t>شقة للبيع في الروضة, شرق الرياض</t>
  </si>
  <si>
    <t>A469999189</t>
  </si>
  <si>
    <t>V473176340</t>
  </si>
  <si>
    <t>S554727661</t>
  </si>
  <si>
    <t>B404740649</t>
  </si>
  <si>
    <t>للبيع فيلا وارض ـ الفيلا 440م و ارض مظاهر لها 360م في النسيم الشرقي, شرق الرياض</t>
  </si>
  <si>
    <t>النسيم الشرقي، شرق الرياض، الرياض</t>
  </si>
  <si>
    <t>حي النسيم الشرقي</t>
  </si>
  <si>
    <t>M576059665</t>
  </si>
  <si>
    <t>شقة للبيع بالمونسية، شرق الرياض</t>
  </si>
  <si>
    <t>F236719868</t>
  </si>
  <si>
    <t>T567044536</t>
  </si>
  <si>
    <t>دور للبيع في  شبرا، غرب الرياض</t>
  </si>
  <si>
    <t>R690169535</t>
  </si>
  <si>
    <t>شقة مستخدمة للبيع في الدار البيضاء، جنوب الرياض</t>
  </si>
  <si>
    <t>S642738876</t>
  </si>
  <si>
    <t>شقة للبيع في الدار البيضاء، جنوب بالرياض</t>
  </si>
  <si>
    <t>N644746608</t>
  </si>
  <si>
    <t>مؤسسة الفا البواني العقارية</t>
  </si>
  <si>
    <t>L567700060</t>
  </si>
  <si>
    <t>فيلا للبيع في حطين، شمال الرياض</t>
  </si>
  <si>
    <t>T588343737</t>
  </si>
  <si>
    <t>K952751472</t>
  </si>
  <si>
    <t>K148954850</t>
  </si>
  <si>
    <t>دور للبيع في  طويق، غرب الرياض</t>
  </si>
  <si>
    <t>C281283121</t>
  </si>
  <si>
    <t>فيلا للبيع في  المهدية، غرب الرياض</t>
  </si>
  <si>
    <t>مكتب دليل المهدية للعقارات</t>
  </si>
  <si>
    <t>N189158718</t>
  </si>
  <si>
    <t>عمارة للبيع في غبيرة، وسط الرياض</t>
  </si>
  <si>
    <t>غبيرة، وسط الرياض، الرياض</t>
  </si>
  <si>
    <t>حي غبيرة</t>
  </si>
  <si>
    <t>L958226528</t>
  </si>
  <si>
    <t>X958226528</t>
  </si>
  <si>
    <t>I768066941</t>
  </si>
  <si>
    <t>W485373316</t>
  </si>
  <si>
    <t>فيلا للبيع في قرطبة، شرق الرياض</t>
  </si>
  <si>
    <t>S354019769</t>
  </si>
  <si>
    <t>C170865092</t>
  </si>
  <si>
    <t>C457999136</t>
  </si>
  <si>
    <t>Z663498097</t>
  </si>
  <si>
    <t>E695708452</t>
  </si>
  <si>
    <t>شقة للبيع في نمار، غرب الرياض</t>
  </si>
  <si>
    <t>C642024082</t>
  </si>
  <si>
    <t>شقة للبيع في  قرطبة، شرق الرياض</t>
  </si>
  <si>
    <t>G595791167</t>
  </si>
  <si>
    <t>S076431395</t>
  </si>
  <si>
    <t>Y884894679</t>
  </si>
  <si>
    <t>شقة للبيع في حي طويق، غرب الرياض</t>
  </si>
  <si>
    <t>J182745789</t>
  </si>
  <si>
    <t>أرض سكنية للبيع في عريض، الرياض</t>
  </si>
  <si>
    <t>D891635711</t>
  </si>
  <si>
    <t>دور للبيع في العوالي، غرب الرياض</t>
  </si>
  <si>
    <t>سمو المملكة للخدمات العقارية</t>
  </si>
  <si>
    <t>Z912619538</t>
  </si>
  <si>
    <t>دور أرضي للبيع في السعادة، شرق الرياض</t>
  </si>
  <si>
    <t>Z800742693</t>
  </si>
  <si>
    <t>فيلا درج صالة للبيع في  الفيحاء، شرق الرياض</t>
  </si>
  <si>
    <t>الفيحاء، شرق الرياض، الرياض</t>
  </si>
  <si>
    <t>حي الفيحاء</t>
  </si>
  <si>
    <t>G223629612</t>
  </si>
  <si>
    <t>T280372438</t>
  </si>
  <si>
    <t>مكتب علي صالح الجردان للعقارات</t>
  </si>
  <si>
    <t>X915816591</t>
  </si>
  <si>
    <t>استراحة للبيع النرجس، الرياض</t>
  </si>
  <si>
    <t>C708014829</t>
  </si>
  <si>
    <t>دور بصك موقع مميز جميع الخدمات متوفرة</t>
  </si>
  <si>
    <t>I317869755</t>
  </si>
  <si>
    <t>J850156512</t>
  </si>
  <si>
    <t>ادوار للبيع في شبرا، غرب الرياض</t>
  </si>
  <si>
    <t>V473330130</t>
  </si>
  <si>
    <t>للبيع بنتهاوس في  حي المونسية شرق الرياض</t>
  </si>
  <si>
    <t>X008182627</t>
  </si>
  <si>
    <t>R800845206</t>
  </si>
  <si>
    <t>A447820498</t>
  </si>
  <si>
    <t>F392553841</t>
  </si>
  <si>
    <t>عمارة سكنية للبيع بحي جرير، وسط الرياض</t>
  </si>
  <si>
    <t>جرير، وسط الرياض، الرياض</t>
  </si>
  <si>
    <t>حي جرير</t>
  </si>
  <si>
    <t>F819342994</t>
  </si>
  <si>
    <t>دورين منفصلين  للبيع في الرمال, شرق الرياض</t>
  </si>
  <si>
    <t>R061122259</t>
  </si>
  <si>
    <t>فيلا بـ 11 غرفة نوم للبيع في الدار البيضاء، الرياض</t>
  </si>
  <si>
    <t>مكتب الاحمدي للعقارات</t>
  </si>
  <si>
    <t>F811758788</t>
  </si>
  <si>
    <t>B778746259</t>
  </si>
  <si>
    <t>A336007772</t>
  </si>
  <si>
    <t>عمارة سكنية للبيع في غرناطة، شرق الرياض</t>
  </si>
  <si>
    <t>غرناطة، شرق الرياض، الرياض</t>
  </si>
  <si>
    <t>حي غرناطة</t>
  </si>
  <si>
    <t>Z360408682</t>
  </si>
  <si>
    <t>عمارة سكنية للبيع في المعذر, غرب الرياض</t>
  </si>
  <si>
    <t>المعذر، غرب الرياض، الرياض</t>
  </si>
  <si>
    <t>حي المعذر</t>
  </si>
  <si>
    <t>V245920485</t>
  </si>
  <si>
    <t>G793652683</t>
  </si>
  <si>
    <t>U146459347</t>
  </si>
  <si>
    <t>فيلا دوبلكس مسكن أول بالرياض الشفا حى بدر</t>
  </si>
  <si>
    <t>C345839661</t>
  </si>
  <si>
    <t>شقة للبيع في العريجاء الغربية، غرب الرياض</t>
  </si>
  <si>
    <t>العريجاء الغربية، غرب الرياض، الرياض</t>
  </si>
  <si>
    <t>حي العريجاء الغربية</t>
  </si>
  <si>
    <t>B967196406</t>
  </si>
  <si>
    <t>M940509531</t>
  </si>
  <si>
    <t>فيلا للبيع أحد، جنوب الرياض</t>
  </si>
  <si>
    <t>احد، جنوب الرياض، الرياض</t>
  </si>
  <si>
    <t>حي احد</t>
  </si>
  <si>
    <t>D336199093</t>
  </si>
  <si>
    <t>I565851689</t>
  </si>
  <si>
    <t>S529428301</t>
  </si>
  <si>
    <t>دور أرضي للبيع في القادسية، شرق الرياض</t>
  </si>
  <si>
    <t>N558809298</t>
  </si>
  <si>
    <t>للبيع شقة في المهدية، غرب الرياض</t>
  </si>
  <si>
    <t>S829562460</t>
  </si>
  <si>
    <t>شقة للبيع في المهدية, غرب الرياض</t>
  </si>
  <si>
    <t>T829436455</t>
  </si>
  <si>
    <t>T403241518</t>
  </si>
  <si>
    <t>V201812960</t>
  </si>
  <si>
    <t>شقة للبيع في المعيزلة، شرق الرياض</t>
  </si>
  <si>
    <t>C906105861</t>
  </si>
  <si>
    <t>L989551140</t>
  </si>
  <si>
    <t>شقة للبيع في  الروضة، شرق الرياض</t>
  </si>
  <si>
    <t>D850549264</t>
  </si>
  <si>
    <t>U614032379</t>
  </si>
  <si>
    <t>شقة دورين للبيع في طويق، غرب الرياض</t>
  </si>
  <si>
    <t>X619502156</t>
  </si>
  <si>
    <t>Q245220774</t>
  </si>
  <si>
    <t>N992629350</t>
  </si>
  <si>
    <t>فيلا دبلوكس للبيع في حي الفاروق الرياض</t>
  </si>
  <si>
    <t>الفاروق، وسط الرياض، الرياض</t>
  </si>
  <si>
    <t>حي الفاروق</t>
  </si>
  <si>
    <t>بيت النائف للتطوير العقاري</t>
  </si>
  <si>
    <t>Z431699929</t>
  </si>
  <si>
    <t>V135067827</t>
  </si>
  <si>
    <t>Q462262513</t>
  </si>
  <si>
    <t>شقة 5 غرف نوم للبيع في بدر، الرياض</t>
  </si>
  <si>
    <t>R447820498</t>
  </si>
  <si>
    <t>D976202645</t>
  </si>
  <si>
    <t>فيلا للبيع في الياسمين، شمال الرياض</t>
  </si>
  <si>
    <t>X634863845</t>
  </si>
  <si>
    <t>L707010744</t>
  </si>
  <si>
    <t>P629646399</t>
  </si>
  <si>
    <t>شقة للبيع في المهدية، غرب الرياض</t>
  </si>
  <si>
    <t>L634863692</t>
  </si>
  <si>
    <t>J978605897</t>
  </si>
  <si>
    <t>شقة للبيع في ظهرة لبن, غرب الرياض</t>
  </si>
  <si>
    <t>B287042589</t>
  </si>
  <si>
    <t>D575482757</t>
  </si>
  <si>
    <t>دور للبيع في السعادة، شرق الرياض</t>
  </si>
  <si>
    <t>Z145162840</t>
  </si>
  <si>
    <t>شقق للبيع في  المونسية، شرق الرياض</t>
  </si>
  <si>
    <t>شركة رافد للمقاولات عامة</t>
  </si>
  <si>
    <t>P282234862</t>
  </si>
  <si>
    <t>دور للبيع في شارع عبدالوهاب عزام, حي الروابي, مدينة الرياض</t>
  </si>
  <si>
    <t>الروابي، شرق الرياض، الرياض</t>
  </si>
  <si>
    <t>حي الروابي</t>
  </si>
  <si>
    <t>X145977240</t>
  </si>
  <si>
    <t>فيلا للبيع في اليرموك، شرق الرياض</t>
  </si>
  <si>
    <t>R305160803</t>
  </si>
  <si>
    <t>دور علوي للبيع في الرمال، الرياض</t>
  </si>
  <si>
    <t>شركة المجال الدولي</t>
  </si>
  <si>
    <t>W291590980</t>
  </si>
  <si>
    <t>P913786983</t>
  </si>
  <si>
    <t>شقة - الرياض - طويق</t>
  </si>
  <si>
    <t>D873031475</t>
  </si>
  <si>
    <t>شقة للبيع في  السعادة، شرق الرياض</t>
  </si>
  <si>
    <t>F082121363</t>
  </si>
  <si>
    <t>G436507278</t>
  </si>
  <si>
    <t>ارض</t>
  </si>
  <si>
    <t>أرض للبيع في المرسلات، شمال الرياض</t>
  </si>
  <si>
    <t>المرسلات، شمال الرياض، الرياض</t>
  </si>
  <si>
    <t>حي المرسلات</t>
  </si>
  <si>
    <t>مجموعة سلطان محمد المسند العقارية</t>
  </si>
  <si>
    <t>R648752371</t>
  </si>
  <si>
    <t>استراحة للبيع في الزاهر, الرياض</t>
  </si>
  <si>
    <t>Z566757439</t>
  </si>
  <si>
    <t>G850549264</t>
  </si>
  <si>
    <t>P437468023</t>
  </si>
  <si>
    <t>Z294015226</t>
  </si>
  <si>
    <t>فيلا للبيع في  الرمال، شرق الرياض</t>
  </si>
  <si>
    <t>L273414355</t>
  </si>
  <si>
    <t>شقة للبيع في العزيزية, جنوب الرياض</t>
  </si>
  <si>
    <t>E397200880</t>
  </si>
  <si>
    <t>L680069017</t>
  </si>
  <si>
    <t>دور - الرياض - الرمال</t>
  </si>
  <si>
    <t>N363996806</t>
  </si>
  <si>
    <t>دور - الرياض - حي الرمال</t>
  </si>
  <si>
    <t>S632516938</t>
  </si>
  <si>
    <t>شقق للبيع في الملك فيصل، شرق الرياض</t>
  </si>
  <si>
    <t>J272801941</t>
  </si>
  <si>
    <t>فيلا للبيع الملك عبدالله، شمال الرياض</t>
  </si>
  <si>
    <t>الملك عبدالله، شمال الرياض، الرياض</t>
  </si>
  <si>
    <t>حي الملك عبدالله</t>
  </si>
  <si>
    <t>A488911087</t>
  </si>
  <si>
    <t>شقة 5 غرف نوم للبيع في المونسية ، الرياض</t>
  </si>
  <si>
    <t>N982675278</t>
  </si>
  <si>
    <t>شقق جديده</t>
  </si>
  <si>
    <t>L311541567</t>
  </si>
  <si>
    <t>الرياض حي السويدي الغربي شارع 15 غربي</t>
  </si>
  <si>
    <t>السويدي الغربي، غرب الرياض، الرياض</t>
  </si>
  <si>
    <t>حي السويدي الغربي</t>
  </si>
  <si>
    <t>Q663791159</t>
  </si>
  <si>
    <t>شقة للبيع في النخيل، شمال الرياض</t>
  </si>
  <si>
    <t>النخيل، شمال الرياض، الرياض</t>
  </si>
  <si>
    <t>حي النخيل</t>
  </si>
  <si>
    <t>B610097974</t>
  </si>
  <si>
    <t>S207997014</t>
  </si>
  <si>
    <t>قصر للبيع في الملز، شرق الرياض</t>
  </si>
  <si>
    <t>S110691384</t>
  </si>
  <si>
    <t>شركة راكز العقارية</t>
  </si>
  <si>
    <t>O515368810</t>
  </si>
  <si>
    <t>فيلا فاخرة للبيع في حطين، شمال الرياض</t>
  </si>
  <si>
    <t>شركة تشييد نجد للتطوير والاستثمار العقاري</t>
  </si>
  <si>
    <t>H475856056</t>
  </si>
  <si>
    <t>مكتب الوان البصمة للعقارات</t>
  </si>
  <si>
    <t>E671677318</t>
  </si>
  <si>
    <t>J440048355</t>
  </si>
  <si>
    <t>J184271012</t>
  </si>
  <si>
    <t>فيلا بغرفة نوم واحدة للبيع في الدار البيضاء ، الرياض</t>
  </si>
  <si>
    <t>Q714538927</t>
  </si>
  <si>
    <t>Z314302961</t>
  </si>
  <si>
    <t>A292890442</t>
  </si>
  <si>
    <t>دور - الرياض - البيان (الشرق)</t>
  </si>
  <si>
    <t>D444987673</t>
  </si>
  <si>
    <t>P597293055</t>
  </si>
  <si>
    <t>H086994899</t>
  </si>
  <si>
    <t>شقة - الرياض - حي الرمال</t>
  </si>
  <si>
    <t>Z112586077</t>
  </si>
  <si>
    <t>فيلا - الرياض - السعادة</t>
  </si>
  <si>
    <t>B899256299</t>
  </si>
  <si>
    <t>G557985808</t>
  </si>
  <si>
    <t>F162277606</t>
  </si>
  <si>
    <t>دور - الرياض - بدر ( عريض )</t>
  </si>
  <si>
    <t>H701483355</t>
  </si>
  <si>
    <t>دور - الرياض - حى الرمال</t>
  </si>
  <si>
    <t>U124260026</t>
  </si>
  <si>
    <t>R308787329</t>
  </si>
  <si>
    <t>شقق فاخرة للبيع في  السويدي، غرب الرياض</t>
  </si>
  <si>
    <t>U833090161</t>
  </si>
  <si>
    <t>B839686779</t>
  </si>
  <si>
    <t>دور للبيع في العليا، شمال الرياض</t>
  </si>
  <si>
    <t>T962875223</t>
  </si>
  <si>
    <t>فيلا للبيع في الملك فيصل, شرق الرياض</t>
  </si>
  <si>
    <t>Z317869755</t>
  </si>
  <si>
    <t>Z961615343</t>
  </si>
  <si>
    <t>شقة 4 غرف نوم للبيع في العارض، الرياض</t>
  </si>
  <si>
    <t>D028668320</t>
  </si>
  <si>
    <t>Q403241518</t>
  </si>
  <si>
    <t>I643888923</t>
  </si>
  <si>
    <t>شقة للبيع في المروة، جنوب الرياض</t>
  </si>
  <si>
    <t>المروة، جنوب الرياض، الرياض</t>
  </si>
  <si>
    <t>حي المروة</t>
  </si>
  <si>
    <t>E142025309</t>
  </si>
  <si>
    <t>دور - الرياض - حي المعيزلة</t>
  </si>
  <si>
    <t>G148619744</t>
  </si>
  <si>
    <t>شقة تاون هاوس - الرياض - الرمال</t>
  </si>
  <si>
    <t>R123263465</t>
  </si>
  <si>
    <t>S210550421</t>
  </si>
  <si>
    <t>شقة - الرياض - حي الملقا</t>
  </si>
  <si>
    <t>Q063023035</t>
  </si>
  <si>
    <t>G162277606</t>
  </si>
  <si>
    <t>T775094432</t>
  </si>
  <si>
    <t>A162730225</t>
  </si>
  <si>
    <t>دور للبيع في  الرمال، شرق الرياض</t>
  </si>
  <si>
    <t>R123559023</t>
  </si>
  <si>
    <t>Q859159721</t>
  </si>
  <si>
    <t>شقة تاون هاوس - الرياض - حي بدر</t>
  </si>
  <si>
    <t>L482930047</t>
  </si>
  <si>
    <t>فيلا - الرياض - حي الملقا</t>
  </si>
  <si>
    <t>V317806220</t>
  </si>
  <si>
    <t>دور - الرياض - عكاظ</t>
  </si>
  <si>
    <t>E121946173</t>
  </si>
  <si>
    <t>L793508401</t>
  </si>
  <si>
    <t>W712103922</t>
  </si>
  <si>
    <t>B695199577</t>
  </si>
  <si>
    <t>شقة جديدة فاخرة بالنرجس، شمال الرياض</t>
  </si>
  <si>
    <t>D824367615</t>
  </si>
  <si>
    <t>G459105891</t>
  </si>
  <si>
    <t>L782736729</t>
  </si>
  <si>
    <t>Q252325425</t>
  </si>
  <si>
    <t>Q073560916</t>
  </si>
  <si>
    <t>دور للبيع في النرجس, شمال الرياض</t>
  </si>
  <si>
    <t>O376944726</t>
  </si>
  <si>
    <t>R282535282</t>
  </si>
  <si>
    <t>شركة عبدالله محمد الطبيشي للتطوير والاستثمار العقاري</t>
  </si>
  <si>
    <t>L965653550</t>
  </si>
  <si>
    <t>شقق للبيع في الدار البيضاء، جنوب الرياض</t>
  </si>
  <si>
    <t>N317869755</t>
  </si>
  <si>
    <t>H556324367</t>
  </si>
  <si>
    <t>شقة - الرياض - الرمال</t>
  </si>
  <si>
    <t>S299562700</t>
  </si>
  <si>
    <t>فيلا تاون هاوس - الرياض - حي الرمال</t>
  </si>
  <si>
    <t>Z053764860</t>
  </si>
  <si>
    <t>شقة - الرياض - حي السعادة</t>
  </si>
  <si>
    <t>Q193231257</t>
  </si>
  <si>
    <t>دور للبيع في القادسية, شرق الرياض</t>
  </si>
  <si>
    <t>B850549264</t>
  </si>
  <si>
    <t>M427115100</t>
  </si>
  <si>
    <t>W150715572</t>
  </si>
  <si>
    <t>M448394207</t>
  </si>
  <si>
    <t>H929989620</t>
  </si>
  <si>
    <t>فيلا للبيع في القادسية، شرق الرياض</t>
  </si>
  <si>
    <t>T913695990</t>
  </si>
  <si>
    <t>فيلا للبيع في حي النرجس، الرياض</t>
  </si>
  <si>
    <t>مشارف الشمال للعقارات</t>
  </si>
  <si>
    <t>W432962464</t>
  </si>
  <si>
    <t>شقة  للبيع في حي الرمال ، الرياض</t>
  </si>
  <si>
    <t>شركة صروح المدائن للعقارات</t>
  </si>
  <si>
    <t>Q450757578</t>
  </si>
  <si>
    <t>عمارة للبيع في جرير, وسط الرياض</t>
  </si>
  <si>
    <t>T888706470</t>
  </si>
  <si>
    <t>C912249810</t>
  </si>
  <si>
    <t>شقة - الرياض - ضاحية نمار (الحزم)</t>
  </si>
  <si>
    <t>A719919280</t>
  </si>
  <si>
    <t>فيلا 5 غرف نوم للبيع في الشفاء، الرياض</t>
  </si>
  <si>
    <t>شركة دروب الاستقرار</t>
  </si>
  <si>
    <t>G183692247</t>
  </si>
  <si>
    <t>شقة للبيع في  العوالي، غرب الرياض</t>
  </si>
  <si>
    <t>K064571502</t>
  </si>
  <si>
    <t>للبيع أدوار في شبرا، غرب الرياض</t>
  </si>
  <si>
    <t>G539461929</t>
  </si>
  <si>
    <t>W307306535</t>
  </si>
  <si>
    <t>شقة للبيع في  الزهرة، غرب الرياض</t>
  </si>
  <si>
    <t>I059721170</t>
  </si>
  <si>
    <t>شقة فاخرة للبيع في الياسمين، شمال الرياض</t>
  </si>
  <si>
    <t>T744104276</t>
  </si>
  <si>
    <t>R444987673</t>
  </si>
  <si>
    <t>U744104276</t>
  </si>
  <si>
    <t>U829436455</t>
  </si>
  <si>
    <t>H597014406</t>
  </si>
  <si>
    <t>F480591827</t>
  </si>
  <si>
    <t>L464488018</t>
  </si>
  <si>
    <t>دور للبيع في شارع محمد بن عوجان ، حي الحزم ، الرياض ، منطقة الرياض</t>
  </si>
  <si>
    <t>مؤسسة متعب القرشي للخدمات العقارية</t>
  </si>
  <si>
    <t>R382055350</t>
  </si>
  <si>
    <t>K437468023</t>
  </si>
  <si>
    <t>R643048236</t>
  </si>
  <si>
    <t>شقة للبيع في ضاحية نمار، غرب الرياض</t>
  </si>
  <si>
    <t>R397200880</t>
  </si>
  <si>
    <t>W273414355</t>
  </si>
  <si>
    <t>O865616259</t>
  </si>
  <si>
    <t>فيلا للبيع في مطار الملك خالد الدولي، شمال الرياض</t>
  </si>
  <si>
    <t>مطار الملك خالد الدولي، شمال الرياض، الرياض</t>
  </si>
  <si>
    <t>حي مطار الملك خالد الدولي</t>
  </si>
  <si>
    <t>L517940153</t>
  </si>
  <si>
    <t>شقة للبيع في حي بدر، جنوب الرياض</t>
  </si>
  <si>
    <t>R253138888</t>
  </si>
  <si>
    <t>أرض سكنية للبيع في المصفاة، جنوب الرياض</t>
  </si>
  <si>
    <t>المصفاة، جنوب الرياض، الرياض</t>
  </si>
  <si>
    <t>حي المصفاة</t>
  </si>
  <si>
    <t>F039171964</t>
  </si>
  <si>
    <t>Q872661811</t>
  </si>
  <si>
    <t>استراحة للبيع في شارع حوصاء, حي نمار, مدينة الرياض, منطقة الرياض</t>
  </si>
  <si>
    <t>مكتب خالد صالح عبدالله العيد للتطوير والاستثمار العقاري</t>
  </si>
  <si>
    <t>H791401191</t>
  </si>
  <si>
    <t>دور للبيع في القادسيه، شرق الرياض</t>
  </si>
  <si>
    <t>B710699273</t>
  </si>
  <si>
    <t>فيلا للبيع في القادسية, شرق الرياض</t>
  </si>
  <si>
    <t>Y339327109</t>
  </si>
  <si>
    <t>M542594670</t>
  </si>
  <si>
    <t>F124260026</t>
  </si>
  <si>
    <t>J571401130</t>
  </si>
  <si>
    <t>أدوار للبيع في الزهرة، شرق الرياض</t>
  </si>
  <si>
    <t>L538484379</t>
  </si>
  <si>
    <t>Y567044536</t>
  </si>
  <si>
    <t>J954293444</t>
  </si>
  <si>
    <t>شقة للبيع في  السويدي، غرب الرياض</t>
  </si>
  <si>
    <t>R458966720</t>
  </si>
  <si>
    <t>K227357238</t>
  </si>
  <si>
    <t>دور للبيع في  السويدي، غرب الرياض</t>
  </si>
  <si>
    <t>Y952751472</t>
  </si>
  <si>
    <t>M339882301</t>
  </si>
  <si>
    <t>W825079379</t>
  </si>
  <si>
    <t>A114096741</t>
  </si>
  <si>
    <t>وريف هاوس 39 بحي النرجس</t>
  </si>
  <si>
    <t>Q597766326</t>
  </si>
  <si>
    <t>Y159875236</t>
  </si>
  <si>
    <t>L738541094</t>
  </si>
  <si>
    <t>دوبليكس درج داخلي وشقة بحي الجنادرية</t>
  </si>
  <si>
    <t>J782901906</t>
  </si>
  <si>
    <t>فيلا للبيع في المونسية, شرق الرياض</t>
  </si>
  <si>
    <t>M638163916</t>
  </si>
  <si>
    <t>دور علوي للبيع في الرمال, شرق الرياض</t>
  </si>
  <si>
    <t>U723850964</t>
  </si>
  <si>
    <t>فيلا دوبلكس للبيع في قرطبة, شرق الرياض</t>
  </si>
  <si>
    <t>E010723547</t>
  </si>
  <si>
    <t>للبيع شقه مع سطح في القادسية, شرق الرياض</t>
  </si>
  <si>
    <t>C629910830</t>
  </si>
  <si>
    <t>مكتب جوهرة العارض للخدمات العقارية</t>
  </si>
  <si>
    <t>G354005143</t>
  </si>
  <si>
    <t>فيلا دوبلكس للبيع في ظهرة لبن، غرب الرياض</t>
  </si>
  <si>
    <t>L732633766</t>
  </si>
  <si>
    <t>شقة للبيع في برج داماك العليا, شمال الرياض</t>
  </si>
  <si>
    <t>عبدالله صالح عبدالله بن صليح</t>
  </si>
  <si>
    <t>W255658749</t>
  </si>
  <si>
    <t>K998640712</t>
  </si>
  <si>
    <t>شقة 3 غرف نوم للبيع في النسيم الغربي، الرياض</t>
  </si>
  <si>
    <t>X826648666</t>
  </si>
  <si>
    <t>B554727661</t>
  </si>
  <si>
    <t>L893657956</t>
  </si>
  <si>
    <t>شقة للبيع في الدار البيضاء, جنوب الرياض</t>
  </si>
  <si>
    <t>Z473176340</t>
  </si>
  <si>
    <t>K157474199</t>
  </si>
  <si>
    <t>H557985808</t>
  </si>
  <si>
    <t>I557985808</t>
  </si>
  <si>
    <t>K562231889</t>
  </si>
  <si>
    <t>دور علوي للبيع في بدر، جنوب الرياض</t>
  </si>
  <si>
    <t>X807103044</t>
  </si>
  <si>
    <t>F689471085</t>
  </si>
  <si>
    <t>R491880034</t>
  </si>
  <si>
    <t>فيلا 6 غرف نوم للبيع في العارض، الرياض</t>
  </si>
  <si>
    <t>مؤسسة واجهة العارض للعقارات</t>
  </si>
  <si>
    <t>N456738614</t>
  </si>
  <si>
    <t>دور وشقق في حي الدار البيضاء الرياض للبيع</t>
  </si>
  <si>
    <t>مكتب مصابيح عريض للعقارات</t>
  </si>
  <si>
    <t>W332938144</t>
  </si>
  <si>
    <t>أرض للبيع في مخطط الخير, شمال الرياض</t>
  </si>
  <si>
    <t>مكتب عبدالكريم منصور محمد النويصري للعقارات</t>
  </si>
  <si>
    <t>D506667389</t>
  </si>
  <si>
    <t>للبيع شقة فاخرة ببرج داماك في العليا، شمال الرياض</t>
  </si>
  <si>
    <t>X707770754</t>
  </si>
  <si>
    <t>فيلا دوبلكس للبيع في الرمال، شرق الرياض</t>
  </si>
  <si>
    <t>P876759574</t>
  </si>
  <si>
    <t>فيلا للبيع في المهدية, غرب الرياض</t>
  </si>
  <si>
    <t>بنيان العاصمة للعقارات</t>
  </si>
  <si>
    <t>M371420028</t>
  </si>
  <si>
    <t>فيلا للبيع في النظيم، شرق الرياض</t>
  </si>
  <si>
    <t>B540439350</t>
  </si>
  <si>
    <t>دور للبيع في الرمال، شرق الرياض</t>
  </si>
  <si>
    <t>شركة نهضة التطور العقارية</t>
  </si>
  <si>
    <t>B060602790</t>
  </si>
  <si>
    <t>F492850134</t>
  </si>
  <si>
    <t>S763294776</t>
  </si>
  <si>
    <t>أرض سكنية للبيع في الرياض</t>
  </si>
  <si>
    <t>W149723898</t>
  </si>
  <si>
    <t>P070056079</t>
  </si>
  <si>
    <t>F798699983</t>
  </si>
  <si>
    <t>S132949090</t>
  </si>
  <si>
    <t>أرض للبيع في الزاهر، الرياض</t>
  </si>
  <si>
    <t>G473176340</t>
  </si>
  <si>
    <t>K151414340</t>
  </si>
  <si>
    <t>D805731001</t>
  </si>
  <si>
    <t>T891178646</t>
  </si>
  <si>
    <t>P018925967</t>
  </si>
  <si>
    <t>F157474199</t>
  </si>
  <si>
    <t>T850495412</t>
  </si>
  <si>
    <t>I374179635</t>
  </si>
  <si>
    <t>K531194349</t>
  </si>
  <si>
    <t>أدوار للبيع في الزهرة، غرب الرياض</t>
  </si>
  <si>
    <t>O618786398</t>
  </si>
  <si>
    <t>J532891007</t>
  </si>
  <si>
    <t>شقه للبيع في النخيل، شمال الرياض</t>
  </si>
  <si>
    <t>D621869354</t>
  </si>
  <si>
    <t>أرض سكنية للبيع في الشعلة، الرياض</t>
  </si>
  <si>
    <t>الشعلة، الرياض</t>
  </si>
  <si>
    <t>حي الشعلة</t>
  </si>
  <si>
    <t>P879931806</t>
  </si>
  <si>
    <t>دور للبيع في الشفاء، جنوب الرياض</t>
  </si>
  <si>
    <t>V004642312</t>
  </si>
  <si>
    <t>W893099694</t>
  </si>
  <si>
    <t>T035875077</t>
  </si>
  <si>
    <t>D422179109</t>
  </si>
  <si>
    <t>B001521619</t>
  </si>
  <si>
    <t>L299443289</t>
  </si>
  <si>
    <t>H742881690</t>
  </si>
  <si>
    <t>E846041562</t>
  </si>
  <si>
    <t>E248501972</t>
  </si>
  <si>
    <t>شقه مع سطح بحي القادسية بسعر مميز</t>
  </si>
  <si>
    <t>B537248917</t>
  </si>
  <si>
    <t>شقه بفيلا للبيع بحي القادسية</t>
  </si>
  <si>
    <t>F859173360</t>
  </si>
  <si>
    <t>دور ارضي للبيع بحي القادسية</t>
  </si>
  <si>
    <t>P012499282</t>
  </si>
  <si>
    <t>دور للبيع في قرطبة, شرق الرياض</t>
  </si>
  <si>
    <t>G841946789</t>
  </si>
  <si>
    <t>A107478003</t>
  </si>
  <si>
    <t>O329973034</t>
  </si>
  <si>
    <t>فيلا للبيع في الصحافة، شمال الرياض</t>
  </si>
  <si>
    <t>Z886181510</t>
  </si>
  <si>
    <t>A357685465</t>
  </si>
  <si>
    <t>H252363233</t>
  </si>
  <si>
    <t>L212444976</t>
  </si>
  <si>
    <t>E816549044</t>
  </si>
  <si>
    <t>E744104276</t>
  </si>
  <si>
    <t>Q698134700</t>
  </si>
  <si>
    <t>شقة مودرن للبيع في المهدية، غرب الرياض</t>
  </si>
  <si>
    <t>G249518315</t>
  </si>
  <si>
    <t>V231427600</t>
  </si>
  <si>
    <t>فيلا للبيع في بدر, جنوب الرياض</t>
  </si>
  <si>
    <t>Z672372933</t>
  </si>
  <si>
    <t>C129805584</t>
  </si>
  <si>
    <t>W649079503</t>
  </si>
  <si>
    <t>شقة فاخرة للبيع بحي القادسيه</t>
  </si>
  <si>
    <t>Q202372716</t>
  </si>
  <si>
    <t>N029955568</t>
  </si>
  <si>
    <t>للبيع شقة في القادسية، شرق الرياض</t>
  </si>
  <si>
    <t>R924869646</t>
  </si>
  <si>
    <t>دور أرضي فخم للبيع في القادسية، شرق الرياض</t>
  </si>
  <si>
    <t>P325510423</t>
  </si>
  <si>
    <t>دور ارضي للبيع في القادسية، شرق الرياض</t>
  </si>
  <si>
    <t>G553542710</t>
  </si>
  <si>
    <t>W825189476</t>
  </si>
  <si>
    <t>دور للبيع في القادسية، شرق الرياض</t>
  </si>
  <si>
    <t>O072972509</t>
  </si>
  <si>
    <t>K051779014</t>
  </si>
  <si>
    <t>شركة اشبال العرب للعقارات</t>
  </si>
  <si>
    <t>Z762940697</t>
  </si>
  <si>
    <t>للبيع دور في العقيق، شمال الرياض</t>
  </si>
  <si>
    <t>E261615836</t>
  </si>
  <si>
    <t>P339327109</t>
  </si>
  <si>
    <t>T339327109</t>
  </si>
  <si>
    <t>S963886086</t>
  </si>
  <si>
    <t>للبيع فيلا في النرجس، شمال الرياض</t>
  </si>
  <si>
    <t>M969603036</t>
  </si>
  <si>
    <t>شقة للبيع في الشهداء، شرق الرياض</t>
  </si>
  <si>
    <t>Z269526640</t>
  </si>
  <si>
    <t>شقة 4 غرف نوم للبيع ضحرة لبان ، الرياض</t>
  </si>
  <si>
    <t>N362550709</t>
  </si>
  <si>
    <t>مؤسسة موطن العاصمة للخدمات التجارية</t>
  </si>
  <si>
    <t>R542945943</t>
  </si>
  <si>
    <t>U883268093</t>
  </si>
  <si>
    <t>فيلا - الرياض - النرجس</t>
  </si>
  <si>
    <t>K435466071</t>
  </si>
  <si>
    <t>T538818769</t>
  </si>
  <si>
    <t>X401795822</t>
  </si>
  <si>
    <t>شركة وسام العقارية</t>
  </si>
  <si>
    <t>K668218110</t>
  </si>
  <si>
    <t>Y248607862</t>
  </si>
  <si>
    <t>دور للبيع في النسيم الشرقي، شرق الرياض</t>
  </si>
  <si>
    <t>Y179942045</t>
  </si>
  <si>
    <t>استراحة846م للبيع في مخططات الشرق بطريقة رماح الرياض</t>
  </si>
  <si>
    <t>S870931699</t>
  </si>
  <si>
    <t>دور للبيع في اليرموك، شرق الرياض</t>
  </si>
  <si>
    <t>H361283961</t>
  </si>
  <si>
    <t>X097506543</t>
  </si>
  <si>
    <t>Y807571316</t>
  </si>
  <si>
    <t>فيلا مميزة جدا للبيع في النظيم، الرياض</t>
  </si>
  <si>
    <t>H314470051</t>
  </si>
  <si>
    <t>X832053400</t>
  </si>
  <si>
    <t>O869165921</t>
  </si>
  <si>
    <t>فيلا تاون هاوس للبيع في عكاظ, جنوب الرياض</t>
  </si>
  <si>
    <t>T373465470</t>
  </si>
  <si>
    <t>X929687146</t>
  </si>
  <si>
    <t>شقة للبيع في المغرزات، شمال الرياض</t>
  </si>
  <si>
    <t>شركة مسكن الين العقارية</t>
  </si>
  <si>
    <t>V834561164</t>
  </si>
  <si>
    <t>فيلا للبيع في العليشة، غرب الرياض</t>
  </si>
  <si>
    <t>عليشة، غرب الرياض، الرياض</t>
  </si>
  <si>
    <t>حي عليشة</t>
  </si>
  <si>
    <t>P955918009</t>
  </si>
  <si>
    <t>H124260026</t>
  </si>
  <si>
    <t>K215095460</t>
  </si>
  <si>
    <t>H826547823</t>
  </si>
  <si>
    <t>A961761892</t>
  </si>
  <si>
    <t>فلل للبيع في شبرا، غرب الرياض</t>
  </si>
  <si>
    <t>C779564906</t>
  </si>
  <si>
    <t>مكتب اساتذة العقار للعقارات</t>
  </si>
  <si>
    <t>A848953943</t>
  </si>
  <si>
    <t>Y952424837</t>
  </si>
  <si>
    <t>O791505083</t>
  </si>
  <si>
    <t>فيلا للبيع في الصفا, شرق الرياض</t>
  </si>
  <si>
    <t>D995550694</t>
  </si>
  <si>
    <t>V440039170</t>
  </si>
  <si>
    <t>H710635730</t>
  </si>
  <si>
    <t>فيلا للبيع في طويق، غرب الرياض</t>
  </si>
  <si>
    <t>شركة تركي ابراهيم المحيسن للعقارات</t>
  </si>
  <si>
    <t>J644586460</t>
  </si>
  <si>
    <t>دور علوي للبيع في العارض، شمال الرياض</t>
  </si>
  <si>
    <t>A286781320</t>
  </si>
  <si>
    <t>E856572429</t>
  </si>
  <si>
    <t>فيلا للبيع في الخليج، شرق الرياض</t>
  </si>
  <si>
    <t>U687139166</t>
  </si>
  <si>
    <t>شقق تمليك للبيع في ظهرة لبن، الرياض</t>
  </si>
  <si>
    <t>Z678267509</t>
  </si>
  <si>
    <t>K483024034</t>
  </si>
  <si>
    <t>I577041298</t>
  </si>
  <si>
    <t>للبيع فيلتين في ظهرة لبن، غرب الرياض</t>
  </si>
  <si>
    <t>L360220290</t>
  </si>
  <si>
    <t>دور للبيع في الدار البيضاء، جنوب الرياض</t>
  </si>
  <si>
    <t>B495774549</t>
  </si>
  <si>
    <t>U672335567</t>
  </si>
  <si>
    <t>فيلا 8 غرف نوم للبيع في العارض، الرياض</t>
  </si>
  <si>
    <t>U143118680</t>
  </si>
  <si>
    <t>يزيد خالد بن عبدالله ال عيسى للعقارات</t>
  </si>
  <si>
    <t>Y781755664</t>
  </si>
  <si>
    <t>U652509563</t>
  </si>
  <si>
    <t>P330386138</t>
  </si>
  <si>
    <t>K983098313</t>
  </si>
  <si>
    <t>أرض سكنية للبيع في عريض، جنوب الرياض</t>
  </si>
  <si>
    <t>N539461929</t>
  </si>
  <si>
    <t>Z266923218</t>
  </si>
  <si>
    <t>V290915522</t>
  </si>
  <si>
    <t>N325600324</t>
  </si>
  <si>
    <t>G684344093</t>
  </si>
  <si>
    <t>U426442325</t>
  </si>
  <si>
    <t>P264341071</t>
  </si>
  <si>
    <t>R325600324</t>
  </si>
  <si>
    <t>F021216354</t>
  </si>
  <si>
    <t>فيلا للبيع في النهضة، شرق الرياض</t>
  </si>
  <si>
    <t>النهضة، شرق الرياض، الرياض</t>
  </si>
  <si>
    <t>حي النهضة</t>
  </si>
  <si>
    <t>مؤسسة نجمة الشرق للخدمات العقارية</t>
  </si>
  <si>
    <t>J423200288</t>
  </si>
  <si>
    <t>استراحة للبيع في العارض، شمال الرياض</t>
  </si>
  <si>
    <t>T660184938</t>
  </si>
  <si>
    <t>سلطانة، غرب الرياض، الرياض</t>
  </si>
  <si>
    <t>حي سلطانة</t>
  </si>
  <si>
    <t>مكتب اضداد للعقارات</t>
  </si>
  <si>
    <t>L139734439</t>
  </si>
  <si>
    <t>P043560646</t>
  </si>
  <si>
    <t>J463198950</t>
  </si>
  <si>
    <t>فيلا للبيع في طيبة، جنوب الرياض</t>
  </si>
  <si>
    <t>M623648247</t>
  </si>
  <si>
    <t>شقة للبيع في المروة, جنوب الرياض</t>
  </si>
  <si>
    <t>U665480542</t>
  </si>
  <si>
    <t>فيلا للبيع طويق، غرب الرياض</t>
  </si>
  <si>
    <t>O408615968</t>
  </si>
  <si>
    <t>H313021702</t>
  </si>
  <si>
    <t>S382550150</t>
  </si>
  <si>
    <t>B585336207</t>
  </si>
  <si>
    <t>أدوار للبيع في طيبة، جنوب الرياض</t>
  </si>
  <si>
    <t>J267358506</t>
  </si>
  <si>
    <t>دور للبيع في التعاون، شمال الرياض</t>
  </si>
  <si>
    <t>التعاون، شمال الرياض، الرياض</t>
  </si>
  <si>
    <t>حي التعاون</t>
  </si>
  <si>
    <t>L897668310</t>
  </si>
  <si>
    <t>فيلا للبيع في حي طويق، غرب الرياض</t>
  </si>
  <si>
    <t>L507087020</t>
  </si>
  <si>
    <t>شقة 3 غرف نوم للبيع في النرجس، الرياض</t>
  </si>
  <si>
    <t>J117594433</t>
  </si>
  <si>
    <t>P054457861</t>
  </si>
  <si>
    <t>إستراحة للبيع في العريض، جنوب الرياض</t>
  </si>
  <si>
    <t>X434800588</t>
  </si>
  <si>
    <t>W003366919</t>
  </si>
  <si>
    <t>فيلا دوبلكس للبيع بحي اليرموك</t>
  </si>
  <si>
    <t>B389574035</t>
  </si>
  <si>
    <t>دور للبيع في حي البيان، شرق الرياض</t>
  </si>
  <si>
    <t>I799303141</t>
  </si>
  <si>
    <t>فيلا دبلوكس للبيع في المهدية، غرب الرياض</t>
  </si>
  <si>
    <t>U444987673</t>
  </si>
  <si>
    <t>E778561547</t>
  </si>
  <si>
    <t>L640495261</t>
  </si>
  <si>
    <t>X585668620</t>
  </si>
  <si>
    <t>N722102291</t>
  </si>
  <si>
    <t>N447820498</t>
  </si>
  <si>
    <t>T317869755</t>
  </si>
  <si>
    <t>J482930047</t>
  </si>
  <si>
    <t>L874638825</t>
  </si>
  <si>
    <t>S277935983</t>
  </si>
  <si>
    <t>K933972520</t>
  </si>
  <si>
    <t>D365668880</t>
  </si>
  <si>
    <t>G740760904</t>
  </si>
  <si>
    <t>H933972520</t>
  </si>
  <si>
    <t>I556324367</t>
  </si>
  <si>
    <t>J490619566</t>
  </si>
  <si>
    <t>F924307046</t>
  </si>
  <si>
    <t>K899256299</t>
  </si>
  <si>
    <t>V554727661</t>
  </si>
  <si>
    <t>L544801753</t>
  </si>
  <si>
    <t>I589329123</t>
  </si>
  <si>
    <t>R718662292</t>
  </si>
  <si>
    <t>شقة تاون هاوس للبيع في بدر، جنوب الرياض</t>
  </si>
  <si>
    <t>A153248506</t>
  </si>
  <si>
    <t>O205560470</t>
  </si>
  <si>
    <t>شقة تاون هاوس للبيع في الرمال, شرق الرياض</t>
  </si>
  <si>
    <t>R450661169</t>
  </si>
  <si>
    <t>دور - الرياض - حي طويق ( الغروب )</t>
  </si>
  <si>
    <t>J293366603</t>
  </si>
  <si>
    <t>V850549264</t>
  </si>
  <si>
    <t>V924307046</t>
  </si>
  <si>
    <t>I322181633</t>
  </si>
  <si>
    <t>فيلا للبيع في الدار البيضاء, جنوب الرياض</t>
  </si>
  <si>
    <t>Y557985808</t>
  </si>
  <si>
    <t>E623828377</t>
  </si>
  <si>
    <t>U744786232</t>
  </si>
  <si>
    <t>U887930551</t>
  </si>
  <si>
    <t>S389787477</t>
  </si>
  <si>
    <t>فيلا 6 غرف للبيع بحي القيروان، شمال الرياض</t>
  </si>
  <si>
    <t>مؤسسة أراما للخدمات اللوجستية</t>
  </si>
  <si>
    <t>Z172376486</t>
  </si>
  <si>
    <t>فيلا 13 غرفة للبيع في قرى سورة، الرياض</t>
  </si>
  <si>
    <t>شركة همم الخليج العقاريه</t>
  </si>
  <si>
    <t>D951853338</t>
  </si>
  <si>
    <t>فيلا للبيع في حي العزيزية، جنوب الرياض</t>
  </si>
  <si>
    <t>Y929687146</t>
  </si>
  <si>
    <t>N331515441</t>
  </si>
  <si>
    <t>فيلا للبيع في العزيزية, جنوب الرياض</t>
  </si>
  <si>
    <t>I995927391</t>
  </si>
  <si>
    <t>فيلا للبيع العارض، شمال الرياض</t>
  </si>
  <si>
    <t>I270232777</t>
  </si>
  <si>
    <t>مكتب البلط للعقارات</t>
  </si>
  <si>
    <t>O130362954</t>
  </si>
  <si>
    <t>5 غرف نوم على علي بن موفق، العارض، الرياض للبيع</t>
  </si>
  <si>
    <t>C147846479</t>
  </si>
  <si>
    <t>Q837162721</t>
  </si>
  <si>
    <t>فيلا 200 م للبيع في المهدية، الرياض</t>
  </si>
  <si>
    <t>L337822150</t>
  </si>
  <si>
    <t>شقة بنظام مودرن في حي المهدية</t>
  </si>
  <si>
    <t>O772531484</t>
  </si>
  <si>
    <t>شقة للبيع في شارع اسطنبول، الفيحاء، الرياض</t>
  </si>
  <si>
    <t>X013231624</t>
  </si>
  <si>
    <t>فيلا  للبيع في الفيحاء، الرياض</t>
  </si>
  <si>
    <t>E848240271</t>
  </si>
  <si>
    <t>شقة 4 غرف نوم للبيع في الخليج، الرياض</t>
  </si>
  <si>
    <t>Y749215692</t>
  </si>
  <si>
    <t>فيلا للبيع في إشبيلية، شرق الرياض</t>
  </si>
  <si>
    <t>اشبيلية، شرق الرياض، الرياض</t>
  </si>
  <si>
    <t>حي اشبيلية</t>
  </si>
  <si>
    <t>شركة عقارات النابغة للتجارة</t>
  </si>
  <si>
    <t>F272684081</t>
  </si>
  <si>
    <t>أرض سكنية للبيع في المهدية، غرب الرياض</t>
  </si>
  <si>
    <t>شركة مداولة العقارية</t>
  </si>
  <si>
    <t>O677279649</t>
  </si>
  <si>
    <t>شقة للبيع في شارع رقم 192, حي الياسمين, مدينة الرياض, منطقة الرياض</t>
  </si>
  <si>
    <t>مكتب طريق الاسكان</t>
  </si>
  <si>
    <t>F539855202</t>
  </si>
  <si>
    <t>Z617344814</t>
  </si>
  <si>
    <t>L580173289</t>
  </si>
  <si>
    <t>أرض للبيع في طويق، غرب الرياض</t>
  </si>
  <si>
    <t>مكتب احوال الناس للخدمات العقارية</t>
  </si>
  <si>
    <t>I157505499</t>
  </si>
  <si>
    <t>ارض سكنية للبيع في حي المشرق, شرق الرياض</t>
  </si>
  <si>
    <t>المشرق، الرياض</t>
  </si>
  <si>
    <t>حي المشرق</t>
  </si>
  <si>
    <t>N458708552</t>
  </si>
  <si>
    <t>شقة للبيع في شارع الجمال ، حي الحمراء ، الرياض</t>
  </si>
  <si>
    <t>مكتب رونق التميز للعقارات</t>
  </si>
  <si>
    <t>L771460315</t>
  </si>
  <si>
    <t>N658068409</t>
  </si>
  <si>
    <t>دور للبيع في النرجس، شمال الرياض</t>
  </si>
  <si>
    <t>N320678583</t>
  </si>
  <si>
    <t>فيلا للبيع في عكاظ، جنوب الرياض</t>
  </si>
  <si>
    <t>مؤسسة ركيز العقارية</t>
  </si>
  <si>
    <t>Y316786144</t>
  </si>
  <si>
    <t>للبيع شقة فاخرة في الروابي، شرق الرياض</t>
  </si>
  <si>
    <t>Y832396116</t>
  </si>
  <si>
    <t>أرض للبيع في الصحافة، شمال الرياض</t>
  </si>
  <si>
    <t>مسكن ومغنم العقارية</t>
  </si>
  <si>
    <t>Y491885118</t>
  </si>
  <si>
    <t>أرض للبيع في  القادسية، شرق الرياض</t>
  </si>
  <si>
    <t>شركة قمم نجد العقارية</t>
  </si>
  <si>
    <t>X321783298</t>
  </si>
  <si>
    <t>P142706324</t>
  </si>
  <si>
    <t>Q392499314</t>
  </si>
  <si>
    <t>D637825640</t>
  </si>
  <si>
    <t>M031337968</t>
  </si>
  <si>
    <t>فيلا للبيع في اليرموك, شرق الرياض</t>
  </si>
  <si>
    <t>I809022238</t>
  </si>
  <si>
    <t>E890818331</t>
  </si>
  <si>
    <t>ارض للبيع في السليمانية, شمال جدة</t>
  </si>
  <si>
    <t>مكتب قواعد الصفقة للخدمات العقارية</t>
  </si>
  <si>
    <t>R263543788</t>
  </si>
  <si>
    <t>فيلا للبيع في الصحافة, شمال الرياض</t>
  </si>
  <si>
    <t>F804114576</t>
  </si>
  <si>
    <t>شقة للبيع في عكاظ، الرياض</t>
  </si>
  <si>
    <t>Z867332245</t>
  </si>
  <si>
    <t>فيلا للبيع في شارع صيفي بن عمرو, حي الروضة, مدينة الرياض, منطقة الرياض</t>
  </si>
  <si>
    <t>S544792154</t>
  </si>
  <si>
    <t>الازدهار، شرق الرياض، الرياض</t>
  </si>
  <si>
    <t>حي الازدهار</t>
  </si>
  <si>
    <t>A068580176</t>
  </si>
  <si>
    <t>D825812987</t>
  </si>
  <si>
    <t>O198270776</t>
  </si>
  <si>
    <t>شقة 4 غرف نوم للبيع في بدر، الرياض</t>
  </si>
  <si>
    <t>L533951000</t>
  </si>
  <si>
    <t>G227283547</t>
  </si>
  <si>
    <t>Q482655125</t>
  </si>
  <si>
    <t>أرض للبيع في  الرمال، شرق الرياض</t>
  </si>
  <si>
    <t>Z982251838</t>
  </si>
  <si>
    <t>X374599990</t>
  </si>
  <si>
    <t>فيلا درج داخلي للبيع في قرطبة، شرق الرياض</t>
  </si>
  <si>
    <t>J976517749</t>
  </si>
  <si>
    <t>شقة للبيع في شارع رايه, حي قرطبة, مدينة الرياض, منطقة الرياض</t>
  </si>
  <si>
    <t>W957418621</t>
  </si>
  <si>
    <t>شقة للبيع في المونسية، شرق الرياض</t>
  </si>
  <si>
    <t>V022019688</t>
  </si>
  <si>
    <t>X145492737</t>
  </si>
  <si>
    <t>فيلا للبيع في حي العارض, مدينة الرياض, منطقة الرياض</t>
  </si>
  <si>
    <t>P861763332</t>
  </si>
  <si>
    <t>W014262226</t>
  </si>
  <si>
    <t>شقة للبيع في حي نمار, مدينة الرياض, منطقة الرياض</t>
  </si>
  <si>
    <t>U520123149</t>
  </si>
  <si>
    <t>P963642425</t>
  </si>
  <si>
    <t>فيلا للبيع في شارع أحمد بن زياد, حي العارض, مدينة الرياض, منطقة الرياض</t>
  </si>
  <si>
    <t>X611678674</t>
  </si>
  <si>
    <t>V745371960</t>
  </si>
  <si>
    <t>S404506846</t>
  </si>
  <si>
    <t>فيلا درج داخلي للبيع في النرجس، شمال الرياض</t>
  </si>
  <si>
    <t>Y263814753</t>
  </si>
  <si>
    <t>فيلا زاوية للبيع في النرجس، شمال الرياض</t>
  </si>
  <si>
    <t>B528516548</t>
  </si>
  <si>
    <t>Y458240444</t>
  </si>
  <si>
    <t>فيلا مودرن بحي المهدية</t>
  </si>
  <si>
    <t>C451135740</t>
  </si>
  <si>
    <t>٣ غرف نوم شقة للبيع الحزم</t>
  </si>
  <si>
    <t>F310688824</t>
  </si>
  <si>
    <t>فيلا للبيع في العارض، شمال الرياض</t>
  </si>
  <si>
    <t>P945037582</t>
  </si>
  <si>
    <t>دور أول علوي للبيع في القادسية، شرق الرياض</t>
  </si>
  <si>
    <t>S518539442</t>
  </si>
  <si>
    <t>دور للبيع في حي القادسيه، شرق الرياض</t>
  </si>
  <si>
    <t>C669405434</t>
  </si>
  <si>
    <t>B100764413</t>
  </si>
  <si>
    <t>K111440140</t>
  </si>
  <si>
    <t>F636533309</t>
  </si>
  <si>
    <t>دور علوي للبيع في القادسية، شرق الرياض</t>
  </si>
  <si>
    <t>Z763213353</t>
  </si>
  <si>
    <t>Y100401949</t>
  </si>
  <si>
    <t>K057806927</t>
  </si>
  <si>
    <t>منزل جميل ومريح جدا جدا</t>
  </si>
  <si>
    <t>C261050322</t>
  </si>
  <si>
    <t>J299930852</t>
  </si>
  <si>
    <t>دور فاخر للبيع في الجنادرية، شرق الرياض</t>
  </si>
  <si>
    <t>A941488347</t>
  </si>
  <si>
    <t>فيلا مودرن للبيع في حي البيان، شرق الرياض</t>
  </si>
  <si>
    <t>D924138740</t>
  </si>
  <si>
    <t>شقة فاخرة للبيع في القادسية، شرق الرياض</t>
  </si>
  <si>
    <t>Y746464108</t>
  </si>
  <si>
    <t>للبيع فلل دوبلكس في حي البيان، شرق الرياض</t>
  </si>
  <si>
    <t>Z426924247</t>
  </si>
  <si>
    <t>دو أرضي للبيع في القادسية، شرق الرياض</t>
  </si>
  <si>
    <t>E525589363</t>
  </si>
  <si>
    <t>P417879759</t>
  </si>
  <si>
    <t>فيلا فاخرة للبيع في حي البيان، شرق الرياض</t>
  </si>
  <si>
    <t>L426905174</t>
  </si>
  <si>
    <t>R991795373</t>
  </si>
  <si>
    <t>Y633650846</t>
  </si>
  <si>
    <t>فيلا للبيع بحي المهديه ، الرياض</t>
  </si>
  <si>
    <t>M966830306</t>
  </si>
  <si>
    <t>دور للبيع في الخالدية، وسط الرياض</t>
  </si>
  <si>
    <t>A170259227</t>
  </si>
  <si>
    <t>مكتب أنوار الضاحية للخدمات العقارية</t>
  </si>
  <si>
    <t>M906292945</t>
  </si>
  <si>
    <t>A431295026</t>
  </si>
  <si>
    <t>J060455906</t>
  </si>
  <si>
    <t>شقة للبيع في الحزم, غرب الرياض</t>
  </si>
  <si>
    <t>M394763935</t>
  </si>
  <si>
    <t>A373845258</t>
  </si>
  <si>
    <t>Z227286265</t>
  </si>
  <si>
    <t>F024593609</t>
  </si>
  <si>
    <t>شقة - الرياض - العوالي</t>
  </si>
  <si>
    <t>T952494531</t>
  </si>
  <si>
    <t>U529009311</t>
  </si>
  <si>
    <t>D184845127</t>
  </si>
  <si>
    <t>فيلا للبيع في المونسية، شرق الرياض</t>
  </si>
  <si>
    <t>K318349462</t>
  </si>
  <si>
    <t>O938392991</t>
  </si>
  <si>
    <t>P251393649</t>
  </si>
  <si>
    <t>M209238695</t>
  </si>
  <si>
    <t>فيلا للبيع في الخليج, شرق الرياض</t>
  </si>
  <si>
    <t>Q455701869</t>
  </si>
  <si>
    <t>R116141261</t>
  </si>
  <si>
    <t>عمارة للبيع في الخليج, شرق الرياض</t>
  </si>
  <si>
    <t>T032696786</t>
  </si>
  <si>
    <t>اكناف العاصمة العقارية</t>
  </si>
  <si>
    <t>Z709754554</t>
  </si>
  <si>
    <t>فيلا للبيع في حي المهدية ، الرياض</t>
  </si>
  <si>
    <t>A149723898</t>
  </si>
  <si>
    <t>K746967363</t>
  </si>
  <si>
    <t>V776890403</t>
  </si>
  <si>
    <t>فله للبيع في نمار، الرياض</t>
  </si>
  <si>
    <t>S962761792</t>
  </si>
  <si>
    <t>شقة للبيع في  العارض، شمال الرياض</t>
  </si>
  <si>
    <t>V887690277</t>
  </si>
  <si>
    <t>M545814286</t>
  </si>
  <si>
    <t>فيلا للبيع في الرحمانية، شمال الرياض</t>
  </si>
  <si>
    <t>الرحمانية، شمال الرياض، الرياض</t>
  </si>
  <si>
    <t>حي الرحمانية</t>
  </si>
  <si>
    <t>N881587363</t>
  </si>
  <si>
    <t>B217404693</t>
  </si>
  <si>
    <t>دور للبيع في في شبرا، غرب الرياض</t>
  </si>
  <si>
    <t>P065916465</t>
  </si>
  <si>
    <t>فيلا للبيع في حي الورود، شمال الرياض</t>
  </si>
  <si>
    <t>P538089990</t>
  </si>
  <si>
    <t>T890777415</t>
  </si>
  <si>
    <t>عماره للبيع في المنصورية، جنوب الرياض</t>
  </si>
  <si>
    <t>المنصورية، جنوب الرياض، الرياض</t>
  </si>
  <si>
    <t>حي المنصورية</t>
  </si>
  <si>
    <t>E093712575</t>
  </si>
  <si>
    <t>للبيع شقق سكنية في القادسية، شرق الرياض</t>
  </si>
  <si>
    <t>H321018365</t>
  </si>
  <si>
    <t>K335786059</t>
  </si>
  <si>
    <t>للبيع فيلا في المونسية، شرق الرياض</t>
  </si>
  <si>
    <t>Y556014754</t>
  </si>
  <si>
    <t>فيلا للبيع في العريجاء الوسطى، غرب الرياض</t>
  </si>
  <si>
    <t>J823235116</t>
  </si>
  <si>
    <t>فيلا مودرن للبيع في المهدية, غرب الرياض</t>
  </si>
  <si>
    <t>Z640314352</t>
  </si>
  <si>
    <t>C035736981</t>
  </si>
  <si>
    <t>X160148806</t>
  </si>
  <si>
    <t>R101887753</t>
  </si>
  <si>
    <t>فيلا دوبلكس للبيع في المهدية، غرب الرياض</t>
  </si>
  <si>
    <t>I468237196</t>
  </si>
  <si>
    <t>Y149723898</t>
  </si>
  <si>
    <t>U850549264</t>
  </si>
  <si>
    <t>L074971415</t>
  </si>
  <si>
    <t>C463004890</t>
  </si>
  <si>
    <t>H074971415</t>
  </si>
  <si>
    <t>O074971415</t>
  </si>
  <si>
    <t>Z746604801</t>
  </si>
  <si>
    <t>شقة 4 غرف نوم للبيع ظهرة لبن، الرياض</t>
  </si>
  <si>
    <t>Q869780397</t>
  </si>
  <si>
    <t>N999398956</t>
  </si>
  <si>
    <t>فيلا - الرياض - الرمال</t>
  </si>
  <si>
    <t>T259231924</t>
  </si>
  <si>
    <t>R633643996</t>
  </si>
  <si>
    <t>ادوار ارضيه وعلويه حي العزيزيه</t>
  </si>
  <si>
    <t>B259231924</t>
  </si>
  <si>
    <t>M272485778</t>
  </si>
  <si>
    <t>دور للبيع في الحزم, غرب الرياض</t>
  </si>
  <si>
    <t>I160785980</t>
  </si>
  <si>
    <t>B761598944</t>
  </si>
  <si>
    <t>Q585712918</t>
  </si>
  <si>
    <t>شقة بفيلا للبيع في القادسية، شرق الرياض</t>
  </si>
  <si>
    <t>D291346134</t>
  </si>
  <si>
    <t>S938304256</t>
  </si>
  <si>
    <t>للبيع دور أول في القادسية، شرق الرياض</t>
  </si>
  <si>
    <t>O873792046</t>
  </si>
  <si>
    <t>منزل جميل</t>
  </si>
  <si>
    <t>M925612559</t>
  </si>
  <si>
    <t>منزا جميل جدا</t>
  </si>
  <si>
    <t>B968186191</t>
  </si>
  <si>
    <t>منزل جميل ومريح جدا</t>
  </si>
  <si>
    <t>V753324851</t>
  </si>
  <si>
    <t>منزل جميل وجديد</t>
  </si>
  <si>
    <t>Y892714520</t>
  </si>
  <si>
    <t>Q898506068</t>
  </si>
  <si>
    <t>دور أرضي مودرن للبيع في القادسية، شرق الرياض</t>
  </si>
  <si>
    <t>R218304194</t>
  </si>
  <si>
    <t>M108631986</t>
  </si>
  <si>
    <t>دور للبيع في حي الرمال، شرق الرياض</t>
  </si>
  <si>
    <t>F991229967</t>
  </si>
  <si>
    <t>B393659446</t>
  </si>
  <si>
    <t>فيلا - الرياض - حي المونسية</t>
  </si>
  <si>
    <t>W219796645</t>
  </si>
  <si>
    <t>فيلا - الرياض - حي القادسية</t>
  </si>
  <si>
    <t>N137470374</t>
  </si>
  <si>
    <t>دور للبيع في ديراب، غرب الرياض</t>
  </si>
  <si>
    <t>ديراب، غرب الرياض، الرياض</t>
  </si>
  <si>
    <t>حي ديراب</t>
  </si>
  <si>
    <t>P235529688</t>
  </si>
  <si>
    <t>مبنى سكني للبيع في الزهرة، الرياض</t>
  </si>
  <si>
    <t>شركة منسوب للتطوير العقاري</t>
  </si>
  <si>
    <t>K325534928</t>
  </si>
  <si>
    <t>عمارة للبيع في الزهرة، الرياض</t>
  </si>
  <si>
    <t>Q999556137</t>
  </si>
  <si>
    <t>فيلا للبيع في حي سدرة بالرياض</t>
  </si>
  <si>
    <t>حي السدره، شمال الرياض، الرياض</t>
  </si>
  <si>
    <t>حي حي السدره</t>
  </si>
  <si>
    <t>شركة أعمال المدائن للتطوير والاستثمار العقاري</t>
  </si>
  <si>
    <t>H213544844</t>
  </si>
  <si>
    <t>H923672707</t>
  </si>
  <si>
    <t>للبيع فيلا مودرن بالمهديه المربع الذهبي مع شقه بمدخل خاص</t>
  </si>
  <si>
    <t>W661355081</t>
  </si>
  <si>
    <t>I855404107</t>
  </si>
  <si>
    <t>للبيع ارض في  مخطط الخير، شمال الرياض</t>
  </si>
  <si>
    <t>G825786929</t>
  </si>
  <si>
    <t>أرض للبيع في الخير</t>
  </si>
  <si>
    <t>مجموعة عبدالعزيز بن حسن الصميعي وسالم بن محمد الشثري</t>
  </si>
  <si>
    <t>H552023687</t>
  </si>
  <si>
    <t>فيلا للبيع</t>
  </si>
  <si>
    <t>C152412534</t>
  </si>
  <si>
    <t>شقة ملحق للبيع في لزهرة، غرب الرياض</t>
  </si>
  <si>
    <t>C324114034</t>
  </si>
  <si>
    <t>دور للبيع في المونسية, شرق الرياض</t>
  </si>
  <si>
    <t>Z221743073</t>
  </si>
  <si>
    <t>دور للبيع في العزيزية، جنوب الرياض</t>
  </si>
  <si>
    <t>شركه اساس الامل العقاريه</t>
  </si>
  <si>
    <t>R691087251</t>
  </si>
  <si>
    <t>فيلا قديمة للبيع في الورود، شمال الرياض</t>
  </si>
  <si>
    <t>J819851701</t>
  </si>
  <si>
    <t>R566021510</t>
  </si>
  <si>
    <t>أرض للبيع في الوسام، الرياض</t>
  </si>
  <si>
    <t>الوسام، الرياض</t>
  </si>
  <si>
    <t>حي الوسام</t>
  </si>
  <si>
    <t>شركة الأجدل للعقارات</t>
  </si>
  <si>
    <t>N556870385</t>
  </si>
  <si>
    <t>ارض للبيع سكنية في حي الجنادرية، الرياض</t>
  </si>
  <si>
    <t>F705072303</t>
  </si>
  <si>
    <t>فيلا للبيع في الملقا، شمال الرياض</t>
  </si>
  <si>
    <t>شركة ابات للتطوير العقاري</t>
  </si>
  <si>
    <t>A197120762</t>
  </si>
  <si>
    <t>فيلا للبيع في ظهرة لبن, غرب الرياض</t>
  </si>
  <si>
    <t>Y288795228</t>
  </si>
  <si>
    <t>أرض سكنية للبيع في الوسام، الرياض</t>
  </si>
  <si>
    <t>A922756313</t>
  </si>
  <si>
    <t>أرض سكنية للبيع في الرحاب، شرق الرياض</t>
  </si>
  <si>
    <t>السحاب، الرياض</t>
  </si>
  <si>
    <t>حي السحاب</t>
  </si>
  <si>
    <t>مكتب الجودة والمرونة للعقارات</t>
  </si>
  <si>
    <t>L262783085</t>
  </si>
  <si>
    <t>A494818846</t>
  </si>
  <si>
    <t>مكتب حكاية التميز للعقارات</t>
  </si>
  <si>
    <t>Y058444275</t>
  </si>
  <si>
    <t>H176548971</t>
  </si>
  <si>
    <t>فيلا للبيع في المغرزات، شمال الرياض</t>
  </si>
  <si>
    <t>الأمير لتطوير واستثمار العقارات</t>
  </si>
  <si>
    <t>K277557451</t>
  </si>
  <si>
    <t>عمارة سكنية للبيع في الرمال، شرق الرياض</t>
  </si>
  <si>
    <t>U614718775</t>
  </si>
  <si>
    <t>شقة سكنية مودرن مشروع هاجر 38 - باليرموك، الرياض</t>
  </si>
  <si>
    <t>شركة سبل الاولى العقارية</t>
  </si>
  <si>
    <t>X639217259</t>
  </si>
  <si>
    <t>مؤسسة أبراج الرياض للعقارات</t>
  </si>
  <si>
    <t>P836496192</t>
  </si>
  <si>
    <t>P232359013</t>
  </si>
  <si>
    <t>ادوار للبيع كل دور بصك حي بدر</t>
  </si>
  <si>
    <t>P709111323</t>
  </si>
  <si>
    <t>شقة للبيع في المروج، شمال الرياض</t>
  </si>
  <si>
    <t>المروج، شمال الرياض، الرياض</t>
  </si>
  <si>
    <t>حي المروج</t>
  </si>
  <si>
    <t>R037099057</t>
  </si>
  <si>
    <t>I030523459</t>
  </si>
  <si>
    <t>D002368604</t>
  </si>
  <si>
    <t>دور علوي للبيع في الجنادرية، شرق الرياض</t>
  </si>
  <si>
    <t>H815954149</t>
  </si>
  <si>
    <t>O972455113</t>
  </si>
  <si>
    <t>R897754629</t>
  </si>
  <si>
    <t>Q292210373</t>
  </si>
  <si>
    <t>للبيع دور في الازدهار، شرق الرياض</t>
  </si>
  <si>
    <t>O643326830</t>
  </si>
  <si>
    <t>فيلا للبيع في النزهة، شمال الرياض</t>
  </si>
  <si>
    <t>M015306692</t>
  </si>
  <si>
    <t>A738981273</t>
  </si>
  <si>
    <t>R470231911</t>
  </si>
  <si>
    <t>P020159083</t>
  </si>
  <si>
    <t>شقة للبيع في حي الياسمين، شمال الرياض</t>
  </si>
  <si>
    <t>Z747360937</t>
  </si>
  <si>
    <t>F554077369</t>
  </si>
  <si>
    <t>N554077369</t>
  </si>
  <si>
    <t>K747360937</t>
  </si>
  <si>
    <t>M747360937</t>
  </si>
  <si>
    <t>T747360937</t>
  </si>
  <si>
    <t>Q498738208</t>
  </si>
  <si>
    <t>شقة للبيع في حي العليا، الرياض</t>
  </si>
  <si>
    <t>G524051367</t>
  </si>
  <si>
    <t>للبيع فيلا في ظهرة لبن، غرب الرياض</t>
  </si>
  <si>
    <t>مكتب علمنا للعقارات</t>
  </si>
  <si>
    <t>I442300755</t>
  </si>
  <si>
    <t>فيلا للبيع في الروضة، شرق الرياض</t>
  </si>
  <si>
    <t>مكتب القرن الحالي للعقارات</t>
  </si>
  <si>
    <t>E837818798</t>
  </si>
  <si>
    <t>I120359977</t>
  </si>
  <si>
    <t>فيلا للبيع في الفيحاء، شرق الرياض</t>
  </si>
  <si>
    <t>L352608984</t>
  </si>
  <si>
    <t>G439994539</t>
  </si>
  <si>
    <t>P531717231</t>
  </si>
  <si>
    <t>Z682785009</t>
  </si>
  <si>
    <t>J922009030</t>
  </si>
  <si>
    <t>T870931699</t>
  </si>
  <si>
    <t>W537292948</t>
  </si>
  <si>
    <t>Q174447223</t>
  </si>
  <si>
    <t>Q943434509</t>
  </si>
  <si>
    <t>A369090922</t>
  </si>
  <si>
    <t>L943434509</t>
  </si>
  <si>
    <t>O622722359</t>
  </si>
  <si>
    <t>شقة للبيع في المصيف، شمال الرياض</t>
  </si>
  <si>
    <t>المصيف، شمال الرياض، الرياض</t>
  </si>
  <si>
    <t>حي المصيف</t>
  </si>
  <si>
    <t>A012460532</t>
  </si>
  <si>
    <t>شقة للبيع في الملك فيصل، شرق الرياض</t>
  </si>
  <si>
    <t>V264341071</t>
  </si>
  <si>
    <t>N645598847</t>
  </si>
  <si>
    <t>شقة للبيع في العزيزية، جنوب الرياض</t>
  </si>
  <si>
    <t>A901754391</t>
  </si>
  <si>
    <t>T013029495</t>
  </si>
  <si>
    <t>فيلا للبيع في الحائر، الرياض</t>
  </si>
  <si>
    <t>E070859290</t>
  </si>
  <si>
    <t>فيلا للبيع في عرقة، غرب الرياض</t>
  </si>
  <si>
    <t>Z967533302</t>
  </si>
  <si>
    <t>E528246184</t>
  </si>
  <si>
    <t>R715150012</t>
  </si>
  <si>
    <t>للبيع فيلا في الياسمين، شمال الرياض</t>
  </si>
  <si>
    <t>I680741774</t>
  </si>
  <si>
    <t>Y429771485</t>
  </si>
  <si>
    <t>J829436455</t>
  </si>
  <si>
    <t>G240563651</t>
  </si>
  <si>
    <t>O028989648</t>
  </si>
  <si>
    <t>فيلا للبيع في العقيق، شمال الرياض</t>
  </si>
  <si>
    <t>M644179163</t>
  </si>
  <si>
    <t>H727134897</t>
  </si>
  <si>
    <t>شقق للبيع في عكاظ، الرياض</t>
  </si>
  <si>
    <t>P638116100</t>
  </si>
  <si>
    <t>فيلا للبيع حي السويدي, غرب الرياض</t>
  </si>
  <si>
    <t>Q212147036</t>
  </si>
  <si>
    <t>دور للبيع في ضاحية نمار، غرب الرياض</t>
  </si>
  <si>
    <t>A832053400</t>
  </si>
  <si>
    <t>M862134574</t>
  </si>
  <si>
    <t>فيلا دوبلكس للبيع في طيبة، جنوب الرياض</t>
  </si>
  <si>
    <t>L397847118</t>
  </si>
  <si>
    <t>أدوار للبيع في شبرا, غرب الرياض</t>
  </si>
  <si>
    <t>M214804668</t>
  </si>
  <si>
    <t>فيلا للبيع في العزيزية، جنوب الرياض</t>
  </si>
  <si>
    <t>M782203632</t>
  </si>
  <si>
    <t>X572884702</t>
  </si>
  <si>
    <t>فيلا للبيع في الغنامية، جنوب الرياض</t>
  </si>
  <si>
    <t>G434093900</t>
  </si>
  <si>
    <t>U696667919</t>
  </si>
  <si>
    <t>R346715321</t>
  </si>
  <si>
    <t>شقتين للبيع في العارض، شمال الرياض</t>
  </si>
  <si>
    <t>X865616259</t>
  </si>
  <si>
    <t>Q551195749</t>
  </si>
  <si>
    <t>G506675748</t>
  </si>
  <si>
    <t>فيلا دوبلكس للبيع في العزيزية، جنوب الرياض</t>
  </si>
  <si>
    <t>شركة الخزامى القابضة</t>
  </si>
  <si>
    <t>J233118921</t>
  </si>
  <si>
    <t>U527658875</t>
  </si>
  <si>
    <t>دور للبيع في العزيزيه، جنوب الرياض</t>
  </si>
  <si>
    <t>P557985808</t>
  </si>
  <si>
    <t>T937776138</t>
  </si>
  <si>
    <t>L630707937</t>
  </si>
  <si>
    <t>للبيع شقة في الرمال، شرق الرياض</t>
  </si>
  <si>
    <t>P689568196</t>
  </si>
  <si>
    <t>شقة للبيع في  اليرموك ،شرق الرياض</t>
  </si>
  <si>
    <t>C879445825</t>
  </si>
  <si>
    <t>Q944071908</t>
  </si>
  <si>
    <t>V578995413</t>
  </si>
  <si>
    <t>شقة للبيع في السويدي, غرب الرياض</t>
  </si>
  <si>
    <t>D239878944</t>
  </si>
  <si>
    <t>شقة 3 غرف -بالدور الأرضي-  للبيع اليرموك، الرياض</t>
  </si>
  <si>
    <t>Q810378960</t>
  </si>
  <si>
    <t>تاون هاوس علوي فاخر للبيع في الرمال، شرق الرياض</t>
  </si>
  <si>
    <t>E382528629</t>
  </si>
  <si>
    <t>L142025309</t>
  </si>
  <si>
    <t>U750563705</t>
  </si>
  <si>
    <t>شقق فاخرة للبيع في بدر، جنوب الرياض</t>
  </si>
  <si>
    <t>V184680884</t>
  </si>
  <si>
    <t>دور - الرياض - حي المعيزيلة</t>
  </si>
  <si>
    <t>P184680884</t>
  </si>
  <si>
    <t>L184680884</t>
  </si>
  <si>
    <t>L193028192</t>
  </si>
  <si>
    <t>I646838519</t>
  </si>
  <si>
    <t>فيلا - الرياض - حي الجنادرية</t>
  </si>
  <si>
    <t>I660559469</t>
  </si>
  <si>
    <t>مؤسسة مراة المشاريع العقارية</t>
  </si>
  <si>
    <t>F400652632</t>
  </si>
  <si>
    <t>دور أول للبيع في الجنادرية، شرق الرياض</t>
  </si>
  <si>
    <t>U960229704</t>
  </si>
  <si>
    <t>دور للبيع في الياسمين، شمال الرياض</t>
  </si>
  <si>
    <t>E951828197</t>
  </si>
  <si>
    <t>F815764436</t>
  </si>
  <si>
    <t>L969603036</t>
  </si>
  <si>
    <t>H873706738</t>
  </si>
  <si>
    <t>D458713446</t>
  </si>
  <si>
    <t>A058100334</t>
  </si>
  <si>
    <t>Z293525426</t>
  </si>
  <si>
    <t>U160357250</t>
  </si>
  <si>
    <t>Q126847710</t>
  </si>
  <si>
    <t>K034635933</t>
  </si>
  <si>
    <t>Z759329569</t>
  </si>
  <si>
    <t>T440683017</t>
  </si>
  <si>
    <t>T760159708</t>
  </si>
  <si>
    <t>B630707937</t>
  </si>
  <si>
    <t>O500164168</t>
  </si>
  <si>
    <t>Q350504757</t>
  </si>
  <si>
    <t>B291009880</t>
  </si>
  <si>
    <t>فيلا في حي الندى للبيع، الرياض</t>
  </si>
  <si>
    <t>الندى، شمال الرياض، الرياض</t>
  </si>
  <si>
    <t>حي الندى</t>
  </si>
  <si>
    <t>P227283547</t>
  </si>
  <si>
    <t>N625059224</t>
  </si>
  <si>
    <t>V077214143</t>
  </si>
  <si>
    <t>فيلا للبيع في حي الياسمين , شمال الرياض</t>
  </si>
  <si>
    <t>H169903054</t>
  </si>
  <si>
    <t>Y392963755</t>
  </si>
  <si>
    <t>فيلا للبيع في القيروان، الرياض</t>
  </si>
  <si>
    <t>N068128150</t>
  </si>
  <si>
    <t>فيلا 5 غرف نوم للبيع في القريوان، الرياض</t>
  </si>
  <si>
    <t>B214804668</t>
  </si>
  <si>
    <t>G717011063</t>
  </si>
  <si>
    <t>فيلا للبيع في الإزدهار، شرق الرياض</t>
  </si>
  <si>
    <t>U316526741</t>
  </si>
  <si>
    <t>دور للبيع في حي الازدهار، شرق الرياض</t>
  </si>
  <si>
    <t>O642055663</t>
  </si>
  <si>
    <t>دور للبيع في الازدهار, شرق الرياض</t>
  </si>
  <si>
    <t>S168335658</t>
  </si>
  <si>
    <t>N865815090</t>
  </si>
  <si>
    <t>O785606442</t>
  </si>
  <si>
    <t>شقة للبيع في الجنادرية، الرياض</t>
  </si>
  <si>
    <t>P923172885</t>
  </si>
  <si>
    <t>G454399021</t>
  </si>
  <si>
    <t>فيلا  للبيع في النرجس، الرياض</t>
  </si>
  <si>
    <t>U172487156</t>
  </si>
  <si>
    <t>شقة للبيع في شارع الكوثر ، حي العارض ، الرياض ، منطقة الرياض</t>
  </si>
  <si>
    <t>J206073284</t>
  </si>
  <si>
    <t>شقة للبيع في شارع عبدالرحمن بن محمد بن مسلمه الانصاري ، حي العارض ، الرياض ، منطقة الرياض</t>
  </si>
  <si>
    <t>Y036483293</t>
  </si>
  <si>
    <t>M540730619</t>
  </si>
  <si>
    <t>للبيع ارض في مخطط الخير، شمال الرياض</t>
  </si>
  <si>
    <t>K862932057</t>
  </si>
  <si>
    <t>ارض للبيع في مخطط الخير، شمال الرياض</t>
  </si>
  <si>
    <t>E771658095</t>
  </si>
  <si>
    <t>أرض للبيع في الرياض</t>
  </si>
  <si>
    <t>E704392909</t>
  </si>
  <si>
    <t>H341134427</t>
  </si>
  <si>
    <t>B101377285</t>
  </si>
  <si>
    <t>K874155203</t>
  </si>
  <si>
    <t>H413613720</t>
  </si>
  <si>
    <t>B888152566</t>
  </si>
  <si>
    <t>شقة للبيع في المنصورية، الرياض</t>
  </si>
  <si>
    <t>S687444572</t>
  </si>
  <si>
    <t>6 غرف نوم دور للبيع في الرمال، الرياض</t>
  </si>
  <si>
    <t>L890601141</t>
  </si>
  <si>
    <t>شقة للبيع في شارع القصر ، حي النرجس ، الرياض ، منطقة الرياض</t>
  </si>
  <si>
    <t>N943847768</t>
  </si>
  <si>
    <t>الطابق للبيع في الرمال، الرياض</t>
  </si>
  <si>
    <t>I260227324</t>
  </si>
  <si>
    <t>أرض للبيع في المهدية، غرب الرياض</t>
  </si>
  <si>
    <t>D339805906</t>
  </si>
  <si>
    <t>ارض سكنية للبيع في العارض، شمال الرياض</t>
  </si>
  <si>
    <t>R560721710</t>
  </si>
  <si>
    <t>ارض للبيع في النرجس, شمال الرياض</t>
  </si>
  <si>
    <t>B184222190</t>
  </si>
  <si>
    <t>شقة للبيع في إشبيلية، شرق الرياض</t>
  </si>
  <si>
    <t>بصمات الرياض العقارية</t>
  </si>
  <si>
    <t>M380839573</t>
  </si>
  <si>
    <t>فيلا للبيع في حي الملك عبدالله، شمال الرياض</t>
  </si>
  <si>
    <t>مكتب سلطان حزام تركي الثابتي الشهري للعقارات</t>
  </si>
  <si>
    <t>K465803846</t>
  </si>
  <si>
    <t>A405087401</t>
  </si>
  <si>
    <t>S738734364</t>
  </si>
  <si>
    <t>فيلا للبيع في حي اليرموك، شرق الرياض</t>
  </si>
  <si>
    <t>N785395709</t>
  </si>
  <si>
    <t>لليع فيلا درج داخلي في اليرموك، شرق الرياض</t>
  </si>
  <si>
    <t>E637050772</t>
  </si>
  <si>
    <t>R747133826</t>
  </si>
  <si>
    <t>E810570002</t>
  </si>
  <si>
    <t>Y172762403</t>
  </si>
  <si>
    <t>فيلا للبيع في القرطبة، الرياض</t>
  </si>
  <si>
    <t>I082104540</t>
  </si>
  <si>
    <t>أرض للبيع في القادسية ،شرق الرياض</t>
  </si>
  <si>
    <t>D326035255</t>
  </si>
  <si>
    <t>أرض سكنية للبيع في العارض، الرياض</t>
  </si>
  <si>
    <t>شركة أفعال العقارية</t>
  </si>
  <si>
    <t>B827572344</t>
  </si>
  <si>
    <t>للبيع دور في المونسية، شرق الرياض</t>
  </si>
  <si>
    <t>E076587430</t>
  </si>
  <si>
    <t>تاون هاوس علوي فاخر للبيع في المونسية، شرق الرياض</t>
  </si>
  <si>
    <t>Y154750132</t>
  </si>
  <si>
    <t>L002411957</t>
  </si>
  <si>
    <t>B901221022</t>
  </si>
  <si>
    <t>فيلا للبيع في شارع أبي بكر القنائي, حي ديراب, مدينة الرياض, منطقة الرياض</t>
  </si>
  <si>
    <t>L674257519</t>
  </si>
  <si>
    <t>I275460448</t>
  </si>
  <si>
    <t>أدوار فاخرة للبيع في شبرا، غرب الرياض</t>
  </si>
  <si>
    <t>L338244776</t>
  </si>
  <si>
    <t>أدوار للبيع في الرمال، شرق الرياض</t>
  </si>
  <si>
    <t>H708646319</t>
  </si>
  <si>
    <t>E510241016</t>
  </si>
  <si>
    <t>Z423786566</t>
  </si>
  <si>
    <t>Y925223765</t>
  </si>
  <si>
    <t>فيلا للبيع في حي النرجس، شمال الرياض</t>
  </si>
  <si>
    <t>R657961725</t>
  </si>
  <si>
    <t>فيلا للبيع في  الشهداء، شرق الرياض</t>
  </si>
  <si>
    <t>G756784204</t>
  </si>
  <si>
    <t>شقة للبيع في  العقيق، شمال الرياض</t>
  </si>
  <si>
    <t>P232949062</t>
  </si>
  <si>
    <t>شقة للبيع في حطين, شمال الرياض</t>
  </si>
  <si>
    <t>O735931138</t>
  </si>
  <si>
    <t>فيلا للبيع في  المونسية، شرق الرياض</t>
  </si>
  <si>
    <t>G625634690</t>
  </si>
  <si>
    <t>شقة للبيع في  الملقا، شمال الرياض</t>
  </si>
  <si>
    <t>Z003758017</t>
  </si>
  <si>
    <t>J730786004</t>
  </si>
  <si>
    <t>L631334296</t>
  </si>
  <si>
    <t>شقة فاخرة للبيع في الياسمين, شمال الرياض</t>
  </si>
  <si>
    <t>R130026039</t>
  </si>
  <si>
    <t>شقة للبيع في الوادي, شمال الرياض</t>
  </si>
  <si>
    <t>K032706222</t>
  </si>
  <si>
    <t>W139903316</t>
  </si>
  <si>
    <t>K743964979</t>
  </si>
  <si>
    <t>شقة للبيع في الدار البيضاء، الرياض</t>
  </si>
  <si>
    <t>L203454532</t>
  </si>
  <si>
    <t>N481293421</t>
  </si>
  <si>
    <t>دور أرضي فاخر للبيع في المونسية، شرق الرياض</t>
  </si>
  <si>
    <t>Z593160442</t>
  </si>
  <si>
    <t>J790222674</t>
  </si>
  <si>
    <t>شقة للبيع في الحمراء، شرق الرياض</t>
  </si>
  <si>
    <t>مكتب مسفر سفر مسفر بعيه للعقارات</t>
  </si>
  <si>
    <t>P147925273</t>
  </si>
  <si>
    <t>C763515734</t>
  </si>
  <si>
    <t>دور أرضي للبيع في الرمال، شرق الرياض</t>
  </si>
  <si>
    <t>K866193376</t>
  </si>
  <si>
    <t>U145723200</t>
  </si>
  <si>
    <t>F533278137</t>
  </si>
  <si>
    <t>تاون هاوس علوي للبيع في الجنادرية، شرق الرياض</t>
  </si>
  <si>
    <t>U470446128</t>
  </si>
  <si>
    <t>T784403056</t>
  </si>
  <si>
    <t>شركة القرطبة للعقارات</t>
  </si>
  <si>
    <t>K278513716</t>
  </si>
  <si>
    <t>Q045808191</t>
  </si>
  <si>
    <t>R268693820</t>
  </si>
  <si>
    <t>N465075130</t>
  </si>
  <si>
    <t>B252728346</t>
  </si>
  <si>
    <t>فيلا دورين منفصلة للبيع في المهدية، الرياض</t>
  </si>
  <si>
    <t>مكتب خالد عبدالرحمن منيف الدعجاني للعقارات</t>
  </si>
  <si>
    <t>I227283547</t>
  </si>
  <si>
    <t>D701664873</t>
  </si>
  <si>
    <t>فيلا للبيع في أحد، جنوب الرياض</t>
  </si>
  <si>
    <t>Z452790258</t>
  </si>
  <si>
    <t>للبيع فيلا في  القيروان، شمال الرياض</t>
  </si>
  <si>
    <t>C810809697</t>
  </si>
  <si>
    <t>دور للبيع في البيان، شرق الرياض</t>
  </si>
  <si>
    <t>P821090663</t>
  </si>
  <si>
    <t>فيلا درج داخلي مع شقتين للبيع في العارض، شمال الرياض</t>
  </si>
  <si>
    <t>مكتب ابراج العارض للعقارات</t>
  </si>
  <si>
    <t>K117578426</t>
  </si>
  <si>
    <t>T597564429</t>
  </si>
  <si>
    <t>U117578426</t>
  </si>
  <si>
    <t>O531226257</t>
  </si>
  <si>
    <t>O723013051</t>
  </si>
  <si>
    <t>E126771413</t>
  </si>
  <si>
    <t>E437468023</t>
  </si>
  <si>
    <t>M094741666</t>
  </si>
  <si>
    <t>R219208366</t>
  </si>
  <si>
    <t>P001048877</t>
  </si>
  <si>
    <t>فيلا زاوية للبيع في الملقا، شمال الرياض</t>
  </si>
  <si>
    <t>مكتب مساكن العاصمة</t>
  </si>
  <si>
    <t>D357685465</t>
  </si>
  <si>
    <t>Q666681674</t>
  </si>
  <si>
    <t>V191922328</t>
  </si>
  <si>
    <t>R272476809</t>
  </si>
  <si>
    <t>G383163244</t>
  </si>
  <si>
    <t>S314762314</t>
  </si>
  <si>
    <t>Z227283547</t>
  </si>
  <si>
    <t>C271342616</t>
  </si>
  <si>
    <t>O065063995</t>
  </si>
  <si>
    <t>فيلا للبيع في المونسية , شرق الرياض</t>
  </si>
  <si>
    <t>مكتب الهمم العالية للعقارات</t>
  </si>
  <si>
    <t>E727594817</t>
  </si>
  <si>
    <t>X468237196</t>
  </si>
  <si>
    <t>I067502048</t>
  </si>
  <si>
    <t>R750563705</t>
  </si>
  <si>
    <t>G315034386</t>
  </si>
  <si>
    <t>D355129692</t>
  </si>
  <si>
    <t>Price_Per_M2</t>
  </si>
  <si>
    <t>Total Price</t>
  </si>
  <si>
    <t>دور علوي مودرن للبيع - مشروع ذا بارك</t>
  </si>
  <si>
    <t>شقة مودرن للبيع - مشروع ذا بارك</t>
  </si>
  <si>
    <t xml:space="preserve">  للبيع فيلا الأحلام مع شقة مستقلة في مخطط بوابة الشرق  </t>
  </si>
  <si>
    <t xml:space="preserve"> فيلا درج داخلي رائعة للبيع </t>
  </si>
  <si>
    <t xml:space="preserve"> دور للبيع في شارع عبدالله بن عتيك    في حي النفل - مفهوم جديد للتملك</t>
  </si>
  <si>
    <t xml:space="preserve">  شقة فاخرة للبيع في حي حطين - شمال الرياض  </t>
  </si>
  <si>
    <t xml:space="preserve">  الأدوار الفخمة - استمتع بتجربة السكن الفاخر في حي الرمال ريبال! </t>
  </si>
  <si>
    <t xml:space="preserve"> شقة للبيع - حي النسيم، الصفوة </t>
  </si>
  <si>
    <t xml:space="preserve"> مشروع شقق فاخرة في حي الإزدهار - الرياض </t>
  </si>
  <si>
    <t xml:space="preserve"> مشروع شقق فاخرة في حي المغرزات - الرياض </t>
  </si>
  <si>
    <t xml:space="preserve"> للبيع فيلا درج داخلي وشقتين</t>
  </si>
  <si>
    <t xml:space="preserve"> فرصة لا تُعوض - فيلا دوبلكس مفصولة للبيع في حي عكاظ - مخطط العجلان</t>
  </si>
  <si>
    <t>Zone</t>
  </si>
  <si>
    <t>جنوب الرياض</t>
  </si>
  <si>
    <t>شمال الرياض</t>
  </si>
  <si>
    <t>شرق الرياض</t>
  </si>
  <si>
    <t>غرب الرياض</t>
  </si>
  <si>
    <t>وسط الرياض</t>
  </si>
  <si>
    <t>الطابق الأرضي للبيع في حي ربوة، الرياض</t>
  </si>
  <si>
    <t>فيلة أورورا، مجموعة من الفيلات المميزة المعروضة للبيع في موقع استراتيجي في حي رايان</t>
  </si>
  <si>
    <t>فيلا معروضة للبيع في مدينة الرياض</t>
  </si>
  <si>
    <t>فيلا للبيع في نسيم الشرقي، الرياض</t>
  </si>
  <si>
    <t>مبنى سكني وتجاري متعدد الاستخدامات معروض للبيع في شارع أجادير، حي سلطانة، الرياض</t>
  </si>
  <si>
    <t>مبنى سكني للبيع في شارع سعيد بن عامر، حي منفوحة، الرياض</t>
  </si>
  <si>
    <t>شقة للبيع في حي الملك فيصل، الرياض</t>
  </si>
  <si>
    <t>بيت استراحة معروض للبيع في الرمال، الرياض</t>
  </si>
  <si>
    <t>أرضية بثلاث غرف نوم معروضة للبيع شبرا</t>
  </si>
  <si>
    <t>شقة للبيع في حي العارض، الرياض</t>
  </si>
  <si>
    <t>عقار في حي الملقا، شمال الرياض</t>
  </si>
  <si>
    <t>دوار للبيع في شبرا، غرب الرياض</t>
  </si>
  <si>
    <t>​بيت شعبي للبيع في حي منفوحة، وسط الرياض</t>
  </si>
  <si>
    <t>دور أول علوي للبيع في حي الجنادرية، شرق الرياض</t>
  </si>
  <si>
    <t>دور أول تاون هاوس للبيع في حي القادسية، شرق الرياض</t>
  </si>
  <si>
    <t>​شقة فاخرة للبيع في حي القادسية، شرق الرياض</t>
  </si>
  <si>
    <t>غير محدد</t>
  </si>
  <si>
    <t xml:space="preserve">  وحدات برواز النرجس - تجربة السكن الفاخر في قلب الرياض</t>
  </si>
  <si>
    <t xml:space="preserve">  أرض مميزة للبيع في حي العارض – الرياض  |  فرصة استثمارية لا تعوّض</t>
  </si>
  <si>
    <t xml:space="preserve">  فرصة فريدة لامتلاك شقة في طويق - غرب الرياض</t>
  </si>
  <si>
    <t>شقق سكنية جديدة للبيع في حي السعادة</t>
  </si>
  <si>
    <t>شقة سكنية فاخرة تجمع بين الراحة، الفخامة، والأمان</t>
  </si>
  <si>
    <t>​فردي / مالك</t>
  </si>
  <si>
    <t>لوحة تحليل بيانات سوق العقارات في مدينة الرياض</t>
  </si>
  <si>
    <t>Grand Total</t>
  </si>
  <si>
    <t>Average of Total Price</t>
  </si>
  <si>
    <t>Average of Price_Per_M2</t>
  </si>
  <si>
    <t>6</t>
  </si>
  <si>
    <t>214 م2</t>
  </si>
  <si>
    <t>730,000</t>
  </si>
  <si>
    <t>5</t>
  </si>
  <si>
    <t>440 م2</t>
  </si>
  <si>
    <t>4,800,000</t>
  </si>
  <si>
    <t>11</t>
  </si>
  <si>
    <t>445 م2</t>
  </si>
  <si>
    <t>5,000,000</t>
  </si>
  <si>
    <t>185 م2</t>
  </si>
  <si>
    <t>1,200,000</t>
  </si>
  <si>
    <t>300 م2</t>
  </si>
  <si>
    <t>980,000</t>
  </si>
  <si>
    <t>500 م2</t>
  </si>
  <si>
    <t>1,249,000</t>
  </si>
  <si>
    <t>523 م2</t>
  </si>
  <si>
    <t>1,650,000</t>
  </si>
  <si>
    <t>4</t>
  </si>
  <si>
    <t>3,098 م2</t>
  </si>
  <si>
    <t>1,350,000</t>
  </si>
  <si>
    <t>✴️دور علوي مودرن للبيع - مشروع ذا بارك✴️</t>
  </si>
  <si>
    <t>3</t>
  </si>
  <si>
    <t>800,000</t>
  </si>
  <si>
    <t>3,500,000</t>
  </si>
  <si>
    <t>ارض سكنية</t>
  </si>
  <si>
    <t>390 م2</t>
  </si>
  <si>
    <t>9,200,000</t>
  </si>
  <si>
    <t>عمارة سكنية</t>
  </si>
  <si>
    <t>1,200 م2</t>
  </si>
  <si>
    <t>5,500,000</t>
  </si>
  <si>
    <t>893 م2</t>
  </si>
  <si>
    <t>590,000</t>
  </si>
  <si>
    <t>900 م2</t>
  </si>
  <si>
    <t>850,000</t>
  </si>
  <si>
    <t>540 م2</t>
  </si>
  <si>
    <t>1,450,000</t>
  </si>
  <si>
    <t>202 م2</t>
  </si>
  <si>
    <t>660,000</t>
  </si>
  <si>
    <t>312 م2</t>
  </si>
  <si>
    <t>1,000,000</t>
  </si>
  <si>
    <t>711 م2</t>
  </si>
  <si>
    <t>900</t>
  </si>
  <si>
    <t>360 م2</t>
  </si>
  <si>
    <t>3,000</t>
  </si>
  <si>
    <t>418 م2</t>
  </si>
  <si>
    <t>1,800</t>
  </si>
  <si>
    <t>936 م2</t>
  </si>
  <si>
    <t>535</t>
  </si>
  <si>
    <t>1,223</t>
  </si>
  <si>
    <t>160 م2</t>
  </si>
  <si>
    <t>8</t>
  </si>
  <si>
    <t>103 م2</t>
  </si>
  <si>
    <t>280,000</t>
  </si>
  <si>
    <t>600 م2</t>
  </si>
  <si>
    <t>7,200,000</t>
  </si>
  <si>
    <t>450 م2</t>
  </si>
  <si>
    <t>3,800,000</t>
  </si>
  <si>
    <t>118 م2</t>
  </si>
  <si>
    <t>630,000</t>
  </si>
  <si>
    <t>580 م2</t>
  </si>
  <si>
    <t>6,000,000</t>
  </si>
  <si>
    <t>Ground floor for sale in Rabwah neighborhood, Riyadh</t>
  </si>
  <si>
    <t>1,100,000</t>
  </si>
  <si>
    <t>✴️شقة مودرن للبيع - مشروع ذا بارك✴️</t>
  </si>
  <si>
    <t>760,000</t>
  </si>
  <si>
    <t>131 م2</t>
  </si>
  <si>
    <t>430,000</t>
  </si>
  <si>
    <t>420,000</t>
  </si>
  <si>
    <t>125 م2</t>
  </si>
  <si>
    <t>880,000</t>
  </si>
  <si>
    <t>1,300,000</t>
  </si>
  <si>
    <t>4,200,000</t>
  </si>
  <si>
    <t>114 م2</t>
  </si>
  <si>
    <t>470,000</t>
  </si>
  <si>
    <t>2,350,000</t>
  </si>
  <si>
    <t>860,000</t>
  </si>
  <si>
    <t>359 م2</t>
  </si>
  <si>
    <t>2,400,000</t>
  </si>
  <si>
    <t>191 م2</t>
  </si>
  <si>
    <t>1,750,000</t>
  </si>
  <si>
    <t>🏡✨  وحدات برواز النرجس - تجربة السكن الفاخر في قلب الرياض!</t>
  </si>
  <si>
    <t>144 م2</t>
  </si>
  <si>
    <t>1,160,000</t>
  </si>
  <si>
    <t>410 م2</t>
  </si>
  <si>
    <t>1,400,000</t>
  </si>
  <si>
    <t>9</t>
  </si>
  <si>
    <t>2,800,000</t>
  </si>
  <si>
    <t>174 م2</t>
  </si>
  <si>
    <t>680,000</t>
  </si>
  <si>
    <t>600,000</t>
  </si>
  <si>
    <t>432 م2</t>
  </si>
  <si>
    <t>7,000</t>
  </si>
  <si>
    <t>🌟  أرض مميزة للبيع في حي العارض – الرياض  |  فرصة استثمارية لا تعوّض!</t>
  </si>
  <si>
    <t>168 م2</t>
  </si>
  <si>
    <t>450,000</t>
  </si>
  <si>
    <t>128 م2</t>
  </si>
  <si>
    <t>550,000</t>
  </si>
  <si>
    <t>2,700,000</t>
  </si>
  <si>
    <t>113 م2</t>
  </si>
  <si>
    <t>950,000</t>
  </si>
  <si>
    <t>400 م2</t>
  </si>
  <si>
    <t>3,002 م2</t>
  </si>
  <si>
    <t>1,900</t>
  </si>
  <si>
    <t>146 م2</t>
  </si>
  <si>
    <t>900,000</t>
  </si>
  <si>
    <t>163 م2</t>
  </si>
  <si>
    <t>530,000</t>
  </si>
  <si>
    <t>5,400,000</t>
  </si>
  <si>
    <t>375 م2</t>
  </si>
  <si>
    <t>780,000</t>
  </si>
  <si>
    <t>6,000</t>
  </si>
  <si>
    <t>200 م2</t>
  </si>
  <si>
    <t>7</t>
  </si>
  <si>
    <t>4,000,000</t>
  </si>
  <si>
    <t>3,150 م2</t>
  </si>
  <si>
    <t>1,365,000</t>
  </si>
  <si>
    <t>289 م2</t>
  </si>
  <si>
    <t>1,470,000</t>
  </si>
  <si>
    <t>🏡✨  للبيع فيلا الأحلام مع شقة مستقلة في مخطط بوابة الشرق  ✨🏡</t>
  </si>
  <si>
    <t>150 م2</t>
  </si>
  <si>
    <t>319 م2</t>
  </si>
  <si>
    <t>3,435</t>
  </si>
  <si>
    <t>187 م2</t>
  </si>
  <si>
    <t>🌟  الأدوار الفخمة - استمتع بتجربة السكن الفاخر في حي الرمال ريبال! 🏡✨</t>
  </si>
  <si>
    <t>175 م2</t>
  </si>
  <si>
    <t>620,000</t>
  </si>
  <si>
    <t>✨🏡 فيلا درج داخلي رائعة للبيع 🏡✨</t>
  </si>
  <si>
    <t>341 م2</t>
  </si>
  <si>
    <t>Rest house for sale in Al Ramal, Riyadh</t>
  </si>
  <si>
    <t>182 م2</t>
  </si>
  <si>
    <t>1,900,000</t>
  </si>
  <si>
    <t>124 م2</t>
  </si>
  <si>
    <t>580,000</t>
  </si>
  <si>
    <t>132 م2</t>
  </si>
  <si>
    <t>379 م2</t>
  </si>
  <si>
    <t>2,000,000</t>
  </si>
  <si>
    <t>140 م2</t>
  </si>
  <si>
    <t>216 م2</t>
  </si>
  <si>
    <t>1,373,000</t>
  </si>
  <si>
    <t>193 م2</t>
  </si>
  <si>
    <t>540,000</t>
  </si>
  <si>
    <t>949,000</t>
  </si>
  <si>
    <t>177 م2</t>
  </si>
  <si>
    <t>1,430,000</t>
  </si>
  <si>
    <t>171 م2</t>
  </si>
  <si>
    <t>650,000</t>
  </si>
  <si>
    <t>750 م2</t>
  </si>
  <si>
    <t>1,299,000</t>
  </si>
  <si>
    <t>663,400</t>
  </si>
  <si>
    <t>🏢✨  فرصة فريدة لامتلاك شقة في طويق - غرب الرياض!</t>
  </si>
  <si>
    <t>480 م2</t>
  </si>
  <si>
    <t>5,900,000</t>
  </si>
  <si>
    <t>800 م2</t>
  </si>
  <si>
    <t>2,050,000</t>
  </si>
  <si>
    <t>5,850,000</t>
  </si>
  <si>
    <t>147 م2</t>
  </si>
  <si>
    <t>364 م2</t>
  </si>
  <si>
    <t>4,400,000</t>
  </si>
  <si>
    <t>4,100,000</t>
  </si>
  <si>
    <t>250 م2</t>
  </si>
  <si>
    <t>3,400,000</t>
  </si>
  <si>
    <t>3,300,000</t>
  </si>
  <si>
    <t>136 م2</t>
  </si>
  <si>
    <t>3,700,000</t>
  </si>
  <si>
    <t>490 م2</t>
  </si>
  <si>
    <t>15,000,000</t>
  </si>
  <si>
    <t>190 م2</t>
  </si>
  <si>
    <t>1,250,000</t>
  </si>
  <si>
    <t>1,155 م2</t>
  </si>
  <si>
    <t>1,240,000</t>
  </si>
  <si>
    <t>1,235,000</t>
  </si>
  <si>
    <t>2,100,000</t>
  </si>
  <si>
    <t>625 م2</t>
  </si>
  <si>
    <t>700,000</t>
  </si>
  <si>
    <t>153 م2</t>
  </si>
  <si>
    <t>362 م2</t>
  </si>
  <si>
    <t>1,800,000</t>
  </si>
  <si>
    <t>5,600,000</t>
  </si>
  <si>
    <t>211 م2</t>
  </si>
  <si>
    <t>990 م2</t>
  </si>
  <si>
    <t>11,000,000</t>
  </si>
  <si>
    <t>1,019,000</t>
  </si>
  <si>
    <t>2</t>
  </si>
  <si>
    <t>336 م2</t>
  </si>
  <si>
    <t>5,300,000</t>
  </si>
  <si>
    <t>143 م2</t>
  </si>
  <si>
    <t>610,000</t>
  </si>
  <si>
    <t>2,150,000</t>
  </si>
  <si>
    <t>161 م2</t>
  </si>
  <si>
    <t>975,000</t>
  </si>
  <si>
    <t>137 م2</t>
  </si>
  <si>
    <t>478 م2</t>
  </si>
  <si>
    <t>138 م2</t>
  </si>
  <si>
    <t>152 م2</t>
  </si>
  <si>
    <t>شقق سكنية جديدة للبيع في حي السعادة!</t>
  </si>
  <si>
    <t>158 م2</t>
  </si>
  <si>
    <t>560,000</t>
  </si>
  <si>
    <t>245 م2</t>
  </si>
  <si>
    <t>Aurora Villa, a collection of distinguished villas for sale in a strategic location in Rayan neighborhood</t>
  </si>
  <si>
    <t>65,000</t>
  </si>
  <si>
    <t>استوديو</t>
  </si>
  <si>
    <t>93 م2</t>
  </si>
  <si>
    <t>1,500,000</t>
  </si>
  <si>
    <t>194 م2</t>
  </si>
  <si>
    <t>425 م2</t>
  </si>
  <si>
    <t>3,485,000</t>
  </si>
  <si>
    <t>1,420,000</t>
  </si>
  <si>
    <t>141 م2</t>
  </si>
  <si>
    <t>1,850,000</t>
  </si>
  <si>
    <t>شقة سكنية فاخرة تجمع بين الراحة، الفخامة، والأمان! ✨</t>
  </si>
  <si>
    <t>765,000</t>
  </si>
  <si>
    <t>شقة فاخرة للبيع</t>
  </si>
  <si>
    <t>196 م2</t>
  </si>
  <si>
    <t>1,080,000</t>
  </si>
  <si>
    <t>769,999</t>
  </si>
  <si>
    <t>126 م2</t>
  </si>
  <si>
    <t>130 م2</t>
  </si>
  <si>
    <t>460,000</t>
  </si>
  <si>
    <t>Villa for sale in Riyadh city</t>
  </si>
  <si>
    <t>123 م2</t>
  </si>
  <si>
    <t>227 م2</t>
  </si>
  <si>
    <t>6,500,000</t>
  </si>
  <si>
    <t>1,680,000</t>
  </si>
  <si>
    <t>1,611 م2</t>
  </si>
  <si>
    <t>8,860,500</t>
  </si>
  <si>
    <t>615 م2</t>
  </si>
  <si>
    <t>5,800,000</t>
  </si>
  <si>
    <t>199 م2</t>
  </si>
  <si>
    <t>222 م2</t>
  </si>
  <si>
    <t>1,150,000</t>
  </si>
  <si>
    <t>135 م2</t>
  </si>
  <si>
    <t>9,100 م2</t>
  </si>
  <si>
    <t>705,536</t>
  </si>
  <si>
    <t>400,000</t>
  </si>
  <si>
    <t>154 م2</t>
  </si>
  <si>
    <t>149 م2</t>
  </si>
  <si>
    <t>170 م2</t>
  </si>
  <si>
    <t>790,000</t>
  </si>
  <si>
    <t>382 م2</t>
  </si>
  <si>
    <t>999,000</t>
  </si>
  <si>
    <t>1,079,000</t>
  </si>
  <si>
    <t>278 م2</t>
  </si>
  <si>
    <t>970,000</t>
  </si>
  <si>
    <t>145 م2</t>
  </si>
  <si>
    <t>10</t>
  </si>
  <si>
    <t>268 م2</t>
  </si>
  <si>
    <t>6,300,000</t>
  </si>
  <si>
    <t>159 م2</t>
  </si>
  <si>
    <t>905,000</t>
  </si>
  <si>
    <t>205 م2</t>
  </si>
  <si>
    <t>750,000</t>
  </si>
  <si>
    <t>دور أول علوي</t>
  </si>
  <si>
    <t>305 م2</t>
  </si>
  <si>
    <t>770,000</t>
  </si>
  <si>
    <t>3 Bedroom Floor For Sale Shubra</t>
  </si>
  <si>
    <t>155 م2</t>
  </si>
  <si>
    <t>550 م2</t>
  </si>
  <si>
    <t>12,500,000</t>
  </si>
  <si>
    <t>157 م2</t>
  </si>
  <si>
    <t>585,000</t>
  </si>
  <si>
    <t>275 م2</t>
  </si>
  <si>
    <t>1,139,000</t>
  </si>
  <si>
    <t>562 م2</t>
  </si>
  <si>
    <t>151 م2</t>
  </si>
  <si>
    <t>173 م2</t>
  </si>
  <si>
    <t>303 م2</t>
  </si>
  <si>
    <t>5,880,000</t>
  </si>
  <si>
    <t>1,600,000</t>
  </si>
  <si>
    <t>4,500,000</t>
  </si>
  <si>
    <t>449 م2</t>
  </si>
  <si>
    <t>595 م2</t>
  </si>
  <si>
    <t>3,000,000</t>
  </si>
  <si>
    <t>195 م2</t>
  </si>
  <si>
    <t>966,000</t>
  </si>
  <si>
    <t>800,915</t>
  </si>
  <si>
    <t>1,230,000</t>
  </si>
  <si>
    <t>520,000</t>
  </si>
  <si>
    <t>شقق فاخرة بحي بدر</t>
  </si>
  <si>
    <t>184 م2</t>
  </si>
  <si>
    <t>370 م2</t>
  </si>
  <si>
    <t>2,200,000</t>
  </si>
  <si>
    <t>1,540,000</t>
  </si>
  <si>
    <t>280 م2</t>
  </si>
  <si>
    <t>2,600,000</t>
  </si>
  <si>
    <t>238 م2</t>
  </si>
  <si>
    <t>3,200</t>
  </si>
  <si>
    <t>616 م2</t>
  </si>
  <si>
    <t>266 م2</t>
  </si>
  <si>
    <t>7,000,000</t>
  </si>
  <si>
    <t>206 م2</t>
  </si>
  <si>
    <t>91 م2</t>
  </si>
  <si>
    <t>230,000</t>
  </si>
  <si>
    <t>بيت شعبي المنفوحة</t>
  </si>
  <si>
    <t>1,440,000</t>
  </si>
  <si>
    <t>323 م2</t>
  </si>
  <si>
    <t>3,960 م2</t>
  </si>
  <si>
    <t>2,799,000</t>
  </si>
  <si>
    <t>504 م2</t>
  </si>
  <si>
    <t>3,150,000</t>
  </si>
  <si>
    <t>258 م2</t>
  </si>
  <si>
    <t>240 م2</t>
  </si>
  <si>
    <t>22,800,000</t>
  </si>
  <si>
    <t>120 م2</t>
  </si>
  <si>
    <t>2,900,000</t>
  </si>
  <si>
    <t>4,860,000</t>
  </si>
  <si>
    <t>756 م2</t>
  </si>
  <si>
    <t>1,879</t>
  </si>
  <si>
    <t>792 م2</t>
  </si>
  <si>
    <t>1,700,000</t>
  </si>
  <si>
    <t>833</t>
  </si>
  <si>
    <t>189 م2</t>
  </si>
  <si>
    <t>853 م2</t>
  </si>
  <si>
    <t>1,560,000</t>
  </si>
  <si>
    <t>1,530 م2</t>
  </si>
  <si>
    <t>342 م2</t>
  </si>
  <si>
    <t>654,000</t>
  </si>
  <si>
    <t>909 م2</t>
  </si>
  <si>
    <t>6,600,000</t>
  </si>
  <si>
    <t>وليد</t>
  </si>
  <si>
    <t>179 م2</t>
  </si>
  <si>
    <t>1,680 م2</t>
  </si>
  <si>
    <t>27,000,000</t>
  </si>
  <si>
    <t>176 م2</t>
  </si>
  <si>
    <t>127 م2</t>
  </si>
  <si>
    <t>1,149,000</t>
  </si>
  <si>
    <t>490,000</t>
  </si>
  <si>
    <t>201 م2</t>
  </si>
  <si>
    <t>636 م2</t>
  </si>
  <si>
    <t>217 م2</t>
  </si>
  <si>
    <t>🏡✨ دور للبيع في شارع عبدالله بن عتيك    في حي النفل - مفهوم جديد للتملك</t>
  </si>
  <si>
    <t>1</t>
  </si>
  <si>
    <t>420 م2</t>
  </si>
  <si>
    <t>1,009,000</t>
  </si>
  <si>
    <t>455 م2</t>
  </si>
  <si>
    <t>3,001 م2</t>
  </si>
  <si>
    <t>621 م2</t>
  </si>
  <si>
    <t>249 م2</t>
  </si>
  <si>
    <t>1,030,000</t>
  </si>
  <si>
    <t>307 م2</t>
  </si>
  <si>
    <t>695,000</t>
  </si>
  <si>
    <t>640,000</t>
  </si>
  <si>
    <t>920,000</t>
  </si>
  <si>
    <t>260 م2</t>
  </si>
  <si>
    <t>3,464,500</t>
  </si>
  <si>
    <t>351 م2</t>
  </si>
  <si>
    <t>4,600,000</t>
  </si>
  <si>
    <t>241 م2</t>
  </si>
  <si>
    <t>3,600,000</t>
  </si>
  <si>
    <t>925,000</t>
  </si>
  <si>
    <t>274 م2</t>
  </si>
  <si>
    <t>330 م2</t>
  </si>
  <si>
    <t>2,300,000</t>
  </si>
  <si>
    <t>1,280,000</t>
  </si>
  <si>
    <t>139 م2</t>
  </si>
  <si>
    <t>1,109,000</t>
  </si>
  <si>
    <t>236 م2</t>
  </si>
  <si>
    <t>1,066 م2</t>
  </si>
  <si>
    <t>560 م2</t>
  </si>
  <si>
    <t>134 م2</t>
  </si>
  <si>
    <t>270 م2</t>
  </si>
  <si>
    <t>3,350,000</t>
  </si>
  <si>
    <t>3,100,000</t>
  </si>
  <si>
    <t>180 م2</t>
  </si>
  <si>
    <t>720,000</t>
  </si>
  <si>
    <t>164 م2</t>
  </si>
  <si>
    <t>570,000</t>
  </si>
  <si>
    <t>350 م2</t>
  </si>
  <si>
    <t>385 م2</t>
  </si>
  <si>
    <t>930,000</t>
  </si>
  <si>
    <t>371 م2</t>
  </si>
  <si>
    <t>101 م2</t>
  </si>
  <si>
    <t>1,090,000</t>
  </si>
  <si>
    <t>2,550</t>
  </si>
  <si>
    <t>1,295,000</t>
  </si>
  <si>
    <t>224 م2</t>
  </si>
  <si>
    <t>1,225 م2</t>
  </si>
  <si>
    <t>15,500,000</t>
  </si>
  <si>
    <t>1,281 م2</t>
  </si>
  <si>
    <t>325 م2</t>
  </si>
  <si>
    <t>239 م2</t>
  </si>
  <si>
    <t>181 م2</t>
  </si>
  <si>
    <t>1,199,000</t>
  </si>
  <si>
    <t>200,000</t>
  </si>
  <si>
    <t>334 م2</t>
  </si>
  <si>
    <t>543 م2</t>
  </si>
  <si>
    <t>ادوار للبيع</t>
  </si>
  <si>
    <t>367 م2</t>
  </si>
  <si>
    <t>810 م2</t>
  </si>
  <si>
    <t>233 م2</t>
  </si>
  <si>
    <t>670,000</t>
  </si>
  <si>
    <t>615,000</t>
  </si>
  <si>
    <t>203 م2</t>
  </si>
  <si>
    <t>820,000</t>
  </si>
  <si>
    <t>1,239,000</t>
  </si>
  <si>
    <t>🏠 للبيع فيلا درج داخلي وشقتين 🏠</t>
  </si>
  <si>
    <t>350,000</t>
  </si>
  <si>
    <t>650 م2</t>
  </si>
  <si>
    <t>1,800 م2</t>
  </si>
  <si>
    <t>830,000</t>
  </si>
  <si>
    <t>2,875,000</t>
  </si>
  <si>
    <t>188 م2</t>
  </si>
  <si>
    <t>872,485</t>
  </si>
  <si>
    <t>10,000</t>
  </si>
  <si>
    <t>840 م2</t>
  </si>
  <si>
    <t>234 م2</t>
  </si>
  <si>
    <t>237 م2</t>
  </si>
  <si>
    <t>219 م2</t>
  </si>
  <si>
    <t>690,000</t>
  </si>
  <si>
    <t>156 م2</t>
  </si>
  <si>
    <t>169 م2</t>
  </si>
  <si>
    <t>2,187 م2</t>
  </si>
  <si>
    <t>859,000</t>
  </si>
  <si>
    <t>902 م2</t>
  </si>
  <si>
    <t>9,000,000</t>
  </si>
  <si>
    <t>5,408 م2</t>
  </si>
  <si>
    <t>100 م2</t>
  </si>
  <si>
    <t>1,395,000</t>
  </si>
  <si>
    <t>1,008 م2</t>
  </si>
  <si>
    <t>undefined</t>
  </si>
  <si>
    <t>508 م2</t>
  </si>
  <si>
    <t>3,357,000</t>
  </si>
  <si>
    <t>8,500,000</t>
  </si>
  <si>
    <t>4,300,000</t>
  </si>
  <si>
    <t>8,719,000</t>
  </si>
  <si>
    <t>1,119,000</t>
  </si>
  <si>
    <t>273 م2</t>
  </si>
  <si>
    <t>655,159</t>
  </si>
  <si>
    <t>172 م2</t>
  </si>
  <si>
    <t>1,050,000</t>
  </si>
  <si>
    <t>61 م2</t>
  </si>
  <si>
    <t>1,125,000</t>
  </si>
  <si>
    <t>64 م2</t>
  </si>
  <si>
    <t>360,000</t>
  </si>
  <si>
    <t>940,000</t>
  </si>
  <si>
    <t>979</t>
  </si>
  <si>
    <t>شقة فاخرة جديدة بحي الروضة</t>
  </si>
  <si>
    <t>3,250,000</t>
  </si>
  <si>
    <t>79 م2</t>
  </si>
  <si>
    <t>63 م2</t>
  </si>
  <si>
    <t>261 م2</t>
  </si>
  <si>
    <t>710,000</t>
  </si>
  <si>
    <t>288 م2</t>
  </si>
  <si>
    <t>995,000</t>
  </si>
  <si>
    <t>1,000 م2</t>
  </si>
  <si>
    <t>10,000,000</t>
  </si>
  <si>
    <t>122 م2</t>
  </si>
  <si>
    <t>1,049,000</t>
  </si>
  <si>
    <t>204 م2</t>
  </si>
  <si>
    <t>715,000</t>
  </si>
  <si>
    <t>685,000</t>
  </si>
  <si>
    <t>539,000</t>
  </si>
  <si>
    <t>679,997</t>
  </si>
  <si>
    <t>1,123 م2</t>
  </si>
  <si>
    <t>1,459,900</t>
  </si>
  <si>
    <t>Villa for sale in Naseem Al Sharqi, Riyadh</t>
  </si>
  <si>
    <t>285 م2</t>
  </si>
  <si>
    <t>70 م2</t>
  </si>
  <si>
    <t>220 م2</t>
  </si>
  <si>
    <t>89 م2</t>
  </si>
  <si>
    <t>377 م2</t>
  </si>
  <si>
    <t>2,639,000</t>
  </si>
  <si>
    <t>2,912,000</t>
  </si>
  <si>
    <t>639 م2</t>
  </si>
  <si>
    <t>298 م2</t>
  </si>
  <si>
    <t>2,425,150</t>
  </si>
  <si>
    <t>225 م2</t>
  </si>
  <si>
    <t>337 م2</t>
  </si>
  <si>
    <t>442 م2</t>
  </si>
  <si>
    <t>957 م2</t>
  </si>
  <si>
    <t>178 م2</t>
  </si>
  <si>
    <t>969,000</t>
  </si>
  <si>
    <t>الروضه</t>
  </si>
  <si>
    <t>550</t>
  </si>
  <si>
    <t>434 م2</t>
  </si>
  <si>
    <t>68 م2</t>
  </si>
  <si>
    <t>88 م2</t>
  </si>
  <si>
    <t>797,000</t>
  </si>
  <si>
    <t>1,950,000</t>
  </si>
  <si>
    <t>115 م2</t>
  </si>
  <si>
    <t>505,000</t>
  </si>
  <si>
    <t>753,000</t>
  </si>
  <si>
    <t>75 م2</t>
  </si>
  <si>
    <t>349,000</t>
  </si>
  <si>
    <t>520 م2</t>
  </si>
  <si>
    <t>🏢 شقة للبيع - حي النسيم، الصفوة 🏢</t>
  </si>
  <si>
    <t>Apartment for sale in Al Ared district, Riyadh</t>
  </si>
  <si>
    <t>1,017,000</t>
  </si>
  <si>
    <t>133 م2</t>
  </si>
  <si>
    <t>2,850,000</t>
  </si>
  <si>
    <t>1,325,000</t>
  </si>
  <si>
    <t>846 م2</t>
  </si>
  <si>
    <t>86 م2</t>
  </si>
  <si>
    <t>232 م2</t>
  </si>
  <si>
    <t>262 م2</t>
  </si>
  <si>
    <t>599,000</t>
  </si>
  <si>
    <t>96 م2</t>
  </si>
  <si>
    <t>1,399,000</t>
  </si>
  <si>
    <t>1,129,000</t>
  </si>
  <si>
    <t>2,480 م2</t>
  </si>
  <si>
    <t>2,199,000</t>
  </si>
  <si>
    <t>198 م2</t>
  </si>
  <si>
    <t>1,748,875</t>
  </si>
  <si>
    <t>796 م2</t>
  </si>
  <si>
    <t>448 م2</t>
  </si>
  <si>
    <t>1,078,000</t>
  </si>
  <si>
    <t>107 م2</t>
  </si>
  <si>
    <t>2,500,000</t>
  </si>
  <si>
    <t>230 م2</t>
  </si>
  <si>
    <t>1,350</t>
  </si>
  <si>
    <t>780 م2</t>
  </si>
  <si>
    <t>2,964,000</t>
  </si>
  <si>
    <t>405 م2</t>
  </si>
  <si>
    <t>3,240,000</t>
  </si>
  <si>
    <t>### 🏢 Mixed-Use Residential and Commercial Building for Sale in Agadir Street, Sultanah District, Riyadh 🏢</t>
  </si>
  <si>
    <t>316 م2</t>
  </si>
  <si>
    <t>🏢 Residential Building for Sale on Said Bin Amir Street, Manfouha District, Riyadh 🏢</t>
  </si>
  <si>
    <t>302 م2</t>
  </si>
  <si>
    <t>1,389,000</t>
  </si>
  <si>
    <t>1,499,000</t>
  </si>
  <si>
    <t>252 م2</t>
  </si>
  <si>
    <t>12</t>
  </si>
  <si>
    <t>192 م2</t>
  </si>
  <si>
    <t>400</t>
  </si>
  <si>
    <t>13</t>
  </si>
  <si>
    <t>213 م2</t>
  </si>
  <si>
    <t>212 م2</t>
  </si>
  <si>
    <t>1,380,000</t>
  </si>
  <si>
    <t>343 م2</t>
  </si>
  <si>
    <t>5,220,000</t>
  </si>
  <si>
    <t>1,799 م2</t>
  </si>
  <si>
    <t>548 م2</t>
  </si>
  <si>
    <t>2,200</t>
  </si>
  <si>
    <t>928 م2</t>
  </si>
  <si>
    <t>1,205,000</t>
  </si>
  <si>
    <t>816 م2</t>
  </si>
  <si>
    <t>7,344,000</t>
  </si>
  <si>
    <t>1,512,000</t>
  </si>
  <si>
    <t>309 م2</t>
  </si>
  <si>
    <t>1,770,000</t>
  </si>
  <si>
    <t>🏡✨  شقة فاخرة للبيع في حي حطين - شمال الرياض  ✨🏡</t>
  </si>
  <si>
    <t>887 م2</t>
  </si>
  <si>
    <t>8,500</t>
  </si>
  <si>
    <t>403 م2</t>
  </si>
  <si>
    <t>700 م2</t>
  </si>
  <si>
    <t>116 م2</t>
  </si>
  <si>
    <t>🏢✨ مشروع شقق فاخرة في حي الإزدهار - الرياض ✨🏢</t>
  </si>
  <si>
    <t>1,050 م2</t>
  </si>
  <si>
    <t>1,099,000</t>
  </si>
  <si>
    <t>🏢✨ مشروع شقق فاخرة في حي المغرزات - الرياض ✨🏢</t>
  </si>
  <si>
    <t>🏠✨ فرصة لا تُعوض - فيلا دوبلكس مفصولة للبيع في حي عكاظ - مخطط العجلان ✨🏠</t>
  </si>
  <si>
    <t>2,999,986</t>
  </si>
  <si>
    <t>1,332,000</t>
  </si>
  <si>
    <t>186 م2</t>
  </si>
  <si>
    <t>1,060,000</t>
  </si>
  <si>
    <t>2,594 م2</t>
  </si>
  <si>
    <t>167 م2</t>
  </si>
  <si>
    <t>506 م2</t>
  </si>
  <si>
    <t>315 م2</t>
  </si>
  <si>
    <t>3,200,000</t>
  </si>
  <si>
    <t>3,750,000</t>
  </si>
  <si>
    <t>276 م2</t>
  </si>
  <si>
    <t>645,000</t>
  </si>
  <si>
    <t>480,000</t>
  </si>
  <si>
    <t>630 م2</t>
  </si>
  <si>
    <t>84 م2</t>
  </si>
  <si>
    <t>324 م2</t>
  </si>
  <si>
    <t>2,650,000</t>
  </si>
  <si>
    <t>525 م2</t>
  </si>
  <si>
    <t>2,625,000</t>
  </si>
  <si>
    <t>1,404 م2</t>
  </si>
  <si>
    <t>735 م2</t>
  </si>
  <si>
    <t>102 م2</t>
  </si>
  <si>
    <t>1,290,000</t>
  </si>
  <si>
    <t>960 م2</t>
  </si>
  <si>
    <t>7,680,000</t>
  </si>
  <si>
    <t>1,145,000</t>
  </si>
  <si>
    <t>634 م2</t>
  </si>
  <si>
    <t>4,000 م2</t>
  </si>
  <si>
    <t>246 م2</t>
  </si>
  <si>
    <t>2,250,000</t>
  </si>
  <si>
    <t>740,000</t>
  </si>
  <si>
    <t>228 م2</t>
  </si>
  <si>
    <t>368 م2</t>
  </si>
  <si>
    <t>777 م2</t>
  </si>
  <si>
    <t>389 م2</t>
  </si>
  <si>
    <t>840,000</t>
  </si>
  <si>
    <t>503 م2</t>
  </si>
  <si>
    <t>297 م2</t>
  </si>
  <si>
    <t>446 م2</t>
  </si>
  <si>
    <t>352 م2</t>
  </si>
  <si>
    <t>2,400</t>
  </si>
  <si>
    <t>296 م2</t>
  </si>
  <si>
    <t>1,550,000</t>
  </si>
  <si>
    <t>825 م2</t>
  </si>
  <si>
    <t>8,000,000</t>
  </si>
  <si>
    <t>117 م2</t>
  </si>
  <si>
    <t>890,000</t>
  </si>
  <si>
    <t>119 م2</t>
  </si>
  <si>
    <t>1,519,000</t>
  </si>
  <si>
    <t>292 م2</t>
  </si>
  <si>
    <t>دور اول تاون هاوس</t>
  </si>
  <si>
    <t>1,899,000</t>
  </si>
  <si>
    <t>5,200,000</t>
  </si>
  <si>
    <t>510,000</t>
  </si>
  <si>
    <t>16,000,000</t>
  </si>
  <si>
    <t>209 م2</t>
  </si>
  <si>
    <t>505 م2</t>
  </si>
  <si>
    <t>97 م2</t>
  </si>
  <si>
    <t>1,059,000</t>
  </si>
  <si>
    <t>106 م2</t>
  </si>
  <si>
    <t>267 م2</t>
  </si>
  <si>
    <t>413 م2</t>
  </si>
  <si>
    <t>335 م2</t>
  </si>
  <si>
    <t>1,799,999</t>
  </si>
  <si>
    <t>1,140,000</t>
  </si>
  <si>
    <t>475 م2</t>
  </si>
  <si>
    <t>4,700,000</t>
  </si>
  <si>
    <t>242 م2</t>
  </si>
  <si>
    <t>990,000</t>
  </si>
  <si>
    <t>18</t>
  </si>
  <si>
    <t>443 م2</t>
  </si>
  <si>
    <t>2,139,000</t>
  </si>
  <si>
    <t>416 م2</t>
  </si>
  <si>
    <t>5,950,000</t>
  </si>
  <si>
    <t>1,764 م2</t>
  </si>
  <si>
    <t>849,000</t>
  </si>
  <si>
    <t>495,000</t>
  </si>
  <si>
    <t>1,600 م2</t>
  </si>
  <si>
    <t>1,690,000</t>
  </si>
  <si>
    <t>1,460,625</t>
  </si>
  <si>
    <t>306 م2</t>
  </si>
  <si>
    <t>7,850,000</t>
  </si>
  <si>
    <t>358 م2</t>
  </si>
  <si>
    <t>4,750,000</t>
  </si>
  <si>
    <t>3,283 م2</t>
  </si>
  <si>
    <t>1,799,000</t>
  </si>
  <si>
    <t>1,400</t>
  </si>
  <si>
    <t>244 م2</t>
  </si>
  <si>
    <t>355 م2</t>
  </si>
  <si>
    <t>85 م2</t>
  </si>
  <si>
    <t>3,480 م2</t>
  </si>
  <si>
    <t>6,500</t>
  </si>
  <si>
    <t>7,500</t>
  </si>
  <si>
    <t>1,369,000</t>
  </si>
  <si>
    <t>Apartment for sale in King Faisal District, Riyadh</t>
  </si>
  <si>
    <t>256 م2</t>
  </si>
  <si>
    <t>608 م2</t>
  </si>
  <si>
    <t>3,040,000</t>
  </si>
  <si>
    <t>417 م2</t>
  </si>
  <si>
    <t>1,588,000</t>
  </si>
  <si>
    <t>108 م2</t>
  </si>
  <si>
    <t>3,450,000</t>
  </si>
  <si>
    <t>1,370,000</t>
  </si>
  <si>
    <t>1,001 م2</t>
  </si>
  <si>
    <t>166 م2</t>
  </si>
  <si>
    <t>440,000</t>
  </si>
  <si>
    <t>437 م2</t>
  </si>
  <si>
    <t>301 م2</t>
  </si>
  <si>
    <t>496 م2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</si>
</sst>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م2&quot;"/>
    <numFmt numFmtId="165" formatCode="[$⃁-401]\ #,##0"/>
    <numFmt numFmtId="166" formatCode="_ [$⃁-401]\ * #,##0_ ;_ [$⃁-401]\ * \-#,##0_ ;_ [$⃁-401]\ * &quot;-&quot;_ ;_ @_ "/>
  </numFmts>
  <fonts count="5" x14ac:knownFonts="1">
    <font>
      <sz val="11"/>
      <color theme="1"/>
      <name val="Calibri"/>
      <family val="2"/>
      <scheme val="minor"/>
    </font>
    <font>
      <sz val="10"/>
      <color rgb="FF000000"/>
      <name val="Segoe UI"/>
      <family val="2"/>
    </font>
    <font>
      <b/>
      <sz val="36"/>
      <color theme="0"/>
      <name val="Calibri"/>
      <family val="2"/>
      <scheme val="minor"/>
    </font>
    <font>
      <b/>
      <sz val="11"/>
      <color theme="0"/>
      <name val="Calibri"/>
      <family val="2"/>
    </font>
    <font>
      <b/>
      <sz val="11"/>
      <name val="Calibri"/>
      <family val="2"/>
    </font>
  </fonts>
  <fills count="4">
    <fill>
      <patternFill patternType="none"/>
    </fill>
    <fill>
      <patternFill patternType="gray125"/>
    </fill>
    <fill>
      <patternFill patternType="solid">
        <fgColor theme="3"/>
        <bgColor indexed="64"/>
      </patternFill>
    </fill>
    <fill>
      <patternFill patternType="solid">
        <fgColor theme="3" tint="0.39997558519241921"/>
        <bgColor indexed="64"/>
      </patternFill>
    </fill>
  </fills>
  <borders count="4">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166" fontId="0" fillId="0" borderId="0" xfId="0" applyNumberFormat="1"/>
    <xf numFmtId="0" fontId="1" fillId="0" borderId="0" xfId="0" applyFont="1"/>
    <xf numFmtId="0" fontId="3" fillId="3" borderId="2" xfId="0" applyFont="1" applyFill="1" applyBorder="1" applyAlignment="1">
      <alignment horizontal="center" vertical="top"/>
    </xf>
    <xf numFmtId="164" fontId="3" fillId="3" borderId="2"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2" fillId="2" borderId="1" xfId="0" applyFont="1" applyFill="1" applyBorder="1" applyAlignment="1">
      <alignment horizontal="center"/>
    </xf>
    <xf numFmtId="0" fontId="4" fillId="0" borderId="3" xfId="0" applyFont="1" applyBorder="1" applyAlignment="1">
      <alignment horizontal="center" vertical="top"/>
    </xf>
  </cellXfs>
  <cellStyles count="1">
    <cellStyle name="Normal" xfId="0" builtinId="0"/>
  </cellStyles>
  <dxfs count="7">
    <dxf>
      <numFmt numFmtId="165" formatCode="[$⃁-401]\ #,##0"/>
    </dxf>
    <dxf>
      <numFmt numFmtId="165" formatCode="[$⃁-401]\ #,##0"/>
    </dxf>
    <dxf>
      <numFmt numFmtId="166" formatCode="_ [$⃁-401]\ * #,##0_ ;_ [$⃁-401]\ * \-#,##0_ ;_ [$⃁-401]\ * &quot;-&quot;_ ;_ @_ "/>
    </dxf>
    <dxf>
      <numFmt numFmtId="164" formatCode="#,##0&quot; م2&quot;"/>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theme="3"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[Riyadh_RealEstate_Dashboard_Master.xlsx]مرصد_ عقارات_ الرياض!PivotTable1</c:name>
    <c:fmtId val="0"/>
  </c:pivotSource>
  <c:chart>
    <c:title>
      <c:tx>
        <c:rich>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r>
              <a:rPr lang="ar-EG" b="1">
                <a:solidFill>
                  <a:schemeClr val="tx2">
                    <a:lumMod val="60000"/>
                    <a:lumOff val="40000"/>
                  </a:schemeClr>
                </a:solidFill>
              </a:rPr>
              <a:t>متوسط</a:t>
            </a:r>
            <a:r>
              <a:rPr lang="ar-EG" b="1" baseline="0">
                <a:solidFill>
                  <a:schemeClr val="tx2">
                    <a:lumMod val="60000"/>
                    <a:lumOff val="40000"/>
                  </a:schemeClr>
                </a:solidFill>
              </a:rPr>
              <a:t> اجمالي اسعار العقارات</a:t>
            </a:r>
            <a:endParaRPr lang="en-US" b="1">
              <a:solidFill>
                <a:schemeClr val="tx2">
                  <a:lumMod val="60000"/>
                  <a:lumOff val="40000"/>
                </a:schemeClr>
              </a:solidFill>
            </a:endParaRPr>
          </a:p>
        </c:rich>
      </c:tx>
      <c:layout>
        <c:manualLayout>
          <c:xMode val="edge"/>
          <c:yMode val="edge"/>
          <c:x val="0.29892371682027447"/>
          <c:y val="2.1739130434782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'مرصد_ عقارات_ الرياض'!$B$1:$B$2</c:f>
              <c:strCache>
                <c:ptCount val="1"/>
                <c:pt idx="0">
                  <c:v>ارض</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'مرصد_ عقارات_ الرياض'!$A$3:$A$9</c:f>
              <c:strCache>
                <c:ptCount val="6"/>
                <c:pt idx="0">
                  <c:v>جنوب الرياض</c:v>
                </c:pt>
                <c:pt idx="1">
                  <c:v>شرق الرياض</c:v>
                </c:pt>
                <c:pt idx="2">
                  <c:v>شمال الرياض</c:v>
                </c:pt>
                <c:pt idx="3">
                  <c:v>غرب الرياض</c:v>
                </c:pt>
                <c:pt idx="4">
                  <c:v>غير محدد</c:v>
                </c:pt>
                <c:pt idx="5">
                  <c:v>وسط الرياض</c:v>
                </c:pt>
              </c:strCache>
            </c:strRef>
          </c:cat>
          <c:val>
            <c:numRef>
              <c:f>'مرصد_ عقارات_ الرياض'!$B$3:$B$9</c:f>
              <c:numCache>
                <c:formatCode>[$⃁-401]\ #,##0</c:formatCode>
                <c:ptCount val="6"/>
                <c:pt idx="0">
                  <c:v>747896</c:v>
                </c:pt>
                <c:pt idx="1">
                  <c:v>2079364.3333333333</c:v>
                </c:pt>
                <c:pt idx="2">
                  <c:v>4244334.222222222</c:v>
                </c:pt>
                <c:pt idx="3">
                  <c:v>1828162.5</c:v>
                </c:pt>
                <c:pt idx="4">
                  <c:v>820000</c:v>
                </c:pt>
                <c:pt idx="5">
                  <c:v>1400000</c:v>
                </c:pt>
              </c:numCache>
            </c:numRef>
          </c:val>
          <c:extLst>
            <c:ext xmlns:c16="http://schemas.microsoft.com/office/drawing/2014/chart" uri="{C3380CC4-5D6E-409C-BE32-E72D297353CC}">
              <c16:uniqueId val="{00000000-9666-4CAE-9D9F-F182D92DF621}"/>
            </c:ext>
          </c:extLst>
        </c:ser>
        <c:ser>
          <c:idx val="1"/>
          <c:order val="1"/>
          <c:tx>
            <c:strRef>
              <c:f>'مرصد_ عقارات_ الرياض'!$C$1:$C$2</c:f>
              <c:strCache>
                <c:ptCount val="1"/>
                <c:pt idx="0">
                  <c:v>استراحة</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'مرصد_ عقارات_ الرياض'!$A$3:$A$9</c:f>
              <c:strCache>
                <c:ptCount val="6"/>
                <c:pt idx="0">
                  <c:v>جنوب الرياض</c:v>
                </c:pt>
                <c:pt idx="1">
                  <c:v>شرق الرياض</c:v>
                </c:pt>
                <c:pt idx="2">
                  <c:v>شمال الرياض</c:v>
                </c:pt>
                <c:pt idx="3">
                  <c:v>غرب الرياض</c:v>
                </c:pt>
                <c:pt idx="4">
                  <c:v>غير محدد</c:v>
                </c:pt>
                <c:pt idx="5">
                  <c:v>وسط الرياض</c:v>
                </c:pt>
              </c:strCache>
            </c:strRef>
          </c:cat>
          <c:val>
            <c:numRef>
              <c:f>'مرصد_ عقارات_ الرياض'!$C$3:$C$9</c:f>
              <c:numCache>
                <c:formatCode>[$⃁-401]\ #,##0</c:formatCode>
                <c:ptCount val="6"/>
                <c:pt idx="0">
                  <c:v>650000</c:v>
                </c:pt>
                <c:pt idx="1">
                  <c:v>6000000</c:v>
                </c:pt>
                <c:pt idx="2">
                  <c:v>4080000</c:v>
                </c:pt>
                <c:pt idx="3">
                  <c:v>1116666.6666666667</c:v>
                </c:pt>
              </c:numCache>
            </c:numRef>
          </c:val>
          <c:extLst>
            <c:ext xmlns:c16="http://schemas.microsoft.com/office/drawing/2014/chart" uri="{C3380CC4-5D6E-409C-BE32-E72D297353CC}">
              <c16:uniqueId val="{00000006-076E-43DE-A22A-90B3A2EBE953}"/>
            </c:ext>
          </c:extLst>
        </c:ser>
        <c:ser>
          <c:idx val="2"/>
          <c:order val="2"/>
          <c:tx>
            <c:strRef>
              <c:f>'مرصد_ عقارات_ الرياض'!$D$1:$D$2</c:f>
              <c:strCache>
                <c:ptCount val="1"/>
                <c:pt idx="0">
                  <c:v>دور</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'مرصد_ عقارات_ الرياض'!$A$3:$A$9</c:f>
              <c:strCache>
                <c:ptCount val="6"/>
                <c:pt idx="0">
                  <c:v>جنوب الرياض</c:v>
                </c:pt>
                <c:pt idx="1">
                  <c:v>شرق الرياض</c:v>
                </c:pt>
                <c:pt idx="2">
                  <c:v>شمال الرياض</c:v>
                </c:pt>
                <c:pt idx="3">
                  <c:v>غرب الرياض</c:v>
                </c:pt>
                <c:pt idx="4">
                  <c:v>غير محدد</c:v>
                </c:pt>
                <c:pt idx="5">
                  <c:v>وسط الرياض</c:v>
                </c:pt>
              </c:strCache>
            </c:strRef>
          </c:cat>
          <c:val>
            <c:numRef>
              <c:f>'مرصد_ عقارات_ الرياض'!$D$3:$D$9</c:f>
              <c:numCache>
                <c:formatCode>[$⃁-401]\ #,##0</c:formatCode>
                <c:ptCount val="6"/>
                <c:pt idx="0">
                  <c:v>685858.93684210523</c:v>
                </c:pt>
                <c:pt idx="1">
                  <c:v>1196843.9716312056</c:v>
                </c:pt>
                <c:pt idx="2">
                  <c:v>1686720</c:v>
                </c:pt>
                <c:pt idx="3">
                  <c:v>843178.86178861791</c:v>
                </c:pt>
                <c:pt idx="5">
                  <c:v>875800</c:v>
                </c:pt>
              </c:numCache>
            </c:numRef>
          </c:val>
          <c:extLst>
            <c:ext xmlns:c16="http://schemas.microsoft.com/office/drawing/2014/chart" uri="{C3380CC4-5D6E-409C-BE32-E72D297353CC}">
              <c16:uniqueId val="{00000007-076E-43DE-A22A-90B3A2EBE953}"/>
            </c:ext>
          </c:extLst>
        </c:ser>
        <c:ser>
          <c:idx val="3"/>
          <c:order val="3"/>
          <c:tx>
            <c:strRef>
              <c:f>'مرصد_ عقارات_ الرياض'!$E$1:$E$2</c:f>
              <c:strCache>
                <c:ptCount val="1"/>
                <c:pt idx="0">
                  <c:v>شقة</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'مرصد_ عقارات_ الرياض'!$A$3:$A$9</c:f>
              <c:strCache>
                <c:ptCount val="6"/>
                <c:pt idx="0">
                  <c:v>جنوب الرياض</c:v>
                </c:pt>
                <c:pt idx="1">
                  <c:v>شرق الرياض</c:v>
                </c:pt>
                <c:pt idx="2">
                  <c:v>شمال الرياض</c:v>
                </c:pt>
                <c:pt idx="3">
                  <c:v>غرب الرياض</c:v>
                </c:pt>
                <c:pt idx="4">
                  <c:v>غير محدد</c:v>
                </c:pt>
                <c:pt idx="5">
                  <c:v>وسط الرياض</c:v>
                </c:pt>
              </c:strCache>
            </c:strRef>
          </c:cat>
          <c:val>
            <c:numRef>
              <c:f>'مرصد_ عقارات_ الرياض'!$E$3:$E$9</c:f>
              <c:numCache>
                <c:formatCode>[$⃁-401]\ #,##0</c:formatCode>
                <c:ptCount val="6"/>
                <c:pt idx="0">
                  <c:v>475134.02061855671</c:v>
                </c:pt>
                <c:pt idx="1">
                  <c:v>904630.6</c:v>
                </c:pt>
                <c:pt idx="2">
                  <c:v>1368814.375</c:v>
                </c:pt>
                <c:pt idx="3">
                  <c:v>654764.68376068375</c:v>
                </c:pt>
                <c:pt idx="5">
                  <c:v>1100000</c:v>
                </c:pt>
              </c:numCache>
            </c:numRef>
          </c:val>
          <c:extLst>
            <c:ext xmlns:c16="http://schemas.microsoft.com/office/drawing/2014/chart" uri="{C3380CC4-5D6E-409C-BE32-E72D297353CC}">
              <c16:uniqueId val="{00000008-076E-43DE-A22A-90B3A2EBE953}"/>
            </c:ext>
          </c:extLst>
        </c:ser>
        <c:ser>
          <c:idx val="4"/>
          <c:order val="4"/>
          <c:tx>
            <c:strRef>
              <c:f>'مرصد_ عقارات_ الرياض'!$F$1:$F$2</c:f>
              <c:strCache>
                <c:ptCount val="1"/>
                <c:pt idx="0">
                  <c:v>عمارة</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'مرصد_ عقارات_ الرياض'!$A$3:$A$9</c:f>
              <c:strCache>
                <c:ptCount val="6"/>
                <c:pt idx="0">
                  <c:v>جنوب الرياض</c:v>
                </c:pt>
                <c:pt idx="1">
                  <c:v>شرق الرياض</c:v>
                </c:pt>
                <c:pt idx="2">
                  <c:v>شمال الرياض</c:v>
                </c:pt>
                <c:pt idx="3">
                  <c:v>غرب الرياض</c:v>
                </c:pt>
                <c:pt idx="4">
                  <c:v>غير محدد</c:v>
                </c:pt>
                <c:pt idx="5">
                  <c:v>وسط الرياض</c:v>
                </c:pt>
              </c:strCache>
            </c:strRef>
          </c:cat>
          <c:val>
            <c:numRef>
              <c:f>'مرصد_ عقارات_ الرياض'!$F$3:$F$9</c:f>
              <c:numCache>
                <c:formatCode>[$⃁-401]\ #,##0</c:formatCode>
                <c:ptCount val="6"/>
                <c:pt idx="0">
                  <c:v>2346666.6666666665</c:v>
                </c:pt>
                <c:pt idx="1">
                  <c:v>1749666.6666666667</c:v>
                </c:pt>
                <c:pt idx="2">
                  <c:v>8900000</c:v>
                </c:pt>
                <c:pt idx="3">
                  <c:v>1758333.3333333333</c:v>
                </c:pt>
                <c:pt idx="5">
                  <c:v>4438333.333333333</c:v>
                </c:pt>
              </c:numCache>
            </c:numRef>
          </c:val>
          <c:extLst>
            <c:ext xmlns:c16="http://schemas.microsoft.com/office/drawing/2014/chart" uri="{C3380CC4-5D6E-409C-BE32-E72D297353CC}">
              <c16:uniqueId val="{00000009-076E-43DE-A22A-90B3A2EBE953}"/>
            </c:ext>
          </c:extLst>
        </c:ser>
        <c:ser>
          <c:idx val="5"/>
          <c:order val="5"/>
          <c:tx>
            <c:strRef>
              <c:f>'مرصد_ عقارات_ الرياض'!$G$1:$G$2</c:f>
              <c:strCache>
                <c:ptCount val="1"/>
                <c:pt idx="0">
                  <c:v>فیلا</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'مرصد_ عقارات_ الرياض'!$A$3:$A$9</c:f>
              <c:strCache>
                <c:ptCount val="6"/>
                <c:pt idx="0">
                  <c:v>جنوب الرياض</c:v>
                </c:pt>
                <c:pt idx="1">
                  <c:v>شرق الرياض</c:v>
                </c:pt>
                <c:pt idx="2">
                  <c:v>شمال الرياض</c:v>
                </c:pt>
                <c:pt idx="3">
                  <c:v>غرب الرياض</c:v>
                </c:pt>
                <c:pt idx="4">
                  <c:v>غير محدد</c:v>
                </c:pt>
                <c:pt idx="5">
                  <c:v>وسط الرياض</c:v>
                </c:pt>
              </c:strCache>
            </c:strRef>
          </c:cat>
          <c:val>
            <c:numRef>
              <c:f>'مرصد_ عقارات_ الرياض'!$G$3:$G$9</c:f>
              <c:numCache>
                <c:formatCode>[$⃁-401]\ #,##0</c:formatCode>
                <c:ptCount val="6"/>
                <c:pt idx="0">
                  <c:v>1172972.972972973</c:v>
                </c:pt>
                <c:pt idx="1">
                  <c:v>2833719.86</c:v>
                </c:pt>
                <c:pt idx="2">
                  <c:v>5119487.7049180325</c:v>
                </c:pt>
                <c:pt idx="3">
                  <c:v>2471706.8793103448</c:v>
                </c:pt>
                <c:pt idx="5">
                  <c:v>823333.33333333337</c:v>
                </c:pt>
              </c:numCache>
            </c:numRef>
          </c:val>
          <c:extLst>
            <c:ext xmlns:c16="http://schemas.microsoft.com/office/drawing/2014/chart" uri="{C3380CC4-5D6E-409C-BE32-E72D297353CC}">
              <c16:uniqueId val="{0000000A-076E-43DE-A22A-90B3A2EBE953}"/>
            </c:ext>
          </c:extLst>
        </c:ser>
        <c:dLbls>
          <c:showLegendKey val="0"/>
          <c:showVal val="0"/>
          <c:showCatName val="0"/>
          <c:showSerName val="0"/>
          <c:showPercent val="0"/>
          <c:showBubbleSize val="0"/>
        </c:dLbls>
        <c:gapWidth val="100"/>
        <c:overlap val="-24"/>
        <c:axId val="698219199"/>
        <c:axId val="435726095"/>
      </c:barChart>
      <c:catAx>
        <c:axId val="698219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726095"/>
        <c:crosses val="autoZero"/>
        <c:auto val="1"/>
        <c:lblAlgn val="ctr"/>
        <c:lblOffset val="100"/>
        <c:noMultiLvlLbl val="0"/>
      </c:catAx>
      <c:valAx>
        <c:axId val="435726095"/>
        <c:scaling>
          <c:orientation val="minMax"/>
        </c:scaling>
        <c:delete val="0"/>
        <c:axPos val="l"/>
        <c:majorGridlines>
          <c:spPr>
            <a:ln w="9525" cap="flat" cmpd="sng" algn="ctr">
              <a:solidFill>
                <a:schemeClr val="lt1">
                  <a:lumMod val="95000"/>
                  <a:alpha val="10000"/>
                </a:schemeClr>
              </a:solidFill>
              <a:round/>
            </a:ln>
            <a:effectLst/>
          </c:spPr>
        </c:majorGridlines>
        <c:numFmt formatCode="[$⃁-40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21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[Riyadh_RealEstate_Dashboard_Master.xlsx]مرصد_ عقارات_ الرياض!PivotTable5</c:name>
    <c:fmtId val="0"/>
  </c:pivotSource>
  <c:chart>
    <c:title>
      <c:tx>
        <c:rich>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r>
              <a:rPr lang="ar-EG">
                <a:solidFill>
                  <a:schemeClr val="tx2">
                    <a:lumMod val="60000"/>
                    <a:lumOff val="40000"/>
                  </a:schemeClr>
                </a:solidFill>
              </a:rPr>
              <a:t>متوسط</a:t>
            </a:r>
            <a:r>
              <a:rPr lang="ar-EG" baseline="0">
                <a:solidFill>
                  <a:schemeClr val="tx2">
                    <a:lumMod val="60000"/>
                    <a:lumOff val="40000"/>
                  </a:schemeClr>
                </a:solidFill>
              </a:rPr>
              <a:t> سعر المتر المربع (ريال)</a:t>
            </a:r>
            <a:endParaRPr lang="en-US">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'مرصد_ عقارات_ الرياض'!$B$12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'مرصد_ عقارات_ الرياض'!$A$13:$A$19</c:f>
              <c:strCache>
                <c:ptCount val="6"/>
                <c:pt idx="0">
                  <c:v>جنوب الرياض</c:v>
                </c:pt>
                <c:pt idx="1">
                  <c:v>شرق الرياض</c:v>
                </c:pt>
                <c:pt idx="2">
                  <c:v>شمال الرياض</c:v>
                </c:pt>
                <c:pt idx="3">
                  <c:v>غرب الرياض</c:v>
                </c:pt>
                <c:pt idx="4">
                  <c:v>غير محدد</c:v>
                </c:pt>
                <c:pt idx="5">
                  <c:v>وسط الرياض</c:v>
                </c:pt>
              </c:strCache>
            </c:strRef>
          </c:cat>
          <c:val>
            <c:numRef>
              <c:f>'مرصد_ عقارات_ الرياض'!$B$13:$B$19</c:f>
              <c:numCache>
                <c:formatCode>[$⃁-401]\ #,##0</c:formatCode>
                <c:ptCount val="6"/>
                <c:pt idx="0">
                  <c:v>3151.2954398511761</c:v>
                </c:pt>
                <c:pt idx="1">
                  <c:v>6098.4181403151724</c:v>
                </c:pt>
                <c:pt idx="2">
                  <c:v>10219.724097854412</c:v>
                </c:pt>
                <c:pt idx="3">
                  <c:v>3817.1150459628411</c:v>
                </c:pt>
                <c:pt idx="4">
                  <c:v>2329.0190735694823</c:v>
                </c:pt>
                <c:pt idx="5">
                  <c:v>4669.470655350734</c:v>
                </c:pt>
              </c:numCache>
            </c:numRef>
          </c:val>
          <c:extLst>
            <c:ext xmlns:c16="http://schemas.microsoft.com/office/drawing/2014/chart" uri="{C3380CC4-5D6E-409C-BE32-E72D297353CC}">
              <c16:uniqueId val="{00000000-FB8B-40E4-B7AD-1E7D601C0CF6}"/>
            </c:ext>
          </c:extLst>
        </c:ser>
        <c:dLbls>
          <c:dLblPos val="outEnd"/>
          <c:showLegendKey val="0"/>
          <c:showVal val="1"/>
          <c:showCatName val="0"/>
          <c:showSerName val="0"/>
          <c:showPercent val="0"/>
          <c:showBubbleSize val="0"/>
        </c:dLbls>
        <c:gapWidth val="115"/>
        <c:overlap val="-20"/>
        <c:axId val="575848895"/>
        <c:axId val="2013745327"/>
      </c:barChart>
      <c:catAx>
        <c:axId val="5758488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3745327"/>
        <c:crosses val="autoZero"/>
        <c:auto val="1"/>
        <c:lblAlgn val="ctr"/>
        <c:lblOffset val="100"/>
        <c:noMultiLvlLbl val="0"/>
      </c:catAx>
      <c:valAx>
        <c:axId val="2013745327"/>
        <c:scaling>
          <c:orientation val="minMax"/>
        </c:scaling>
        <c:delete val="0"/>
        <c:axPos val="b"/>
        <c:majorGridlines>
          <c:spPr>
            <a:ln w="9525" cap="flat" cmpd="sng" algn="ctr">
              <a:solidFill>
                <a:schemeClr val="lt1">
                  <a:lumMod val="95000"/>
                  <a:alpha val="10000"/>
                </a:schemeClr>
              </a:solidFill>
              <a:round/>
            </a:ln>
            <a:effectLst/>
          </c:spPr>
        </c:majorGridlines>
        <c:numFmt formatCode="[$⃁-40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84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101600</xdr:colOff>
      <xdr:row>1</xdr:row>
      <xdr:rowOff>12701</xdr:rowOff>
    </xdr:from>
    <xdr:to>
      <xdr:col>11</xdr:col>
      <xdr:colOff>101600</xdr:colOff>
      <xdr:row>13</xdr:row>
      <xdr:rowOff>19051</xdr:rowOff>
    </xdr:to>
    <mc:AlternateContent xmlns:mc="http://schemas.openxmlformats.org/markup-compatibility/2006" xmlns:a14="http://schemas.microsoft.com/office/drawing/2010/main">
      <mc:Choice Requires="a14">
        <xdr:graphicFrame macro="">
          <xdr:nvGraphicFramePr>
            <xdr:cNvPr id="5" name="Property Type">
              <a:extLst>
                <a:ext uri="{FF2B5EF4-FFF2-40B4-BE49-F238E27FC236}">
                  <a16:creationId xmlns:a16="http://schemas.microsoft.com/office/drawing/2014/main" id="{CD70F60E-6538-8F20-6629-B28A0438B728}"/>
                </a:ext>
              </a:extLst>
            </xdr:cNvPr>
            <xdr:cNvGraphicFramePr/>
          </xdr:nvGraphicFramePr>
          <xdr:xfrm>
            <a:off x="0" y="0"/>
            <a:ext cx="0" cy="0"/>
          </xdr:xfrm>
          <a:graphic>
            <a:graphicData uri="http://schemas.microsoft.com/office/drawing/2010/slicer">
              <sle:slicer xmlns:sle="http://schemas.microsoft.com/office/drawing/2010/slicer" name="Property Type"/>
            </a:graphicData>
          </a:graphic>
        </xdr:graphicFrame>
      </mc:Choice>
      <mc:Fallback xmlns="">
        <xdr:sp macro="" textlink="">
          <xdr:nvSpPr>
            <xdr:cNvPr id="0" name=""/>
            <xdr:cNvSpPr>
              <a:spLocks noTextEdit="1"/>
            </xdr:cNvSpPr>
          </xdr:nvSpPr>
          <xdr:spPr>
            <a:xfrm>
              <a:off x="6736890" y="196759"/>
              <a:ext cx="1822174" cy="2215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260350</xdr:colOff>
      <xdr:row>1</xdr:row>
      <xdr:rowOff>6351</xdr:rowOff>
    </xdr:from>
    <xdr:to>
      <xdr:col>14</xdr:col>
      <xdr:colOff>260350</xdr:colOff>
      <xdr:row>13</xdr:row>
      <xdr:rowOff>12701</xdr:rowOff>
    </xdr:to>
    <mc:AlternateContent xmlns:mc="http://schemas.openxmlformats.org/markup-compatibility/2006" xmlns:a14="http://schemas.microsoft.com/office/drawing/2010/main">
      <mc:Choice Requires="a14">
        <xdr:graphicFrame macro="">
          <xdr:nvGraphicFramePr>
            <xdr:cNvPr id="6" name="Zone">
              <a:extLst>
                <a:ext uri="{FF2B5EF4-FFF2-40B4-BE49-F238E27FC236}">
                  <a16:creationId xmlns:a16="http://schemas.microsoft.com/office/drawing/2014/main" id="{73D8DEDC-F415-C78A-0D81-5002254A1552}"/>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8717814" y="190409"/>
              <a:ext cx="1822174" cy="2215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574810</xdr:colOff>
      <xdr:row>15</xdr:row>
      <xdr:rowOff>21167</xdr:rowOff>
    </xdr:from>
    <xdr:to>
      <xdr:col>19</xdr:col>
      <xdr:colOff>324553</xdr:colOff>
      <xdr:row>31</xdr:row>
      <xdr:rowOff>7056</xdr:rowOff>
    </xdr:to>
    <xdr:graphicFrame macro="">
      <xdr:nvGraphicFramePr>
        <xdr:cNvPr id="7" name="Chart 6">
          <a:extLst>
            <a:ext uri="{FF2B5EF4-FFF2-40B4-BE49-F238E27FC236}">
              <a16:creationId xmlns:a16="http://schemas.microsoft.com/office/drawing/2014/main" id="{62B1569F-284D-BF19-3E08-6C7052EA9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441818</xdr:colOff>
      <xdr:row>15</xdr:row>
      <xdr:rowOff>1</xdr:rowOff>
    </xdr:from>
    <xdr:to>
      <xdr:col>9</xdr:col>
      <xdr:colOff>416278</xdr:colOff>
      <xdr:row>31</xdr:row>
      <xdr:rowOff>49390</xdr:rowOff>
    </xdr:to>
    <xdr:graphicFrame macro="">
      <xdr:nvGraphicFramePr>
        <xdr:cNvPr id="8" name="Chart 7">
          <a:extLst>
            <a:ext uri="{FF2B5EF4-FFF2-40B4-BE49-F238E27FC236}">
              <a16:creationId xmlns:a16="http://schemas.microsoft.com/office/drawing/2014/main" id="{5213AAB5-EAC7-0603-2414-FCE228D19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11.93227662037" missingItemsLimit="0" createdVersion="8" refreshedVersion="8" minRefreshableVersion="3" recordCount="1200" xr:uid="{F9F2966B-F201-4EF7-B6AD-C7D50CE40393}">
  <cacheSource type="worksheet">
    <worksheetSource name="Table3"/>
  </cacheSource>
  <cacheFields count="14">
    <cacheField name="Property_ID" numFmtId="0">
      <sharedItems/>
    </cacheField>
    <cacheField name="Property Type" numFmtId="0">
      <sharedItems count="6">
        <s v="شقة"/>
        <s v="ارض"/>
        <s v="فیلا"/>
        <s v="دور"/>
        <s v="عمارة"/>
        <s v="استراحة"/>
      </sharedItems>
    </cacheField>
    <cacheField name="Bedrooms" numFmtId="0">
      <sharedItems containsSemiMixedTypes="0" containsString="0" containsNumber="1" containsInteger="1" minValue="0" maxValue="18"/>
    </cacheField>
    <cacheField name="Bathrooms" numFmtId="0">
      <sharedItems containsSemiMixedTypes="0" containsString="0" containsNumber="1" containsInteger="1" minValue="0" maxValue="14"/>
    </cacheField>
    <cacheField name="Area" numFmtId="164">
      <sharedItems containsSemiMixedTypes="0" containsString="0" containsNumber="1" containsInteger="1" minValue="61" maxValue="9100"/>
    </cacheField>
    <cacheField name="Price" numFmtId="166">
      <sharedItems containsSemiMixedTypes="0" containsString="0" containsNumber="1" containsInteger="1" minValue="400" maxValue="27000000"/>
    </cacheField>
    <cacheField name="Price_Per_M2" numFmtId="165">
      <sharedItems containsSemiMixedTypes="0" containsString="0" containsNumber="1" minValue="77.531428571428577" maxValue="95000"/>
    </cacheField>
    <cacheField name="Total Price" numFmtId="165">
      <sharedItems containsSemiMixedTypes="0" containsString="0" containsNumber="1" containsInteger="1" minValue="65000" maxValue="27000000"/>
    </cacheField>
    <cacheField name="Description" numFmtId="0">
      <sharedItems/>
    </cacheField>
    <cacheField name="Location" numFmtId="0">
      <sharedItems/>
    </cacheField>
    <cacheField name="Zone" numFmtId="0">
      <sharedItems count="6">
        <s v="شرق الرياض"/>
        <s v="جنوب الرياض"/>
        <s v="وسط الرياض"/>
        <s v="غرب الرياض"/>
        <s v="شمال الرياض"/>
        <s v="غير محدد"/>
      </sharedItems>
    </cacheField>
    <cacheField name="District" numFmtId="0">
      <sharedItems/>
    </cacheField>
    <cacheField name="City" numFmtId="0">
      <sharedItems/>
    </cacheField>
    <cacheField name="Agency_Name" numFmtId="0">
      <sharedItems/>
    </cacheField>
  </cacheFields>
  <extLst>
    <ext xmlns:x14="http://schemas.microsoft.com/office/spreadsheetml/2009/9/main" uri="{725AE2AE-9491-48be-B2B4-4EB974FC3084}">
      <x14:pivotCacheDefinition pivotCacheId="1277568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N870116651"/>
    <x v="0"/>
    <n v="3"/>
    <n v="3"/>
    <n v="360"/>
    <n v="65000"/>
    <n v="180.55555555555554"/>
    <n v="65000"/>
    <s v="شفة للإيجار في قرطبة، شرق الرياض"/>
    <s v="قرطبة، شرق الرياض، الرياض"/>
    <x v="0"/>
    <s v="حي قرطبة"/>
    <s v="الرياض"/>
    <s v="مكتب عبدالله بن فيحان بن محمد العتيبي للعقارات"/>
  </r>
  <r>
    <s v="E623828377"/>
    <x v="0"/>
    <n v="2"/>
    <n v="2"/>
    <n v="170"/>
    <n v="400"/>
    <n v="400"/>
    <n v="68000"/>
    <s v="شقة للبيع في بدر، جنوب الرياض"/>
    <s v="بدر، جنوب الرياض، الرياض"/>
    <x v="1"/>
    <s v="حي بدر"/>
    <s v="الرياض"/>
    <s v="​فردي / مالك"/>
  </r>
  <r>
    <s v="D824367615"/>
    <x v="0"/>
    <n v="4"/>
    <n v="3"/>
    <n v="141"/>
    <n v="979"/>
    <n v="979"/>
    <n v="138039"/>
    <s v="شقة للبيع في الروضة، شرق الرياض"/>
    <s v="الروضة، شرق الرياض، الرياض"/>
    <x v="0"/>
    <s v="حي الروضة"/>
    <s v="الرياض"/>
    <s v="​فردي / مالك"/>
  </r>
  <r>
    <s v="F740062252"/>
    <x v="1"/>
    <n v="0"/>
    <n v="0"/>
    <n v="160"/>
    <n v="900"/>
    <n v="900"/>
    <n v="144000"/>
    <s v="أرض سكنية للبيع في  الغنامية، جنوب الرياض"/>
    <s v="الغنامية، جنوب الرياض، الرياض"/>
    <x v="1"/>
    <s v="حي الغنامية"/>
    <s v="الرياض"/>
    <s v="​فردي / مالك"/>
  </r>
  <r>
    <s v="J182745789"/>
    <x v="1"/>
    <n v="0"/>
    <n v="0"/>
    <n v="216"/>
    <n v="200000"/>
    <n v="925.92592592592598"/>
    <n v="200000"/>
    <s v="أرض سكنية للبيع في عريض، الرياض"/>
    <s v="عريض، جنوب الرياض، الرياض"/>
    <x v="1"/>
    <s v="حي عريض"/>
    <s v="الرياض"/>
    <s v="​فردي / مالك"/>
  </r>
  <r>
    <s v="T640666456"/>
    <x v="2"/>
    <n v="5"/>
    <n v="3"/>
    <n v="91"/>
    <n v="230000"/>
    <n v="2527.4725274725274"/>
    <n v="230000"/>
    <s v="​بيت شعبي للبيع في حي منفوحة، وسط الرياض"/>
    <s v="منفوحة، وسط الرياض، الرياض"/>
    <x v="2"/>
    <s v="حي منفوحة"/>
    <s v="الرياض"/>
    <s v="​فردي / مالك"/>
  </r>
  <r>
    <s v="S168335658"/>
    <x v="3"/>
    <n v="4"/>
    <n v="3"/>
    <n v="184"/>
    <n v="1400"/>
    <n v="1400"/>
    <n v="257600"/>
    <s v="دور للبيع في الدار البيضاء, جنوب الرياض"/>
    <s v="الدار البيضاء، جنوب الرياض، الرياض"/>
    <x v="1"/>
    <s v="حي الدار البيضاء"/>
    <s v="الرياض"/>
    <s v="شركة حلول دارك العقارية"/>
  </r>
  <r>
    <s v="W237753130"/>
    <x v="3"/>
    <n v="8"/>
    <n v="2"/>
    <n v="103"/>
    <n v="280000"/>
    <n v="2718.4466019417478"/>
    <n v="280000"/>
    <s v="بيت شعبي مكون من  8 غرف نوم للبيع في المرقب، الرياض"/>
    <s v="المرقب، وسط الرياض، الرياض"/>
    <x v="2"/>
    <s v="حي المرقب"/>
    <s v="الرياض"/>
    <s v="مكتب خالد تركي العصيمي للعقارات"/>
  </r>
  <r>
    <s v="E816549044"/>
    <x v="0"/>
    <n v="2"/>
    <n v="2"/>
    <n v="75"/>
    <n v="349000"/>
    <n v="4653.333333333333"/>
    <n v="349000"/>
    <s v="شقة للبيع في ظهرة لبن، غرب الرياض"/>
    <s v="ظهرة لبن، غرب الرياض، الرياض"/>
    <x v="3"/>
    <s v="حي ظهرة لبن"/>
    <s v="الرياض"/>
    <s v="شركة راكز العقارية"/>
  </r>
  <r>
    <s v="Q126847710"/>
    <x v="0"/>
    <n v="2"/>
    <n v="2"/>
    <n v="75"/>
    <n v="349000"/>
    <n v="4653.333333333333"/>
    <n v="349000"/>
    <s v="شقة للبيع في ظهرة لبن، غرب الرياض"/>
    <s v="ظهرة لبن، غرب الرياض، الرياض"/>
    <x v="3"/>
    <s v="حي ظهرة لبن"/>
    <s v="الرياض"/>
    <s v="​فردي / مالك"/>
  </r>
  <r>
    <s v="Q462262513"/>
    <x v="0"/>
    <n v="5"/>
    <n v="3"/>
    <n v="175"/>
    <n v="350000"/>
    <n v="2000"/>
    <n v="350000"/>
    <s v="شقة 5 غرف نوم للبيع في بدر، الرياض"/>
    <s v="بدر، جنوب الرياض، الرياض"/>
    <x v="1"/>
    <s v="حي بدر"/>
    <s v="الرياض"/>
    <s v="مكتب الاحمدي للعقارات"/>
  </r>
  <r>
    <s v="Z967533302"/>
    <x v="0"/>
    <n v="3"/>
    <n v="2"/>
    <n v="219"/>
    <n v="350000"/>
    <n v="1598.1735159817351"/>
    <n v="350000"/>
    <s v="شقة للبيع في الدار البيضاء، جنوب الرياض"/>
    <s v="الدار البيضاء، جنوب الرياض، الرياض"/>
    <x v="1"/>
    <s v="حي الدار البيضاء"/>
    <s v="الرياض"/>
    <s v="مكتب الاحمدي للعقارات"/>
  </r>
  <r>
    <s v="K743964979"/>
    <x v="0"/>
    <n v="3"/>
    <n v="5"/>
    <n v="219"/>
    <n v="350000"/>
    <n v="1598.1735159817351"/>
    <n v="350000"/>
    <s v="شقة للبيع في الدار البيضاء، الرياض"/>
    <s v="الدار البيضاء، جنوب الرياض، الرياض"/>
    <x v="1"/>
    <s v="حي الدار البيضاء"/>
    <s v="الرياض"/>
    <s v="​فردي / مالك"/>
  </r>
  <r>
    <s v="I643888923"/>
    <x v="0"/>
    <n v="1"/>
    <n v="1"/>
    <n v="64"/>
    <n v="360000"/>
    <n v="5625"/>
    <n v="360000"/>
    <s v="شقة للبيع في المروة، جنوب الرياض"/>
    <s v="المروة، جنوب الرياض، الرياض"/>
    <x v="1"/>
    <s v="حي المروة"/>
    <s v="الرياض"/>
    <s v="شركة نجمة التميز للعقارات"/>
  </r>
  <r>
    <s v="M623648247"/>
    <x v="0"/>
    <n v="2"/>
    <n v="2"/>
    <n v="64"/>
    <n v="360000"/>
    <n v="5625"/>
    <n v="360000"/>
    <s v="شقة للبيع في المروة, جنوب الرياض"/>
    <s v="المروة، جنوب الرياض، الرياض"/>
    <x v="1"/>
    <s v="حي المروة"/>
    <s v="الرياض"/>
    <s v="شركة نجمة التميز للعقارات"/>
  </r>
  <r>
    <s v="W156497679"/>
    <x v="0"/>
    <n v="3"/>
    <n v="3"/>
    <n v="131"/>
    <n v="400000"/>
    <n v="3053.4351145038167"/>
    <n v="400000"/>
    <s v="شقة للبيع في الدار البيضاء، جنوب الرياض"/>
    <s v="الدار البيضاء، جنوب الرياض، الرياض"/>
    <x v="1"/>
    <s v="حي الدار البيضاء"/>
    <s v="الرياض"/>
    <s v="شركة نجمة التميز للعقارات"/>
  </r>
  <r>
    <s v="V473176340"/>
    <x v="0"/>
    <n v="3"/>
    <n v="3"/>
    <n v="131"/>
    <n v="400000"/>
    <n v="3053.4351145038167"/>
    <n v="400000"/>
    <s v="شقة للبيع في الدار البيضاء، جنوب الرياض"/>
    <s v="الدار البيضاء، جنوب الرياض، الرياض"/>
    <x v="1"/>
    <s v="حي الدار البيضاء"/>
    <s v="الرياض"/>
    <s v="​فردي / مالك"/>
  </r>
  <r>
    <s v="Z473176340"/>
    <x v="0"/>
    <n v="3"/>
    <n v="3"/>
    <n v="131"/>
    <n v="400000"/>
    <n v="3053.4351145038167"/>
    <n v="400000"/>
    <s v="شقة للبيع في الدار البيضاء، جنوب الرياض"/>
    <s v="الدار البيضاء، جنوب الرياض، الرياض"/>
    <x v="1"/>
    <s v="حي الدار البيضاء"/>
    <s v="الرياض"/>
    <s v="​فردي / مالك"/>
  </r>
  <r>
    <s v="G473176340"/>
    <x v="0"/>
    <n v="3"/>
    <n v="3"/>
    <n v="131"/>
    <n v="400000"/>
    <n v="3053.4351145038167"/>
    <n v="400000"/>
    <s v="شقة للبيع في الدار البيضاء، جنوب الرياض"/>
    <s v="الدار البيضاء، جنوب الرياض، الرياض"/>
    <x v="1"/>
    <s v="حي الدار البيضاء"/>
    <s v="الرياض"/>
    <s v="​فردي / مالك"/>
  </r>
  <r>
    <s v="B495774549"/>
    <x v="0"/>
    <n v="2"/>
    <n v="3"/>
    <n v="203"/>
    <n v="400000"/>
    <n v="1970.4433497536945"/>
    <n v="400000"/>
    <s v="شقة للبيع في الدار البيضاء، جنوب الرياض"/>
    <s v="الدار البيضاء، جنوب الرياض، الرياض"/>
    <x v="1"/>
    <s v="حي الدار البيضاء"/>
    <s v="الرياض"/>
    <s v="مكتب الاحمدي للعقارات"/>
  </r>
  <r>
    <s v="N645598847"/>
    <x v="0"/>
    <n v="2"/>
    <n v="2"/>
    <n v="106"/>
    <n v="400000"/>
    <n v="3773.5849056603774"/>
    <n v="400000"/>
    <s v="شقة للبيع في العزيزية، جنوب الرياض"/>
    <s v="العزيزية، جنوب الرياض، الرياض"/>
    <x v="1"/>
    <s v="حي العزيزية"/>
    <s v="الرياض"/>
    <s v="مكتب الاحمدي للعقارات"/>
  </r>
  <r>
    <s v="D621869354"/>
    <x v="1"/>
    <n v="1"/>
    <n v="0"/>
    <n v="750"/>
    <n v="550"/>
    <n v="550"/>
    <n v="412500"/>
    <s v="أرض سكنية للبيع في الشعلة، الرياض"/>
    <s v="الشعلة، الرياض"/>
    <x v="1"/>
    <s v="حي الشعلة"/>
    <s v="الرياض"/>
    <s v="​فردي / مالك"/>
  </r>
  <r>
    <s v="L866650018"/>
    <x v="0"/>
    <n v="3"/>
    <n v="3"/>
    <n v="131"/>
    <n v="420000"/>
    <n v="3206.1068702290077"/>
    <n v="420000"/>
    <s v="شقة للبيع في  الدار البيضاء، جنوب الرياض"/>
    <s v="الدار البيضاء، جنوب الرياض، الرياض"/>
    <x v="1"/>
    <s v="حي الدار البيضاء"/>
    <s v="الرياض"/>
    <s v="شركة نجمة التميز للعقارات"/>
  </r>
  <r>
    <s v="C744104276"/>
    <x v="0"/>
    <n v="3"/>
    <n v="3"/>
    <n v="131"/>
    <n v="420000"/>
    <n v="3206.1068702290077"/>
    <n v="420000"/>
    <s v="شقة للبيع في الدار البيضاء، جنوب الرياض"/>
    <s v="الدار البيضاء، جنوب الرياض، الرياض"/>
    <x v="1"/>
    <s v="حي الدار البيضاء"/>
    <s v="الرياض"/>
    <s v="شركة نجمة التميز للعقارات"/>
  </r>
  <r>
    <s v="G744104276"/>
    <x v="0"/>
    <n v="3"/>
    <n v="3"/>
    <n v="131"/>
    <n v="420000"/>
    <n v="3206.1068702290077"/>
    <n v="420000"/>
    <s v="شقة للبيع في الدار البيضاء، جنوب الرياض"/>
    <s v="الدار البيضاء، جنوب الرياض، الرياض"/>
    <x v="1"/>
    <s v="حي الدار البيضاء"/>
    <s v="الرياض"/>
    <s v="شركة نجمة التميز للعقارات"/>
  </r>
  <r>
    <s v="F339327109"/>
    <x v="0"/>
    <n v="3"/>
    <n v="3"/>
    <n v="131"/>
    <n v="420000"/>
    <n v="3206.1068702290077"/>
    <n v="420000"/>
    <s v="شقة للبيع في الدار البيضاء، جنوب الرياض"/>
    <s v="الدار البيضاء، جنوب الرياض، الرياض"/>
    <x v="1"/>
    <s v="حي الدار البيضاء"/>
    <s v="الرياض"/>
    <s v="​فردي / مالك"/>
  </r>
  <r>
    <s v="R690169535"/>
    <x v="0"/>
    <n v="3"/>
    <n v="3"/>
    <n v="131"/>
    <n v="420000"/>
    <n v="3206.1068702290077"/>
    <n v="420000"/>
    <s v="شقة مستخدمة للبيع في الدار البيضاء، جنوب الرياض"/>
    <s v="الدار البيضاء، جنوب الرياض، الرياض"/>
    <x v="1"/>
    <s v="حي الدار البيضاء"/>
    <s v="الرياض"/>
    <s v="شركة نجمة التميز للعقارات"/>
  </r>
  <r>
    <s v="S642738876"/>
    <x v="0"/>
    <n v="3"/>
    <n v="3"/>
    <n v="131"/>
    <n v="420000"/>
    <n v="3206.1068702290077"/>
    <n v="420000"/>
    <s v="شقة للبيع في الدار البيضاء، جنوب بالرياض"/>
    <s v="الدار البيضاء، جنوب الرياض، الرياض"/>
    <x v="1"/>
    <s v="حي الدار البيضاء"/>
    <s v="الرياض"/>
    <s v="شركة نجمة التميز للعقارات"/>
  </r>
  <r>
    <s v="L634863692"/>
    <x v="0"/>
    <n v="3"/>
    <n v="3"/>
    <n v="132"/>
    <n v="420000"/>
    <n v="3181.818181818182"/>
    <n v="420000"/>
    <s v="شقة للبيع في  الدار البيضاء، جنوب الرياض"/>
    <s v="الدار البيضاء، جنوب الرياض، الرياض"/>
    <x v="1"/>
    <s v="حي الدار البيضاء"/>
    <s v="الرياض"/>
    <s v="​فردي / مالك"/>
  </r>
  <r>
    <s v="L793508401"/>
    <x v="0"/>
    <n v="3"/>
    <n v="3"/>
    <n v="170"/>
    <n v="420000"/>
    <n v="2470.5882352941176"/>
    <n v="420000"/>
    <s v="شقة للبيع في بدر، جنوب الرياض"/>
    <s v="بدر، جنوب الرياض، الرياض"/>
    <x v="1"/>
    <s v="حي بدر"/>
    <s v="الرياض"/>
    <s v="شركة نجمة التميز للعقارات"/>
  </r>
  <r>
    <s v="O376944726"/>
    <x v="0"/>
    <n v="3"/>
    <n v="3"/>
    <n v="132"/>
    <n v="420000"/>
    <n v="3181.818181818182"/>
    <n v="420000"/>
    <s v="شقة للبيع في  الدار البيضاء، جنوب الرياض"/>
    <s v="الدار البيضاء، جنوب الرياض، الرياض"/>
    <x v="1"/>
    <s v="حي الدار البيضاء"/>
    <s v="الرياض"/>
    <s v="شركة نجمة التميز للعقارات"/>
  </r>
  <r>
    <s v="L965653550"/>
    <x v="0"/>
    <n v="3"/>
    <n v="3"/>
    <n v="131"/>
    <n v="420000"/>
    <n v="3206.1068702290077"/>
    <n v="420000"/>
    <s v="شقق للبيع في الدار البيضاء، جنوب الرياض"/>
    <s v="الدار البيضاء، جنوب الرياض، الرياض"/>
    <x v="1"/>
    <s v="حي الدار البيضاء"/>
    <s v="الرياض"/>
    <s v="شركة نجمة التميز للعقارات"/>
  </r>
  <r>
    <s v="T744104276"/>
    <x v="0"/>
    <n v="3"/>
    <n v="3"/>
    <n v="131"/>
    <n v="420000"/>
    <n v="3206.1068702290077"/>
    <n v="420000"/>
    <s v="شقة للبيع في الدار البيضاء، جنوب الرياض"/>
    <s v="الدار البيضاء، جنوب الرياض، الرياض"/>
    <x v="1"/>
    <s v="حي الدار البيضاء"/>
    <s v="الرياض"/>
    <s v="شركة نجمة التميز للعقارات"/>
  </r>
  <r>
    <s v="U744104276"/>
    <x v="0"/>
    <n v="3"/>
    <n v="3"/>
    <n v="131"/>
    <n v="420000"/>
    <n v="3206.1068702290077"/>
    <n v="420000"/>
    <s v="شقة للبيع في الدار البيضاء، جنوب الرياض"/>
    <s v="الدار البيضاء، جنوب الرياض، الرياض"/>
    <x v="1"/>
    <s v="حي الدار البيضاء"/>
    <s v="الرياض"/>
    <s v="شركة نجمة التميز للعقارات"/>
  </r>
  <r>
    <s v="Y339327109"/>
    <x v="0"/>
    <n v="3"/>
    <n v="3"/>
    <n v="131"/>
    <n v="420000"/>
    <n v="3206.1068702290077"/>
    <n v="420000"/>
    <s v="شقة للبيع في الدار البيضاء، جنوب الرياض"/>
    <s v="الدار البيضاء، جنوب الرياض، الرياض"/>
    <x v="1"/>
    <s v="حي الدار البيضاء"/>
    <s v="الرياض"/>
    <s v="​فردي / مالك"/>
  </r>
  <r>
    <s v="L893657956"/>
    <x v="0"/>
    <n v="4"/>
    <n v="4"/>
    <n v="131"/>
    <n v="420000"/>
    <n v="3206.1068702290077"/>
    <n v="420000"/>
    <s v="شقة للبيع في الدار البيضاء, جنوب الرياض"/>
    <s v="الدار البيضاء، جنوب الرياض، الرياض"/>
    <x v="1"/>
    <s v="حي الدار البيضاء"/>
    <s v="الرياض"/>
    <s v="​فردي / مالك"/>
  </r>
  <r>
    <s v="U744104276"/>
    <x v="0"/>
    <n v="3"/>
    <n v="3"/>
    <n v="131"/>
    <n v="420000"/>
    <n v="3206.1068702290077"/>
    <n v="420000"/>
    <s v="شقة للبيع في الدار البيضاء، جنوب الرياض"/>
    <s v="الدار البيضاء، جنوب الرياض، الرياض"/>
    <x v="1"/>
    <s v="حي الدار البيضاء"/>
    <s v="الرياض"/>
    <s v="شركة نجمة التميز للعقارات"/>
  </r>
  <r>
    <s v="E744104276"/>
    <x v="0"/>
    <n v="3"/>
    <n v="3"/>
    <n v="131"/>
    <n v="420000"/>
    <n v="3206.1068702290077"/>
    <n v="420000"/>
    <s v="شقة للبيع في الدار البيضاء، جنوب الرياض"/>
    <s v="الدار البيضاء، جنوب الرياض، الرياض"/>
    <x v="1"/>
    <s v="حي الدار البيضاء"/>
    <s v="الرياض"/>
    <s v="شركة نجمة التميز للعقارات"/>
  </r>
  <r>
    <s v="E261615836"/>
    <x v="0"/>
    <n v="3"/>
    <n v="3"/>
    <n v="131"/>
    <n v="420000"/>
    <n v="3206.1068702290077"/>
    <n v="420000"/>
    <s v="شقة للبيع في الدار البيضاء, جنوب الرياض"/>
    <s v="الدار البيضاء، جنوب الرياض، الرياض"/>
    <x v="1"/>
    <s v="حي الدار البيضاء"/>
    <s v="الرياض"/>
    <s v="​فردي / مالك"/>
  </r>
  <r>
    <s v="P339327109"/>
    <x v="0"/>
    <n v="3"/>
    <n v="3"/>
    <n v="131"/>
    <n v="420000"/>
    <n v="3206.1068702290077"/>
    <n v="420000"/>
    <s v="شقة للبيع في الدار البيضاء، جنوب الرياض"/>
    <s v="الدار البيضاء، جنوب الرياض، الرياض"/>
    <x v="1"/>
    <s v="حي الدار البيضاء"/>
    <s v="الرياض"/>
    <s v="​فردي / مالك"/>
  </r>
  <r>
    <s v="T339327109"/>
    <x v="0"/>
    <n v="3"/>
    <n v="3"/>
    <n v="131"/>
    <n v="420000"/>
    <n v="3206.1068702290077"/>
    <n v="420000"/>
    <s v="شقة للبيع في الدار البيضاء، جنوب الرياض"/>
    <s v="الدار البيضاء، جنوب الرياض، الرياض"/>
    <x v="1"/>
    <s v="حي الدار البيضاء"/>
    <s v="الرياض"/>
    <s v="​فردي / مالك"/>
  </r>
  <r>
    <s v="K983098313"/>
    <x v="1"/>
    <n v="0"/>
    <n v="0"/>
    <n v="312"/>
    <n v="1350"/>
    <n v="1350"/>
    <n v="421200"/>
    <s v="أرض سكنية للبيع في عريض، جنوب الرياض"/>
    <s v="عريض، جنوب الرياض، الرياض"/>
    <x v="1"/>
    <s v="حي عريض"/>
    <s v="الرياض"/>
    <s v="​فردي / مالك"/>
  </r>
  <r>
    <s v="A689471085"/>
    <x v="0"/>
    <n v="3"/>
    <n v="3"/>
    <n v="131"/>
    <n v="430000"/>
    <n v="3282.4427480916029"/>
    <n v="430000"/>
    <s v="شقة للبيع في بدر، جنوب الرياض"/>
    <s v="بدر، جنوب الرياض، الرياض"/>
    <x v="1"/>
    <s v="حي بدر"/>
    <s v="الرياض"/>
    <s v="شركة نجمة التميز للعقارات"/>
  </r>
  <r>
    <s v="S270709243"/>
    <x v="0"/>
    <n v="3"/>
    <n v="3"/>
    <n v="149"/>
    <n v="430000"/>
    <n v="2885.9060402684563"/>
    <n v="430000"/>
    <s v="شقق للبيع في بدر، جنوب الرياض"/>
    <s v="بدر، جنوب الرياض، الرياض"/>
    <x v="1"/>
    <s v="حي بدر"/>
    <s v="الرياض"/>
    <s v="​فردي / مالك"/>
  </r>
  <r>
    <s v="H689471085"/>
    <x v="0"/>
    <n v="3"/>
    <n v="3"/>
    <n v="131"/>
    <n v="430000"/>
    <n v="3282.4427480916029"/>
    <n v="430000"/>
    <s v="شقة للبيع في بدر، جنوب الرياض"/>
    <s v="بدر، جنوب الرياض، الرياض"/>
    <x v="1"/>
    <s v="حي بدر"/>
    <s v="الرياض"/>
    <s v="شركة نجمة التميز للعقارات"/>
  </r>
  <r>
    <s v="W291282205"/>
    <x v="0"/>
    <n v="3"/>
    <n v="3"/>
    <n v="132"/>
    <n v="430000"/>
    <n v="3257.5757575757575"/>
    <n v="430000"/>
    <s v="شقة للبيع في بدر، جنوب الرياض"/>
    <s v="بدر، جنوب الرياض، الرياض"/>
    <x v="1"/>
    <s v="حي بدر"/>
    <s v="الرياض"/>
    <s v="شركة نجمة التميز للعقارات"/>
  </r>
  <r>
    <s v="C895960467"/>
    <x v="0"/>
    <n v="4"/>
    <n v="3"/>
    <n v="149"/>
    <n v="430000"/>
    <n v="2885.9060402684563"/>
    <n v="430000"/>
    <s v="شقة للبيع في بدر، جنوب الرياض"/>
    <s v="بدر، جنوب الرياض، الرياض"/>
    <x v="1"/>
    <s v="حي بدر"/>
    <s v="الرياض"/>
    <s v="شركة نجمة التميز للعقارات"/>
  </r>
  <r>
    <s v="T689471085"/>
    <x v="0"/>
    <n v="3"/>
    <n v="3"/>
    <n v="131"/>
    <n v="430000"/>
    <n v="3282.4427480916029"/>
    <n v="430000"/>
    <s v="شقة للبيع في بدر، جنوب الرياض"/>
    <s v="بدر، جنوب الرياض، الرياض"/>
    <x v="1"/>
    <s v="حي بدر"/>
    <s v="الرياض"/>
    <s v="شركة نجمة التميز للعقارات"/>
  </r>
  <r>
    <s v="D028668320"/>
    <x v="0"/>
    <n v="3"/>
    <n v="3"/>
    <n v="132"/>
    <n v="430000"/>
    <n v="3257.5757575757575"/>
    <n v="430000"/>
    <s v="شقة للبيع في  بدر، جنوب الرياض"/>
    <s v="بدر، جنوب الرياض، الرياض"/>
    <x v="1"/>
    <s v="حي بدر"/>
    <s v="الرياض"/>
    <s v="شركة نجمة التميز للعقارات"/>
  </r>
  <r>
    <s v="R458966720"/>
    <x v="0"/>
    <n v="3"/>
    <n v="3"/>
    <n v="149"/>
    <n v="430000"/>
    <n v="2885.9060402684563"/>
    <n v="430000"/>
    <s v="شقق للبيع في بدر، جنوب الرياض"/>
    <s v="بدر، جنوب الرياض، الرياض"/>
    <x v="1"/>
    <s v="حي بدر"/>
    <s v="الرياض"/>
    <s v="شركة نجمة التميز للعقارات"/>
  </r>
  <r>
    <s v="K157474199"/>
    <x v="0"/>
    <n v="3"/>
    <n v="3"/>
    <n v="131"/>
    <n v="430000"/>
    <n v="3282.4427480916029"/>
    <n v="430000"/>
    <s v="شقق للبيع في بدر، جنوب الرياض"/>
    <s v="بدر، جنوب الرياض، الرياض"/>
    <x v="1"/>
    <s v="حي بدر"/>
    <s v="الرياض"/>
    <s v="شركة نجمة التميز للعقارات"/>
  </r>
  <r>
    <s v="F689471085"/>
    <x v="0"/>
    <n v="3"/>
    <n v="3"/>
    <n v="131"/>
    <n v="430000"/>
    <n v="3282.4427480916029"/>
    <n v="430000"/>
    <s v="شقة للبيع في بدر، جنوب الرياض"/>
    <s v="بدر، جنوب الرياض، الرياض"/>
    <x v="1"/>
    <s v="حي بدر"/>
    <s v="الرياض"/>
    <s v="شركة نجمة التميز للعقارات"/>
  </r>
  <r>
    <s v="F157474199"/>
    <x v="0"/>
    <n v="3"/>
    <n v="3"/>
    <n v="131"/>
    <n v="430000"/>
    <n v="3282.4427480916029"/>
    <n v="430000"/>
    <s v="شقق للبيع في بدر، جنوب الرياض"/>
    <s v="بدر، جنوب الرياض، الرياض"/>
    <x v="1"/>
    <s v="حي بدر"/>
    <s v="الرياض"/>
    <s v="شركة نجمة التميز للعقارات"/>
  </r>
  <r>
    <s v="J293366603"/>
    <x v="0"/>
    <n v="3"/>
    <n v="3"/>
    <n v="131"/>
    <n v="430000"/>
    <n v="3282.4427480916029"/>
    <n v="430000"/>
    <s v="شقة للبيع في بدر, جنوب الرياض"/>
    <s v="بدر، جنوب الرياض، الرياض"/>
    <x v="1"/>
    <s v="حي بدر"/>
    <s v="الرياض"/>
    <s v="شركة نجمة التميز للعقارات"/>
  </r>
  <r>
    <s v="C895960467"/>
    <x v="0"/>
    <n v="4"/>
    <n v="3"/>
    <n v="149"/>
    <n v="430000"/>
    <n v="2885.9060402684563"/>
    <n v="430000"/>
    <s v="شقة للبيع في بدر، جنوب الرياض"/>
    <s v="بدر، جنوب الرياض، الرياض"/>
    <x v="1"/>
    <s v="حي بدر"/>
    <s v="الرياض"/>
    <s v="شركة نجمة التميز للعقارات"/>
  </r>
  <r>
    <s v="R037099057"/>
    <x v="0"/>
    <n v="3"/>
    <n v="3"/>
    <n v="131"/>
    <n v="430000"/>
    <n v="3282.4427480916029"/>
    <n v="430000"/>
    <s v="شقة للبيع في بدر، جنوب الرياض"/>
    <s v="بدر، جنوب الرياض، الرياض"/>
    <x v="1"/>
    <s v="حي بدر"/>
    <s v="الرياض"/>
    <s v="​فردي / مالك"/>
  </r>
  <r>
    <s v="U750563705"/>
    <x v="0"/>
    <n v="3"/>
    <n v="3"/>
    <n v="131"/>
    <n v="430000"/>
    <n v="3282.4427480916029"/>
    <n v="430000"/>
    <s v="شقق فاخرة للبيع في بدر، جنوب الرياض"/>
    <s v="بدر، جنوب الرياض، الرياض"/>
    <x v="1"/>
    <s v="حي بدر"/>
    <s v="الرياض"/>
    <s v="شركة نجمة التميز للعقارات"/>
  </r>
  <r>
    <s v="E810570002"/>
    <x v="0"/>
    <n v="3"/>
    <n v="4"/>
    <n v="131"/>
    <n v="430000"/>
    <n v="3282.4427480916029"/>
    <n v="430000"/>
    <s v="شقة للبيع في بدر، جنوب الرياض"/>
    <s v="بدر، جنوب الرياض، الرياض"/>
    <x v="1"/>
    <s v="حي بدر"/>
    <s v="الرياض"/>
    <s v="​فردي / مالك"/>
  </r>
  <r>
    <s v="R750563705"/>
    <x v="0"/>
    <n v="3"/>
    <n v="3"/>
    <n v="131"/>
    <n v="430000"/>
    <n v="3282.4427480916029"/>
    <n v="430000"/>
    <s v="شقق فاخرة للبيع في بدر، جنوب الرياض"/>
    <s v="بدر، جنوب الرياض، الرياض"/>
    <x v="1"/>
    <s v="حي بدر"/>
    <s v="الرياض"/>
    <s v="شركة نجمة التميز للعقارات"/>
  </r>
  <r>
    <s v="S314762314"/>
    <x v="0"/>
    <n v="3"/>
    <n v="3"/>
    <n v="166"/>
    <n v="440000"/>
    <n v="2650.602409638554"/>
    <n v="440000"/>
    <s v="شقة للبيع في بدر، جنوب الرياض"/>
    <s v="بدر، جنوب الرياض، الرياض"/>
    <x v="1"/>
    <s v="حي بدر"/>
    <s v="الرياض"/>
    <s v="شركة نجمة التميز للعقارات"/>
  </r>
  <r>
    <s v="H817259233"/>
    <x v="0"/>
    <n v="3"/>
    <n v="3"/>
    <n v="168"/>
    <n v="450000"/>
    <n v="2678.5714285714284"/>
    <n v="450000"/>
    <s v="شقة للبيع في بدر، جنوب الرياض"/>
    <s v="بدر، جنوب الرياض، الرياض"/>
    <x v="1"/>
    <s v="حي بدر"/>
    <s v="الرياض"/>
    <s v="​فردي / مالك"/>
  </r>
  <r>
    <s v="D104698284"/>
    <x v="0"/>
    <n v="4"/>
    <n v="3"/>
    <n v="177"/>
    <n v="450000"/>
    <n v="2542.3728813559323"/>
    <n v="450000"/>
    <s v="شقة للبيع في بدر، جنوب الرياض"/>
    <s v="بدر، جنوب الرياض، الرياض"/>
    <x v="1"/>
    <s v="حي بدر"/>
    <s v="الرياض"/>
    <s v="شركة نجمة التميز للعقارات"/>
  </r>
  <r>
    <s v="V859261897"/>
    <x v="0"/>
    <n v="3"/>
    <n v="3"/>
    <n v="170"/>
    <n v="450000"/>
    <n v="2647.0588235294117"/>
    <n v="450000"/>
    <s v="شقة للبيع في بدر، جنوب الرياض"/>
    <s v="بدر، جنوب الرياض، الرياض"/>
    <x v="1"/>
    <s v="حي بدر"/>
    <s v="الرياض"/>
    <s v="​فردي / مالك"/>
  </r>
  <r>
    <s v="R850549264"/>
    <x v="0"/>
    <n v="3"/>
    <n v="3"/>
    <n v="177"/>
    <n v="450000"/>
    <n v="2542.3728813559323"/>
    <n v="450000"/>
    <s v="شقة للبيع في بدر، جنوب الرياض"/>
    <s v="بدر، جنوب الرياض، الرياض"/>
    <x v="1"/>
    <s v="حي بدر"/>
    <s v="الرياض"/>
    <s v="شركة نجمة التميز للعقارات"/>
  </r>
  <r>
    <s v="S450036339"/>
    <x v="0"/>
    <n v="3"/>
    <n v="4"/>
    <n v="173"/>
    <n v="450000"/>
    <n v="2601.1560693641618"/>
    <n v="450000"/>
    <s v="شقة للبيع في بدر, جنوب الرياض"/>
    <s v="بدر، جنوب الرياض، الرياض"/>
    <x v="1"/>
    <s v="حي بدر"/>
    <s v="الرياض"/>
    <s v="شركة غيوم نجد للخدمات العقارية"/>
  </r>
  <r>
    <s v="W924307046"/>
    <x v="0"/>
    <n v="3"/>
    <n v="3"/>
    <n v="173"/>
    <n v="450000"/>
    <n v="2601.1560693641618"/>
    <n v="450000"/>
    <s v="شقة للبيع في بدر، جنوب الرياض"/>
    <s v="بدر، جنوب الرياض، الرياض"/>
    <x v="1"/>
    <s v="حي بدر"/>
    <s v="الرياض"/>
    <s v="شركة نجمة التميز للعقارات"/>
  </r>
  <r>
    <s v="D850549264"/>
    <x v="0"/>
    <n v="3"/>
    <n v="3"/>
    <n v="177"/>
    <n v="450000"/>
    <n v="2542.3728813559323"/>
    <n v="450000"/>
    <s v="شقة للبيع في بدر، جنوب الرياض"/>
    <s v="بدر، جنوب الرياض، الرياض"/>
    <x v="1"/>
    <s v="حي بدر"/>
    <s v="الرياض"/>
    <s v="شركة نجمة التميز للعقارات"/>
  </r>
  <r>
    <s v="G850549264"/>
    <x v="0"/>
    <n v="3"/>
    <n v="3"/>
    <n v="177"/>
    <n v="450000"/>
    <n v="2542.3728813559323"/>
    <n v="450000"/>
    <s v="شقة للبيع في بدر، جنوب الرياض"/>
    <s v="بدر، جنوب الرياض، الرياض"/>
    <x v="1"/>
    <s v="حي بدر"/>
    <s v="الرياض"/>
    <s v="شركة نجمة التميز للعقارات"/>
  </r>
  <r>
    <s v="B850549264"/>
    <x v="0"/>
    <n v="3"/>
    <n v="3"/>
    <n v="177"/>
    <n v="450000"/>
    <n v="2542.3728813559323"/>
    <n v="450000"/>
    <s v="شقة للبيع في بدر، جنوب الرياض"/>
    <s v="بدر، جنوب الرياض، الرياض"/>
    <x v="1"/>
    <s v="حي بدر"/>
    <s v="الرياض"/>
    <s v="شركة نجمة التميز للعقارات"/>
  </r>
  <r>
    <s v="L517940153"/>
    <x v="0"/>
    <n v="3"/>
    <n v="3"/>
    <n v="177"/>
    <n v="450000"/>
    <n v="2542.3728813559323"/>
    <n v="450000"/>
    <s v="شقة للبيع في حي بدر، جنوب الرياض"/>
    <s v="بدر، جنوب الرياض، الرياض"/>
    <x v="1"/>
    <s v="حي بدر"/>
    <s v="الرياض"/>
    <s v="شركة نجمة التميز للعقارات"/>
  </r>
  <r>
    <s v="I374179635"/>
    <x v="0"/>
    <n v="3"/>
    <n v="3"/>
    <n v="178"/>
    <n v="450000"/>
    <n v="2528.0898876404494"/>
    <n v="450000"/>
    <s v="شقة للبيع في  بدر، جنوب الرياض"/>
    <s v="بدر، جنوب الرياض، الرياض"/>
    <x v="1"/>
    <s v="حي بدر"/>
    <s v="الرياض"/>
    <s v="شركة نجمة التميز للعقارات"/>
  </r>
  <r>
    <s v="G553542710"/>
    <x v="0"/>
    <n v="3"/>
    <n v="3"/>
    <n v="173"/>
    <n v="450000"/>
    <n v="2601.1560693641618"/>
    <n v="450000"/>
    <s v="شقة للبيع في بدر, جنوب الرياض"/>
    <s v="بدر، جنوب الرياض، الرياض"/>
    <x v="1"/>
    <s v="حي بدر"/>
    <s v="الرياض"/>
    <s v="شركة غيوم نجد للخدمات العقارية"/>
  </r>
  <r>
    <s v="E778561547"/>
    <x v="0"/>
    <n v="3"/>
    <n v="3"/>
    <n v="175"/>
    <n v="450000"/>
    <n v="2571.4285714285716"/>
    <n v="450000"/>
    <s v="شقة للبيع في بدر، جنوب الرياض"/>
    <s v="بدر، جنوب الرياض، الرياض"/>
    <x v="1"/>
    <s v="حي بدر"/>
    <s v="الرياض"/>
    <s v="شركة نجمة التميز للعقارات"/>
  </r>
  <r>
    <s v="F924307046"/>
    <x v="0"/>
    <n v="3"/>
    <n v="3"/>
    <n v="173"/>
    <n v="450000"/>
    <n v="2601.1560693641618"/>
    <n v="450000"/>
    <s v="شقة للبيع في بدر، جنوب الرياض"/>
    <s v="بدر، جنوب الرياض، الرياض"/>
    <x v="1"/>
    <s v="حي بدر"/>
    <s v="الرياض"/>
    <s v="شركة نجمة التميز للعقارات"/>
  </r>
  <r>
    <s v="L544801753"/>
    <x v="0"/>
    <n v="3"/>
    <n v="3"/>
    <n v="177"/>
    <n v="450000"/>
    <n v="2542.3728813559323"/>
    <n v="450000"/>
    <s v="شقة للبيع في حي بدر، جنوب الرياض"/>
    <s v="بدر، جنوب الرياض، الرياض"/>
    <x v="1"/>
    <s v="حي بدر"/>
    <s v="الرياض"/>
    <s v="​فردي / مالك"/>
  </r>
  <r>
    <s v="V850549264"/>
    <x v="0"/>
    <n v="3"/>
    <n v="3"/>
    <n v="177"/>
    <n v="450000"/>
    <n v="2542.3728813559323"/>
    <n v="450000"/>
    <s v="شقة للبيع في بدر، جنوب الرياض"/>
    <s v="بدر، جنوب الرياض، الرياض"/>
    <x v="1"/>
    <s v="حي بدر"/>
    <s v="الرياض"/>
    <s v="شركة نجمة التميز للعقارات"/>
  </r>
  <r>
    <s v="V924307046"/>
    <x v="0"/>
    <n v="3"/>
    <n v="3"/>
    <n v="173"/>
    <n v="450000"/>
    <n v="2601.1560693641618"/>
    <n v="450000"/>
    <s v="شقة للبيع في بدر، جنوب الرياض"/>
    <s v="بدر، جنوب الرياض، الرياض"/>
    <x v="1"/>
    <s v="حي بدر"/>
    <s v="الرياض"/>
    <s v="شركة نجمة التميز للعقارات"/>
  </r>
  <r>
    <s v="U744786232"/>
    <x v="0"/>
    <n v="3"/>
    <n v="3"/>
    <n v="169"/>
    <n v="450000"/>
    <n v="2662.7218934911243"/>
    <n v="450000"/>
    <s v="شقة للبيع في  بدر، جنوب الرياض"/>
    <s v="بدر، جنوب الرياض، الرياض"/>
    <x v="1"/>
    <s v="حي بدر"/>
    <s v="الرياض"/>
    <s v="شركة نجمة التميز للعقارات"/>
  </r>
  <r>
    <s v="U850549264"/>
    <x v="0"/>
    <n v="3"/>
    <n v="3"/>
    <n v="177"/>
    <n v="450000"/>
    <n v="2542.3728813559323"/>
    <n v="450000"/>
    <s v="شقة للبيع في بدر، جنوب الرياض"/>
    <s v="بدر، جنوب الرياض، الرياض"/>
    <x v="1"/>
    <s v="حي بدر"/>
    <s v="الرياض"/>
    <s v="شركة نجمة التميز للعقارات"/>
  </r>
  <r>
    <s v="V850549264"/>
    <x v="0"/>
    <n v="3"/>
    <n v="3"/>
    <n v="177"/>
    <n v="450000"/>
    <n v="2542.3728813559323"/>
    <n v="450000"/>
    <s v="شقة للبيع في بدر، جنوب الرياض"/>
    <s v="بدر، جنوب الرياض، الرياض"/>
    <x v="1"/>
    <s v="حي بدر"/>
    <s v="الرياض"/>
    <s v="شركة نجمة التميز للعقارات"/>
  </r>
  <r>
    <s v="W073902625"/>
    <x v="0"/>
    <n v="3"/>
    <n v="3"/>
    <n v="130"/>
    <n v="460000"/>
    <n v="3538.4615384615386"/>
    <n v="460000"/>
    <s v="شقق للبيع في عكاظ، جنوب الرياض"/>
    <s v="عكاظ، جنوب الرياض، الرياض"/>
    <x v="1"/>
    <s v="حي عكاظ"/>
    <s v="الرياض"/>
    <s v="​فردي / مالك"/>
  </r>
  <r>
    <s v="F804114576"/>
    <x v="0"/>
    <n v="3"/>
    <n v="4"/>
    <n v="168"/>
    <n v="460000"/>
    <n v="2738.0952380952381"/>
    <n v="460000"/>
    <s v="شقة للبيع في عكاظ، الرياض"/>
    <s v="عكاظ، جنوب الرياض، الرياض"/>
    <x v="1"/>
    <s v="حي عكاظ"/>
    <s v="الرياض"/>
    <s v="​فردي / مالك"/>
  </r>
  <r>
    <s v="Y094318912"/>
    <x v="0"/>
    <n v="3"/>
    <n v="3"/>
    <n v="114"/>
    <n v="470000"/>
    <n v="4122.8070175438597"/>
    <n v="470000"/>
    <s v="شقة للبيع في  طويق، غرب الرياض"/>
    <s v="طويق، غرب الرياض، الرياض"/>
    <x v="3"/>
    <s v="حي طويق"/>
    <s v="الرياض"/>
    <s v="​فردي / مالك"/>
  </r>
  <r>
    <s v="Z672372933"/>
    <x v="0"/>
    <n v="3"/>
    <n v="2"/>
    <n v="114"/>
    <n v="470000"/>
    <n v="4122.8070175438597"/>
    <n v="470000"/>
    <s v="شقة للبيع في طويق, غرب الرياض"/>
    <s v="طويق، غرب الرياض، الرياض"/>
    <x v="3"/>
    <s v="حي طويق"/>
    <s v="الرياض"/>
    <s v="​فردي / مالك"/>
  </r>
  <r>
    <s v="A170259227"/>
    <x v="0"/>
    <n v="5"/>
    <n v="4"/>
    <n v="188"/>
    <n v="480000"/>
    <n v="2553.1914893617022"/>
    <n v="480000"/>
    <s v="شقة للبيع في الحزم، غرب الرياض"/>
    <s v="الحزم، غرب الرياض، الرياض"/>
    <x v="3"/>
    <s v="حي الحزم"/>
    <s v="الرياض"/>
    <s v="مكتب أنوار الضاحية للخدمات العقارية"/>
  </r>
  <r>
    <s v="V557245248"/>
    <x v="3"/>
    <n v="5"/>
    <n v="3"/>
    <n v="160"/>
    <n v="490000"/>
    <n v="3062.5"/>
    <n v="490000"/>
    <s v="للبيع أدوار في بدر، جنوب الرياض"/>
    <s v="بدر، جنوب الرياض، الرياض"/>
    <x v="1"/>
    <s v="حي بدر"/>
    <s v="الرياض"/>
    <s v="​فردي / مالك"/>
  </r>
  <r>
    <s v="U160357250"/>
    <x v="0"/>
    <n v="3"/>
    <n v="2"/>
    <n v="115"/>
    <n v="495000"/>
    <n v="4304.347826086957"/>
    <n v="495000"/>
    <s v="شقة للبيع في طويق، غرب الرياض"/>
    <s v="طويق، غرب الرياض، الرياض"/>
    <x v="3"/>
    <s v="حي طويق"/>
    <s v="الرياض"/>
    <s v="شركة راكز العقارية"/>
  </r>
  <r>
    <s v="N468384345"/>
    <x v="1"/>
    <n v="0"/>
    <n v="0"/>
    <n v="936"/>
    <n v="535"/>
    <n v="535"/>
    <n v="500760"/>
    <s v="أرض سكنية للبيع في  العلا، الرياض"/>
    <s v="العلا، الرياض"/>
    <x v="1"/>
    <s v="حي العلا"/>
    <s v="الرياض"/>
    <s v="​فردي / مالك"/>
  </r>
  <r>
    <s v="Z886181510"/>
    <x v="0"/>
    <n v="3"/>
    <n v="2"/>
    <n v="115"/>
    <n v="505000"/>
    <n v="4391.304347826087"/>
    <n v="505000"/>
    <s v="شقة للبيع في طويق, غرب الرياض"/>
    <s v="طويق، غرب الرياض، الرياض"/>
    <x v="3"/>
    <s v="حي طويق"/>
    <s v="الرياض"/>
    <s v="​فردي / مالك"/>
  </r>
  <r>
    <s v="A058100334"/>
    <x v="0"/>
    <n v="3"/>
    <n v="2"/>
    <n v="115"/>
    <n v="505000"/>
    <n v="4391.304347826087"/>
    <n v="505000"/>
    <s v="شقة للبيع في طويق، غرب الرياض"/>
    <s v="طويق، غرب الرياض، الرياض"/>
    <x v="3"/>
    <s v="حي طويق"/>
    <s v="الرياض"/>
    <s v="شركة راكز العقارية"/>
  </r>
  <r>
    <s v="Z747360937"/>
    <x v="0"/>
    <n v="4"/>
    <n v="3"/>
    <n v="132"/>
    <n v="510000"/>
    <n v="3863.6363636363635"/>
    <n v="510000"/>
    <s v="شقة للبيع في  طويق، غرب الرياض"/>
    <s v="طويق، غرب الرياض، الرياض"/>
    <x v="3"/>
    <s v="حي طويق"/>
    <s v="الرياض"/>
    <s v="إسكان سلمان للتسويق العقاري"/>
  </r>
  <r>
    <s v="K747360937"/>
    <x v="0"/>
    <n v="4"/>
    <n v="3"/>
    <n v="132"/>
    <n v="510000"/>
    <n v="3863.6363636363635"/>
    <n v="510000"/>
    <s v="شقة للبيع في  طويق، غرب الرياض"/>
    <s v="طويق، غرب الرياض، الرياض"/>
    <x v="3"/>
    <s v="حي طويق"/>
    <s v="الرياض"/>
    <s v="إسكان سلمان للتسويق العقاري"/>
  </r>
  <r>
    <s v="M747360937"/>
    <x v="0"/>
    <n v="4"/>
    <n v="3"/>
    <n v="132"/>
    <n v="510000"/>
    <n v="3863.6363636363635"/>
    <n v="510000"/>
    <s v="شقة للبيع في  طويق، غرب الرياض"/>
    <s v="طويق، غرب الرياض، الرياض"/>
    <x v="3"/>
    <s v="حي طويق"/>
    <s v="الرياض"/>
    <s v="إسكان سلمان للتسويق العقاري"/>
  </r>
  <r>
    <s v="T747360937"/>
    <x v="0"/>
    <n v="4"/>
    <n v="3"/>
    <n v="132"/>
    <n v="510000"/>
    <n v="3863.6363636363635"/>
    <n v="510000"/>
    <s v="شقة للبيع في  طويق، غرب الرياض"/>
    <s v="طويق، غرب الرياض، الرياض"/>
    <x v="3"/>
    <s v="حي طويق"/>
    <s v="الرياض"/>
    <s v="إسكان سلمان للتسويق العقاري"/>
  </r>
  <r>
    <s v="V207564433"/>
    <x v="4"/>
    <n v="0"/>
    <n v="0"/>
    <n v="900"/>
    <n v="520000"/>
    <n v="577.77777777777783"/>
    <n v="520000"/>
    <s v="شقة للبيع في حي بدر، جنوب الرياض"/>
    <s v="بدر، جنوب الرياض، الرياض"/>
    <x v="1"/>
    <s v="حي بدر"/>
    <s v="الرياض"/>
    <s v="شركة قصر الرقي العقارية"/>
  </r>
  <r>
    <s v="O280010367"/>
    <x v="0"/>
    <n v="4"/>
    <n v="3"/>
    <n v="900"/>
    <n v="520000"/>
    <n v="577.77777777777783"/>
    <n v="520000"/>
    <s v="شقة للبيع في  بدر، جنوب الرياض"/>
    <s v="بدر، جنوب الرياض، الرياض"/>
    <x v="1"/>
    <s v="حي بدر"/>
    <s v="الرياض"/>
    <s v="شركة غيوم نجد للخدمات العقارية"/>
  </r>
  <r>
    <s v="Y588343737"/>
    <x v="0"/>
    <n v="3"/>
    <n v="4"/>
    <n v="900"/>
    <n v="520000"/>
    <n v="577.77777777777783"/>
    <n v="520000"/>
    <s v="شقة للبيع في  بدر، جنوب الرياض"/>
    <s v="بدر، جنوب الرياض، الرياض"/>
    <x v="1"/>
    <s v="حي بدر"/>
    <s v="الرياض"/>
    <s v="شركة غيوم نجد للخدمات العقارية"/>
  </r>
  <r>
    <s v="T588343737"/>
    <x v="0"/>
    <n v="3"/>
    <n v="4"/>
    <n v="900"/>
    <n v="520000"/>
    <n v="577.77777777777783"/>
    <n v="520000"/>
    <s v="شقة للبيع في  بدر، جنوب الرياض"/>
    <s v="بدر، جنوب الرياض، الرياض"/>
    <x v="1"/>
    <s v="حي بدر"/>
    <s v="الرياض"/>
    <s v="شركة غيوم نجد للخدمات العقارية"/>
  </r>
  <r>
    <s v="F554077369"/>
    <x v="0"/>
    <n v="4"/>
    <n v="3"/>
    <n v="133"/>
    <n v="520000"/>
    <n v="3909.7744360902257"/>
    <n v="520000"/>
    <s v="شقة للبيع في  طويق، غرب الرياض"/>
    <s v="طويق، غرب الرياض، الرياض"/>
    <x v="3"/>
    <s v="حي طويق"/>
    <s v="الرياض"/>
    <s v="إسكان سلمان للتسويق العقاري"/>
  </r>
  <r>
    <s v="N554077369"/>
    <x v="0"/>
    <n v="4"/>
    <n v="3"/>
    <n v="133"/>
    <n v="520000"/>
    <n v="3909.7744360902257"/>
    <n v="520000"/>
    <s v="شقة للبيع في  طويق، غرب الرياض"/>
    <s v="طويق، غرب الرياض، الرياض"/>
    <x v="3"/>
    <s v="حي طويق"/>
    <s v="الرياض"/>
    <s v="إسكان سلمان للتسويق العقاري"/>
  </r>
  <r>
    <s v="E510241016"/>
    <x v="4"/>
    <n v="3"/>
    <n v="3"/>
    <n v="900"/>
    <n v="520000"/>
    <n v="577.77777777777783"/>
    <n v="520000"/>
    <s v="شقة للبيع في بدر، جنوب الرياض"/>
    <s v="بدر، جنوب الرياض، الرياض"/>
    <x v="1"/>
    <s v="حي بدر"/>
    <s v="الرياض"/>
    <s v="شركة قصر الرقي العقارية"/>
  </r>
  <r>
    <s v="W680818240"/>
    <x v="0"/>
    <n v="3"/>
    <n v="3"/>
    <n v="163"/>
    <n v="530000"/>
    <n v="3251.5337423312885"/>
    <n v="530000"/>
    <s v="شقة للبيع في عكاظ، جنوب الرياض"/>
    <s v="عكاظ، جنوب الرياض، الرياض"/>
    <x v="1"/>
    <s v="حي عكاظ"/>
    <s v="الرياض"/>
    <s v="شركة نجمة التميز للعقارات"/>
  </r>
  <r>
    <s v="F454234640"/>
    <x v="0"/>
    <n v="3"/>
    <n v="3"/>
    <n v="152"/>
    <n v="530000"/>
    <n v="3486.8421052631579"/>
    <n v="530000"/>
    <s v="شقق للبيع في الحزم, غرب الرياض"/>
    <s v="الحزم، غرب الرياض، الرياض"/>
    <x v="3"/>
    <s v="حي الحزم"/>
    <s v="الرياض"/>
    <s v="شركة نجمة التميز للعقارات"/>
  </r>
  <r>
    <s v="V872010771"/>
    <x v="0"/>
    <n v="3"/>
    <n v="5"/>
    <n v="163"/>
    <n v="530000"/>
    <n v="3251.5337423312885"/>
    <n v="530000"/>
    <s v="شقة للبيع في عكاظ، جنوب الرياض"/>
    <s v="عكاظ، جنوب الرياض، الرياض"/>
    <x v="1"/>
    <s v="حي عكاظ"/>
    <s v="الرياض"/>
    <s v="​فردي / مالك"/>
  </r>
  <r>
    <s v="X011560087"/>
    <x v="0"/>
    <n v="3"/>
    <n v="5"/>
    <n v="163"/>
    <n v="530000"/>
    <n v="3251.5337423312885"/>
    <n v="530000"/>
    <s v="شقة للبيع في عكاظ، جنوب الرياض"/>
    <s v="عكاظ، جنوب الرياض، الرياض"/>
    <x v="1"/>
    <s v="حي عكاظ"/>
    <s v="الرياض"/>
    <s v="شركة نجمة التميز للعقارات"/>
  </r>
  <r>
    <s v="P029003937"/>
    <x v="0"/>
    <n v="3"/>
    <n v="3"/>
    <n v="152"/>
    <n v="530000"/>
    <n v="3486.8421052631579"/>
    <n v="530000"/>
    <s v="شقة للبيع في الحزم، غرب الرياض"/>
    <s v="الحزم، غرب الرياض، الرياض"/>
    <x v="3"/>
    <s v="حي الحزم"/>
    <s v="الرياض"/>
    <s v="​فردي / مالك"/>
  </r>
  <r>
    <s v="P913786983"/>
    <x v="0"/>
    <n v="3"/>
    <n v="2"/>
    <n v="157"/>
    <n v="530000"/>
    <n v="3375.7961783439491"/>
    <n v="530000"/>
    <s v="شقة - الرياض - طويق"/>
    <s v="طويق، غرب الرياض، الرياض"/>
    <x v="3"/>
    <s v="حي طويق"/>
    <s v="الرياض"/>
    <s v="إسكان سلمان للتسويق العقاري"/>
  </r>
  <r>
    <s v="C912249810"/>
    <x v="0"/>
    <n v="4"/>
    <n v="3"/>
    <n v="147"/>
    <n v="530000"/>
    <n v="3605.4421768707484"/>
    <n v="530000"/>
    <s v="شقة - الرياض - ضاحية نمار (الحزم)"/>
    <s v="الحزم، غرب الرياض، الرياض"/>
    <x v="3"/>
    <s v="حي الحزم"/>
    <s v="الرياض"/>
    <s v="إسكان سلمان للتسويق العقاري"/>
  </r>
  <r>
    <s v="C451135740"/>
    <x v="0"/>
    <n v="3"/>
    <n v="3"/>
    <n v="135"/>
    <n v="530000"/>
    <n v="3925.9259259259261"/>
    <n v="530000"/>
    <s v="٣ غرف نوم شقة للبيع الحزم"/>
    <s v="الحزم، غرب الرياض، الرياض"/>
    <x v="3"/>
    <s v="حي الحزم"/>
    <s v="الرياض"/>
    <s v="​فردي / مالك"/>
  </r>
  <r>
    <s v="J060455906"/>
    <x v="0"/>
    <n v="4"/>
    <n v="3"/>
    <n v="147"/>
    <n v="530000"/>
    <n v="3605.4421768707484"/>
    <n v="530000"/>
    <s v="شقة للبيع في الحزم, غرب الرياض"/>
    <s v="الحزم، غرب الرياض، الرياض"/>
    <x v="3"/>
    <s v="حي الحزم"/>
    <s v="الرياض"/>
    <s v="​فردي / مالك"/>
  </r>
  <r>
    <s v="G434093900"/>
    <x v="0"/>
    <n v="4"/>
    <n v="3"/>
    <n v="168"/>
    <n v="530000"/>
    <n v="3154.7619047619046"/>
    <n v="530000"/>
    <s v="شقة للبيع في الزهرة، غرب الرياض"/>
    <s v="الزهرة، غرب الرياض، الرياض"/>
    <x v="3"/>
    <s v="حي الزهرة"/>
    <s v="الرياض"/>
    <s v="مكتب الاحمدي للعقارات"/>
  </r>
  <r>
    <s v="F480591827"/>
    <x v="3"/>
    <n v="5"/>
    <n v="3"/>
    <n v="180"/>
    <n v="539000"/>
    <n v="2994.4444444444443"/>
    <n v="539000"/>
    <s v="دور للبيع في بدر، جنوب الرياض"/>
    <s v="بدر، جنوب الرياض، الرياض"/>
    <x v="1"/>
    <s v="حي بدر"/>
    <s v="الرياض"/>
    <s v="مؤسسة الحوراء للخدمات العقارية"/>
  </r>
  <r>
    <s v="L351269020"/>
    <x v="3"/>
    <n v="3"/>
    <n v="3"/>
    <n v="193"/>
    <n v="540000"/>
    <n v="2797.9274611398964"/>
    <n v="540000"/>
    <s v="دور للبيع في  بدر، جنوب الرياض"/>
    <s v="بدر، جنوب الرياض، الرياض"/>
    <x v="1"/>
    <s v="حي بدر"/>
    <s v="الرياض"/>
    <s v="​فردي / مالك"/>
  </r>
  <r>
    <s v="R033797270"/>
    <x v="2"/>
    <n v="7"/>
    <n v="5"/>
    <n v="131"/>
    <n v="540000"/>
    <n v="4122.1374045801531"/>
    <n v="540000"/>
    <s v="عماره للبيع بمجموعة شقق، الرياض"/>
    <s v="العود، وسط الرياض، الرياض"/>
    <x v="2"/>
    <s v="حي العود"/>
    <s v="الرياض"/>
    <s v="​فردي / مالك"/>
  </r>
  <r>
    <s v="W664367006"/>
    <x v="0"/>
    <n v="3"/>
    <n v="3"/>
    <n v="163"/>
    <n v="540000"/>
    <n v="3312.8834355828221"/>
    <n v="540000"/>
    <s v="شقة للبيع في عكاظ, جنوب الرياض"/>
    <s v="عكاظ، جنوب الرياض، الرياض"/>
    <x v="1"/>
    <s v="حي عكاظ"/>
    <s v="الرياض"/>
    <s v="​فردي / مالك"/>
  </r>
  <r>
    <s v="J597372662"/>
    <x v="3"/>
    <n v="4"/>
    <n v="3"/>
    <n v="179"/>
    <n v="540000"/>
    <n v="3016.759776536313"/>
    <n v="540000"/>
    <s v="دور للبيع في بدر، جنوب الرياض"/>
    <s v="بدر، جنوب الرياض، الرياض"/>
    <x v="1"/>
    <s v="حي بدر"/>
    <s v="الرياض"/>
    <s v="التشييد الراقي للتطوير العقاري"/>
  </r>
  <r>
    <s v="A664367006"/>
    <x v="0"/>
    <n v="3"/>
    <n v="3"/>
    <n v="163"/>
    <n v="540000"/>
    <n v="3312.8834355828221"/>
    <n v="540000"/>
    <s v="شقة للبيع في عكاظ, جنوب الرياض"/>
    <s v="عكاظ، جنوب الرياض، الرياض"/>
    <x v="1"/>
    <s v="حي عكاظ"/>
    <s v="الرياض"/>
    <s v="​فردي / مالك"/>
  </r>
  <r>
    <s v="F236719868"/>
    <x v="0"/>
    <n v="3"/>
    <n v="3"/>
    <n v="163"/>
    <n v="540000"/>
    <n v="3312.8834355828221"/>
    <n v="540000"/>
    <s v="شقة للبيع في عكاظ, جنوب الرياض"/>
    <s v="عكاظ، جنوب الرياض، الرياض"/>
    <x v="1"/>
    <s v="حي عكاظ"/>
    <s v="الرياض"/>
    <s v="شركة نجمة التميز للعقارات"/>
  </r>
  <r>
    <s v="O723013051"/>
    <x v="3"/>
    <n v="4"/>
    <n v="4"/>
    <n v="175"/>
    <n v="540000"/>
    <n v="3085.7142857142858"/>
    <n v="540000"/>
    <s v="دور للبيع في بدر، جنوب الرياض"/>
    <s v="بدر، جنوب الرياض، الرياض"/>
    <x v="1"/>
    <s v="حي بدر"/>
    <s v="الرياض"/>
    <s v="التشييد الراقي للتطوير العقاري"/>
  </r>
  <r>
    <s v="R761289942"/>
    <x v="0"/>
    <n v="3"/>
    <n v="3"/>
    <n v="128"/>
    <n v="550000"/>
    <n v="4296.875"/>
    <n v="550000"/>
    <s v="شقة للبيع في الزهرة, غرب الرياض"/>
    <s v="الزهرة، غرب الرياض، الرياض"/>
    <x v="3"/>
    <s v="حي الزهرة"/>
    <s v="الرياض"/>
    <s v="​فردي / مالك"/>
  </r>
  <r>
    <s v="X564268706"/>
    <x v="0"/>
    <n v="5"/>
    <n v="3"/>
    <n v="128"/>
    <n v="550000"/>
    <n v="4296.875"/>
    <n v="550000"/>
    <s v="شقه للبيع في  الزهرة، غرب الرياض"/>
    <s v="الزهرة، غرب الرياض، الرياض"/>
    <x v="3"/>
    <s v="حي الزهرة"/>
    <s v="الرياض"/>
    <s v="شركة نجمة التميز للعقارات"/>
  </r>
  <r>
    <s v="O178654932"/>
    <x v="0"/>
    <n v="4"/>
    <n v="3"/>
    <n v="900"/>
    <n v="550000"/>
    <n v="611.11111111111109"/>
    <n v="550000"/>
    <s v="شقة للبيع في بدر، جنوب الرياض"/>
    <s v="بدر، جنوب الرياض، الرياض"/>
    <x v="1"/>
    <s v="حي بدر"/>
    <s v="الرياض"/>
    <s v="​فردي / مالك"/>
  </r>
  <r>
    <s v="C195758869"/>
    <x v="0"/>
    <n v="3"/>
    <n v="3"/>
    <n v="138"/>
    <n v="550000"/>
    <n v="3985.5072463768115"/>
    <n v="550000"/>
    <s v="شقة للبيع في السويدي، غرب الرياض"/>
    <s v="السويدي، غرب الرياض، الرياض"/>
    <x v="3"/>
    <s v="حي السويدي"/>
    <s v="الرياض"/>
    <s v="شركة نجمة التميز للعقارات"/>
  </r>
  <r>
    <s v="A450630225"/>
    <x v="0"/>
    <n v="5"/>
    <n v="3"/>
    <n v="124"/>
    <n v="550000"/>
    <n v="4435.4838709677415"/>
    <n v="550000"/>
    <s v="شقق تمليك فاخره للبيع في حي الحزم، الرياض"/>
    <s v="الحزم، غرب الرياض، الرياض"/>
    <x v="3"/>
    <s v="حي الحزم"/>
    <s v="الرياض"/>
    <s v="مكتب عبدالرحمن عبدالله الهويمل للعقارات"/>
  </r>
  <r>
    <s v="L890011961"/>
    <x v="3"/>
    <n v="3"/>
    <n v="3"/>
    <n v="145"/>
    <n v="550000"/>
    <n v="3793.1034482758619"/>
    <n v="550000"/>
    <s v="أدوار للبيع في الدار البيضاء, جنوب الرياض"/>
    <s v="الدار البيضاء، جنوب الرياض، الرياض"/>
    <x v="1"/>
    <s v="حي الدار البيضاء"/>
    <s v="الرياض"/>
    <s v="شركة غيوم نجد للخدمات العقارية"/>
  </r>
  <r>
    <s v="O096664982"/>
    <x v="0"/>
    <n v="4"/>
    <n v="3"/>
    <n v="250"/>
    <n v="550000"/>
    <n v="2200"/>
    <n v="550000"/>
    <s v="شقة للبيع في الزهرة، غرب الرياض"/>
    <s v="الزهرة، غرب الرياض، الرياض"/>
    <x v="3"/>
    <s v="حي الزهرة"/>
    <s v="الرياض"/>
    <s v="شركة نجمة التميز للعقارات"/>
  </r>
  <r>
    <s v="N227283547"/>
    <x v="0"/>
    <n v="3"/>
    <n v="3"/>
    <n v="128"/>
    <n v="550000"/>
    <n v="4296.875"/>
    <n v="550000"/>
    <s v="شقة للبيع في الزهرة، غرب الرياض"/>
    <s v="الزهرة، غرب الرياض، الرياض"/>
    <x v="3"/>
    <s v="حي الزهرة"/>
    <s v="الرياض"/>
    <s v="شركة نجمة التميز للعقارات"/>
  </r>
  <r>
    <s v="I455424304"/>
    <x v="0"/>
    <n v="4"/>
    <n v="3"/>
    <n v="147"/>
    <n v="550000"/>
    <n v="3741.4965986394559"/>
    <n v="550000"/>
    <s v="شقق للبيع في طويق, غرب الرياض"/>
    <s v="طويق، غرب الرياض، الرياض"/>
    <x v="3"/>
    <s v="حي طويق"/>
    <s v="الرياض"/>
    <s v="مؤسسة منازل رائدة العقارية"/>
  </r>
  <r>
    <s v="V182548114"/>
    <x v="3"/>
    <n v="3"/>
    <n v="3"/>
    <n v="145"/>
    <n v="550000"/>
    <n v="3793.1034482758619"/>
    <n v="550000"/>
    <s v="دور للبيع في الدار البيضاء, جنوب الرياض"/>
    <s v="الدار البيضاء، جنوب الرياض، الرياض"/>
    <x v="1"/>
    <s v="حي الدار البيضاء"/>
    <s v="الرياض"/>
    <s v="شركة غيوم نجد للخدمات العقارية"/>
  </r>
  <r>
    <s v="W307306535"/>
    <x v="0"/>
    <n v="3"/>
    <n v="1"/>
    <n v="128"/>
    <n v="550000"/>
    <n v="4296.875"/>
    <n v="550000"/>
    <s v="شقة للبيع في  الزهرة، غرب الرياض"/>
    <s v="الزهرة، غرب الرياض، الرياض"/>
    <x v="3"/>
    <s v="حي الزهرة"/>
    <s v="الرياض"/>
    <s v="​فردي / مالك"/>
  </r>
  <r>
    <s v="P043560646"/>
    <x v="0"/>
    <n v="3"/>
    <n v="2"/>
    <n v="128"/>
    <n v="550000"/>
    <n v="4296.875"/>
    <n v="550000"/>
    <s v="شقة للبيع في الزهرة، غرب الرياض"/>
    <s v="الزهرة، غرب الرياض، الرياض"/>
    <x v="3"/>
    <s v="حي الزهرة"/>
    <s v="الرياض"/>
    <s v="شركة نجمة التميز للعقارات"/>
  </r>
  <r>
    <s v="G227283547"/>
    <x v="0"/>
    <n v="3"/>
    <n v="3"/>
    <n v="128"/>
    <n v="550000"/>
    <n v="4296.875"/>
    <n v="550000"/>
    <s v="شقة للبيع في الزهرة، غرب الرياض"/>
    <s v="الزهرة، غرب الرياض، الرياض"/>
    <x v="3"/>
    <s v="حي الزهرة"/>
    <s v="الرياض"/>
    <s v="شركة نجمة التميز للعقارات"/>
  </r>
  <r>
    <s v="N227283547"/>
    <x v="0"/>
    <n v="3"/>
    <n v="3"/>
    <n v="128"/>
    <n v="550000"/>
    <n v="4296.875"/>
    <n v="550000"/>
    <s v="شقة للبيع في الزهرة، غرب الرياض"/>
    <s v="الزهرة، غرب الرياض، الرياض"/>
    <x v="3"/>
    <s v="حي الزهرة"/>
    <s v="الرياض"/>
    <s v="شركة نجمة التميز للعقارات"/>
  </r>
  <r>
    <s v="P043560646"/>
    <x v="0"/>
    <n v="3"/>
    <n v="2"/>
    <n v="128"/>
    <n v="550000"/>
    <n v="4296.875"/>
    <n v="550000"/>
    <s v="شقة للبيع في الزهرة، غرب الرياض"/>
    <s v="الزهرة، غرب الرياض، الرياض"/>
    <x v="3"/>
    <s v="حي الزهرة"/>
    <s v="الرياض"/>
    <s v="شركة نجمة التميز للعقارات"/>
  </r>
  <r>
    <s v="P235529688"/>
    <x v="4"/>
    <n v="3"/>
    <n v="4"/>
    <n v="500"/>
    <n v="550000"/>
    <n v="1100"/>
    <n v="550000"/>
    <s v="مبنى سكني للبيع في الزهرة، الرياض"/>
    <s v="الزهرة، غرب الرياض، الرياض"/>
    <x v="3"/>
    <s v="حي الزهرة"/>
    <s v="الرياض"/>
    <s v="شركة منسوب للتطوير العقاري"/>
  </r>
  <r>
    <s v="P227283547"/>
    <x v="0"/>
    <n v="3"/>
    <n v="3"/>
    <n v="128"/>
    <n v="550000"/>
    <n v="4296.875"/>
    <n v="550000"/>
    <s v="شقة للبيع في الزهرة، غرب الرياض"/>
    <s v="الزهرة، غرب الرياض، الرياض"/>
    <x v="3"/>
    <s v="حي الزهرة"/>
    <s v="الرياض"/>
    <s v="شركة نجمة التميز للعقارات"/>
  </r>
  <r>
    <s v="I227283547"/>
    <x v="0"/>
    <n v="3"/>
    <n v="3"/>
    <n v="128"/>
    <n v="550000"/>
    <n v="4296.875"/>
    <n v="550000"/>
    <s v="شقة للبيع في الزهرة، غرب الرياض"/>
    <s v="الزهرة، غرب الرياض، الرياض"/>
    <x v="3"/>
    <s v="حي الزهرة"/>
    <s v="الرياض"/>
    <s v="شركة نجمة التميز للعقارات"/>
  </r>
  <r>
    <s v="Z227283547"/>
    <x v="0"/>
    <n v="3"/>
    <n v="3"/>
    <n v="128"/>
    <n v="550000"/>
    <n v="4296.875"/>
    <n v="550000"/>
    <s v="شقة للبيع في الزهرة، غرب الرياض"/>
    <s v="الزهرة، غرب الرياض، الرياض"/>
    <x v="3"/>
    <s v="حي الزهرة"/>
    <s v="الرياض"/>
    <s v="شركة نجمة التميز للعقارات"/>
  </r>
  <r>
    <s v="S943604970"/>
    <x v="0"/>
    <n v="3"/>
    <n v="3"/>
    <n v="158"/>
    <n v="560000"/>
    <n v="3544.3037974683543"/>
    <n v="560000"/>
    <s v="شقق للبيع في  الزهرة، غرب الرياض"/>
    <s v="الزهرة، غرب الرياض، الرياض"/>
    <x v="3"/>
    <s v="حي الزهرة"/>
    <s v="الرياض"/>
    <s v="​فردي / مالك"/>
  </r>
  <r>
    <s v="C129805584"/>
    <x v="3"/>
    <n v="3"/>
    <n v="2"/>
    <n v="193"/>
    <n v="560000"/>
    <n v="2901.5544041450776"/>
    <n v="560000"/>
    <s v="أدوار للبيع في بدر، جنوب الرياض"/>
    <s v="بدر، جنوب الرياض، الرياض"/>
    <x v="1"/>
    <s v="حي بدر"/>
    <s v="الرياض"/>
    <s v="​فردي / مالك"/>
  </r>
  <r>
    <s v="E600046048"/>
    <x v="2"/>
    <n v="4"/>
    <n v="4"/>
    <n v="164"/>
    <n v="570000"/>
    <n v="3475.6097560975609"/>
    <n v="570000"/>
    <s v="فيلا دبلوكس - الرياض - عكاظ ( بدر )"/>
    <s v="بدر، جنوب الرياض، الرياض"/>
    <x v="1"/>
    <s v="حي بدر"/>
    <s v="الرياض"/>
    <s v="إسكان سلمان للتسويق العقاري"/>
  </r>
  <r>
    <s v="L360220290"/>
    <x v="3"/>
    <n v="3"/>
    <n v="3"/>
    <n v="203"/>
    <n v="570000"/>
    <n v="2807.8817733990149"/>
    <n v="570000"/>
    <s v="دور للبيع في الدار البيضاء، جنوب الرياض"/>
    <s v="الدار البيضاء، جنوب الرياض، الرياض"/>
    <x v="1"/>
    <s v="حي الدار البيضاء"/>
    <s v="الرياض"/>
    <s v="مكتب الاحمدي للعقارات"/>
  </r>
  <r>
    <s v="W014262226"/>
    <x v="0"/>
    <n v="5"/>
    <n v="4"/>
    <n v="151"/>
    <n v="570000"/>
    <n v="3774.8344370860927"/>
    <n v="570000"/>
    <s v="شقة للبيع في حي نمار, مدينة الرياض, منطقة الرياض"/>
    <s v="نمار، غرب الرياض، الرياض"/>
    <x v="3"/>
    <s v="حي نمار"/>
    <s v="الرياض"/>
    <s v="مكتب طريق الاسكان"/>
  </r>
  <r>
    <s v="H727134897"/>
    <x v="0"/>
    <n v="5"/>
    <n v="3"/>
    <n v="177"/>
    <n v="570000"/>
    <n v="3220.3389830508477"/>
    <n v="570000"/>
    <s v="شقق للبيع في عكاظ، الرياض"/>
    <s v="عكاظ، جنوب الرياض، الرياض"/>
    <x v="1"/>
    <s v="حي عكاظ"/>
    <s v="الرياض"/>
    <s v="​فردي / مالك"/>
  </r>
  <r>
    <s v="F693399218"/>
    <x v="0"/>
    <n v="3"/>
    <n v="3"/>
    <n v="124"/>
    <n v="580000"/>
    <n v="4677.4193548387093"/>
    <n v="580000"/>
    <s v="شقة للبيع في السويدي، غرب الرياض"/>
    <s v="السويدي، غرب الرياض، الرياض"/>
    <x v="3"/>
    <s v="حي السويدي"/>
    <s v="الرياض"/>
    <s v="​فردي / مالك"/>
  </r>
  <r>
    <s v="E693399218"/>
    <x v="0"/>
    <n v="3"/>
    <n v="3"/>
    <n v="124"/>
    <n v="580000"/>
    <n v="4677.4193548387093"/>
    <n v="580000"/>
    <s v="شقة للبيع في السويدي، غرب الرياض"/>
    <s v="السويدي، غرب الرياض، الرياض"/>
    <x v="3"/>
    <s v="حي السويدي"/>
    <s v="الرياض"/>
    <s v="​فردي / مالك"/>
  </r>
  <r>
    <s v="Q426993727"/>
    <x v="0"/>
    <n v="4"/>
    <n v="4"/>
    <n v="124"/>
    <n v="580000"/>
    <n v="4677.4193548387093"/>
    <n v="580000"/>
    <s v="شقة للبيع في السويدي، غرب الرياض"/>
    <s v="السويدي، غرب الرياض، الرياض"/>
    <x v="3"/>
    <s v="حي السويدي"/>
    <s v="الرياض"/>
    <s v="شركة نجمة التميز للعقارات"/>
  </r>
  <r>
    <s v="F957890749"/>
    <x v="0"/>
    <n v="3"/>
    <n v="4"/>
    <n v="124"/>
    <n v="580000"/>
    <n v="4677.4193548387093"/>
    <n v="580000"/>
    <s v="شقق فاخرة للبيع في السويدي، غرب الرياض"/>
    <s v="السويدي، غرب الرياض، الرياض"/>
    <x v="3"/>
    <s v="حي السويدي"/>
    <s v="الرياض"/>
    <s v="شركة نجمة التميز للعقارات"/>
  </r>
  <r>
    <s v="F162277606"/>
    <x v="3"/>
    <n v="5"/>
    <n v="3"/>
    <n v="600"/>
    <n v="580000"/>
    <n v="966.66666666666663"/>
    <n v="580000"/>
    <s v="دور - الرياض - بدر ( عريض )"/>
    <s v="بدر، جنوب الرياض، الرياض"/>
    <x v="1"/>
    <s v="حي بدر"/>
    <s v="الرياض"/>
    <s v="إسكان سلمان للتسويق العقاري"/>
  </r>
  <r>
    <s v="R308787329"/>
    <x v="0"/>
    <n v="3"/>
    <n v="4"/>
    <n v="124"/>
    <n v="580000"/>
    <n v="4677.4193548387093"/>
    <n v="580000"/>
    <s v="شقق فاخرة للبيع في  السويدي، غرب الرياض"/>
    <s v="السويدي، غرب الرياض، الرياض"/>
    <x v="3"/>
    <s v="حي السويدي"/>
    <s v="الرياض"/>
    <s v="​فردي / مالك"/>
  </r>
  <r>
    <s v="G162277606"/>
    <x v="3"/>
    <n v="5"/>
    <n v="3"/>
    <n v="600"/>
    <n v="580000"/>
    <n v="966.66666666666663"/>
    <n v="580000"/>
    <s v="دور - الرياض - بدر ( عريض )"/>
    <s v="بدر، جنوب الرياض، الرياض"/>
    <x v="1"/>
    <s v="حي بدر"/>
    <s v="الرياض"/>
    <s v="إسكان سلمان للتسويق العقاري"/>
  </r>
  <r>
    <s v="J954293444"/>
    <x v="0"/>
    <n v="3"/>
    <n v="4"/>
    <n v="124"/>
    <n v="580000"/>
    <n v="4677.4193548387093"/>
    <n v="580000"/>
    <s v="شقة للبيع في  السويدي، غرب الرياض"/>
    <s v="السويدي، غرب الرياض، الرياض"/>
    <x v="3"/>
    <s v="حي السويدي"/>
    <s v="الرياض"/>
    <s v="شركة نجمة التميز للعقارات"/>
  </r>
  <r>
    <s v="X826648666"/>
    <x v="0"/>
    <n v="3"/>
    <n v="3"/>
    <n v="124"/>
    <n v="580000"/>
    <n v="4677.4193548387093"/>
    <n v="580000"/>
    <s v="شقة للبيع في  السويدي، غرب الرياض"/>
    <s v="السويدي، غرب الرياض، الرياض"/>
    <x v="3"/>
    <s v="حي السويدي"/>
    <s v="الرياض"/>
    <s v="​فردي / مالك"/>
  </r>
  <r>
    <s v="I468237196"/>
    <x v="0"/>
    <n v="3"/>
    <n v="4"/>
    <n v="124"/>
    <n v="580000"/>
    <n v="4677.4193548387093"/>
    <n v="580000"/>
    <s v="شقة للبيع في السويدي، غرب الرياض"/>
    <s v="السويدي، غرب الرياض، الرياض"/>
    <x v="3"/>
    <s v="حي السويدي"/>
    <s v="الرياض"/>
    <s v="شركة نجمة التميز للعقارات"/>
  </r>
  <r>
    <s v="V578995413"/>
    <x v="0"/>
    <n v="4"/>
    <n v="4"/>
    <n v="124"/>
    <n v="580000"/>
    <n v="4677.4193548387093"/>
    <n v="580000"/>
    <s v="شقة للبيع في السويدي, غرب الرياض"/>
    <s v="السويدي، غرب الرياض، الرياض"/>
    <x v="3"/>
    <s v="حي السويدي"/>
    <s v="الرياض"/>
    <s v="​فردي / مالك"/>
  </r>
  <r>
    <s v="E382528629"/>
    <x v="0"/>
    <n v="3"/>
    <n v="3"/>
    <n v="124"/>
    <n v="580000"/>
    <n v="4677.4193548387093"/>
    <n v="580000"/>
    <s v="شقق فاخرة للبيع في السويدي، غرب الرياض"/>
    <s v="السويدي، غرب الرياض، الرياض"/>
    <x v="3"/>
    <s v="حي السويدي"/>
    <s v="الرياض"/>
    <s v="شركة نجمة التميز للعقارات"/>
  </r>
  <r>
    <s v="K032706222"/>
    <x v="0"/>
    <n v="3"/>
    <n v="4"/>
    <n v="124"/>
    <n v="580000"/>
    <n v="4677.4193548387093"/>
    <n v="580000"/>
    <s v="شقة للبيع في السويدي، غرب الرياض"/>
    <s v="السويدي، غرب الرياض، الرياض"/>
    <x v="3"/>
    <s v="حي السويدي"/>
    <s v="الرياض"/>
    <s v="​فردي / مالك"/>
  </r>
  <r>
    <s v="X468237196"/>
    <x v="0"/>
    <n v="3"/>
    <n v="4"/>
    <n v="124"/>
    <n v="580000"/>
    <n v="4677.4193548387093"/>
    <n v="580000"/>
    <s v="شقة للبيع في السويدي، غرب الرياض"/>
    <s v="السويدي، غرب الرياض، الرياض"/>
    <x v="3"/>
    <s v="حي السويدي"/>
    <s v="الرياض"/>
    <s v="شركة نجمة التميز للعقارات"/>
  </r>
  <r>
    <s v="N790841066"/>
    <x v="0"/>
    <n v="3"/>
    <n v="3"/>
    <n v="157"/>
    <n v="585000"/>
    <n v="3726.1146496815286"/>
    <n v="585000"/>
    <s v="شقة للبيع في الزهراء، غرب الرياض"/>
    <s v="الزهرة، غرب الرياض، الرياض"/>
    <x v="3"/>
    <s v="حي الزهرة"/>
    <s v="الرياض"/>
    <s v="​فردي / مالك"/>
  </r>
  <r>
    <s v="T771872957"/>
    <x v="0"/>
    <n v="3"/>
    <n v="3"/>
    <n v="893"/>
    <n v="590000"/>
    <n v="660.69428891377379"/>
    <n v="590000"/>
    <s v="شقة 3 غرف نوم للبيع في ظهرة لبن، الرياض"/>
    <s v="ظهرة لبن، غرب الرياض، الرياض"/>
    <x v="3"/>
    <s v="حي ظهرة لبن"/>
    <s v="الرياض"/>
    <s v="شركة صروح السعودية للتطوير والاستثمار العقاري"/>
  </r>
  <r>
    <s v="Q684327464"/>
    <x v="0"/>
    <n v="3"/>
    <n v="3"/>
    <n v="893"/>
    <n v="590000"/>
    <n v="660.69428891377379"/>
    <n v="590000"/>
    <s v="شقه للبيع ظهرة لبن"/>
    <s v="ظهرة لبن، غرب الرياض، الرياض"/>
    <x v="3"/>
    <s v="حي ظهرة لبن"/>
    <s v="الرياض"/>
    <s v="شركة صروح السعودية للتطوير والاستثمار العقاري"/>
  </r>
  <r>
    <s v="W255658749"/>
    <x v="0"/>
    <n v="3"/>
    <n v="3"/>
    <n v="893"/>
    <n v="590000"/>
    <n v="660.69428891377379"/>
    <n v="590000"/>
    <s v="شقة للبيع في ظهرة لبن، غرب الرياض"/>
    <s v="ظهرة لبن، غرب الرياض، الرياض"/>
    <x v="3"/>
    <s v="حي ظهرة لبن"/>
    <s v="الرياض"/>
    <s v="شركة صروح السعودية للتطوير والاستثمار العقاري"/>
  </r>
  <r>
    <s v="X611678674"/>
    <x v="0"/>
    <n v="3"/>
    <n v="3"/>
    <n v="131"/>
    <n v="590000"/>
    <n v="4503.8167938931301"/>
    <n v="590000"/>
    <s v="شقة للبيع في ظهرة لبن، غرب الرياض"/>
    <s v="ظهرة لبن، غرب الرياض، الرياض"/>
    <x v="3"/>
    <s v="حي ظهرة لبن"/>
    <s v="الرياض"/>
    <s v="شركة صروح السعودية للتطوير والاستثمار العقاري"/>
  </r>
  <r>
    <s v="Z221743073"/>
    <x v="3"/>
    <n v="4"/>
    <n v="4"/>
    <n v="297"/>
    <n v="590000"/>
    <n v="1986.5319865319866"/>
    <n v="590000"/>
    <s v="دور للبيع في العزيزية، جنوب الرياض"/>
    <s v="العزيزية، جنوب الرياض، الرياض"/>
    <x v="1"/>
    <s v="حي العزيزية"/>
    <s v="الرياض"/>
    <s v="شركه اساس الامل العقاريه"/>
  </r>
  <r>
    <s v="Z682785009"/>
    <x v="3"/>
    <n v="7"/>
    <n v="4"/>
    <n v="205"/>
    <n v="590000"/>
    <n v="2878.0487804878048"/>
    <n v="590000"/>
    <s v="دور للبيع في العزيزية، جنوب الرياض"/>
    <s v="العزيزية، جنوب الرياض، الرياض"/>
    <x v="1"/>
    <s v="حي العزيزية"/>
    <s v="الرياض"/>
    <s v="​فردي / مالك"/>
  </r>
  <r>
    <s v="T597564429"/>
    <x v="3"/>
    <n v="7"/>
    <n v="4"/>
    <n v="205"/>
    <n v="590000"/>
    <n v="2878.0487804878048"/>
    <n v="590000"/>
    <s v="دور للبيع في حي العزيزية، جنوب الرياض"/>
    <s v="العزيزية، جنوب الرياض، الرياض"/>
    <x v="1"/>
    <s v="حي العزيزية"/>
    <s v="الرياض"/>
    <s v="​فردي / مالك"/>
  </r>
  <r>
    <s v="Q666681674"/>
    <x v="3"/>
    <n v="7"/>
    <n v="4"/>
    <n v="205"/>
    <n v="590000"/>
    <n v="2878.0487804878048"/>
    <n v="590000"/>
    <s v="دور للبيع في العزيزية، جنوب الرياض"/>
    <s v="العزيزية، جنوب الرياض، الرياض"/>
    <x v="1"/>
    <s v="حي العزيزية"/>
    <s v="الرياض"/>
    <s v="إسكان سلمان للتسويق العقاري"/>
  </r>
  <r>
    <s v="T373465470"/>
    <x v="0"/>
    <n v="2"/>
    <n v="3"/>
    <n v="136"/>
    <n v="599000"/>
    <n v="4404.411764705882"/>
    <n v="599000"/>
    <s v="شقة للبيع في الرمال, شرق الرياض"/>
    <s v="الرمال، شرق الرياض، الرياض"/>
    <x v="0"/>
    <s v="حي الرمال"/>
    <s v="الرياض"/>
    <s v="شركة وسام العقارية"/>
  </r>
  <r>
    <s v="P594943733"/>
    <x v="4"/>
    <n v="0"/>
    <n v="0"/>
    <n v="174"/>
    <n v="600000"/>
    <n v="3448.2758620689656"/>
    <n v="600000"/>
    <s v="شقق للبيع في السويدي, غرب الرياض"/>
    <s v="السويدي، غرب الرياض، الرياض"/>
    <x v="3"/>
    <s v="حي السويدي"/>
    <s v="الرياض"/>
    <s v="​فردي / مالك"/>
  </r>
  <r>
    <s v="M376580061"/>
    <x v="0"/>
    <n v="3"/>
    <n v="2"/>
    <n v="140"/>
    <n v="600000"/>
    <n v="4285.7142857142853"/>
    <n v="600000"/>
    <s v="شقة للبيع في الرمال, شرق الرياض"/>
    <s v="الرمال، شرق الرياض، الرياض"/>
    <x v="0"/>
    <s v="حي الرمال"/>
    <s v="الرياض"/>
    <s v="​فردي / مالك"/>
  </r>
  <r>
    <s v="U848614168"/>
    <x v="1"/>
    <n v="0"/>
    <n v="0"/>
    <n v="400"/>
    <n v="600000"/>
    <n v="1500"/>
    <n v="600000"/>
    <s v="أرض للبيع في  عريض، جنوب الرياض"/>
    <s v="عريض، جنوب الرياض، الرياض"/>
    <x v="1"/>
    <s v="حي عريض"/>
    <s v="الرياض"/>
    <s v="​فردي / مالك"/>
  </r>
  <r>
    <s v="R909930328"/>
    <x v="3"/>
    <n v="4"/>
    <n v="6"/>
    <n v="266"/>
    <n v="600000"/>
    <n v="2255.6390977443607"/>
    <n v="600000"/>
    <s v="دور للبيع في بدر, جنوب الرياض"/>
    <s v="بدر، جنوب الرياض، الرياض"/>
    <x v="1"/>
    <s v="حي بدر"/>
    <s v="الرياض"/>
    <s v="مكتب عبدالعزيز ياسين محمد العجلاني للخدمات العقارية"/>
  </r>
  <r>
    <s v="G531950070"/>
    <x v="0"/>
    <n v="3"/>
    <n v="2"/>
    <n v="341"/>
    <n v="600000"/>
    <n v="1759.5307917888563"/>
    <n v="600000"/>
    <s v="شقة للبيع في القادسية, شرق الرياض"/>
    <s v="الرمال، شرق الرياض، الرياض"/>
    <x v="0"/>
    <s v="حي الرمال"/>
    <s v="الرياض"/>
    <s v="مكتب تميز البلاد للخدمات العقارية"/>
  </r>
  <r>
    <s v="H556324367"/>
    <x v="0"/>
    <n v="1"/>
    <n v="1"/>
    <n v="63"/>
    <n v="600000"/>
    <n v="9523.8095238095229"/>
    <n v="600000"/>
    <s v="شقة - الرياض - الرمال"/>
    <s v="الرمال، شرق الرياض، الرياض"/>
    <x v="0"/>
    <s v="حي الرمال"/>
    <s v="الرياض"/>
    <s v="إسكان سلمان للتسويق العقاري"/>
  </r>
  <r>
    <s v="I556324367"/>
    <x v="0"/>
    <n v="1"/>
    <n v="1"/>
    <n v="63"/>
    <n v="600000"/>
    <n v="9523.8095238095229"/>
    <n v="600000"/>
    <s v="شقة - الرياض - الرمال"/>
    <s v="الرمال، شرق الرياض، الرياض"/>
    <x v="0"/>
    <s v="حي الرمال"/>
    <s v="الرياض"/>
    <s v="إسكان سلمان للتسويق العقاري"/>
  </r>
  <r>
    <s v="O198270776"/>
    <x v="3"/>
    <n v="4"/>
    <n v="4"/>
    <n v="203"/>
    <n v="600000"/>
    <n v="2955.6650246305417"/>
    <n v="600000"/>
    <s v="شقة 4 غرف نوم للبيع في بدر، الرياض"/>
    <s v="بدر، جنوب الرياض، الرياض"/>
    <x v="1"/>
    <s v="حي بدر"/>
    <s v="الرياض"/>
    <s v="​فردي / مالك"/>
  </r>
  <r>
    <s v="K325534928"/>
    <x v="4"/>
    <n v="3"/>
    <n v="4"/>
    <n v="500"/>
    <n v="600000"/>
    <n v="1200"/>
    <n v="600000"/>
    <s v="عمارة للبيع في الزهرة، الرياض"/>
    <s v="الزهرة، غرب الرياض، الرياض"/>
    <x v="3"/>
    <s v="حي الزهرة"/>
    <s v="الرياض"/>
    <s v="شركة منسوب للتطوير العقاري"/>
  </r>
  <r>
    <s v="W661355081"/>
    <x v="3"/>
    <n v="3"/>
    <n v="3"/>
    <n v="228"/>
    <n v="600000"/>
    <n v="2631.5789473684213"/>
    <n v="600000"/>
    <s v="دور للبيع في بدر, جنوب الرياض"/>
    <s v="بدر، جنوب الرياض، الرياض"/>
    <x v="1"/>
    <s v="حي بدر"/>
    <s v="الرياض"/>
    <s v="​فردي / مالك"/>
  </r>
  <r>
    <s v="Y288795228"/>
    <x v="1"/>
    <n v="0"/>
    <n v="0"/>
    <n v="300"/>
    <n v="600000"/>
    <n v="2000"/>
    <n v="600000"/>
    <s v="أرض سكنية للبيع في الوسام، الرياض"/>
    <s v="الوسام، الرياض"/>
    <x v="0"/>
    <s v="حي الوسام"/>
    <s v="الرياض"/>
    <s v="شركة الأجدل للعقارات"/>
  </r>
  <r>
    <s v="T013029495"/>
    <x v="2"/>
    <n v="7"/>
    <n v="5"/>
    <n v="413"/>
    <n v="600000"/>
    <n v="1452.7845036319613"/>
    <n v="600000"/>
    <s v="فيلا للبيع في الحائر، الرياض"/>
    <s v="الحائر، الرياض"/>
    <x v="1"/>
    <s v="حي الحائر"/>
    <s v="الرياض"/>
    <s v="مكتب الاحمدي للعقارات"/>
  </r>
  <r>
    <s v="I797471380"/>
    <x v="3"/>
    <n v="3"/>
    <n v="3"/>
    <n v="143"/>
    <n v="610000"/>
    <n v="4265.734265734266"/>
    <n v="610000"/>
    <s v="دور للبيع في عكاظ، جنوب الرياض"/>
    <s v="عكاظ، جنوب الرياض، الرياض"/>
    <x v="1"/>
    <s v="حي عكاظ"/>
    <s v="الرياض"/>
    <s v="​فردي / مالك"/>
  </r>
  <r>
    <s v="X020994728"/>
    <x v="3"/>
    <n v="4"/>
    <n v="3"/>
    <n v="161"/>
    <n v="610000"/>
    <n v="3788.8198757763976"/>
    <n v="610000"/>
    <s v="دور للايجار في  عكاظ، جنوب الرياض"/>
    <s v="عكاظ، جنوب الرياض، الرياض"/>
    <x v="1"/>
    <s v="حي عكاظ"/>
    <s v="الرياض"/>
    <s v="​فردي / مالك"/>
  </r>
  <r>
    <s v="Q797471380"/>
    <x v="3"/>
    <n v="3"/>
    <n v="3"/>
    <n v="143"/>
    <n v="610000"/>
    <n v="4265.734265734266"/>
    <n v="610000"/>
    <s v="دور للبيع في عكاظ، جنوب الرياض"/>
    <s v="عكاظ، جنوب الرياض، الرياض"/>
    <x v="1"/>
    <s v="حي عكاظ"/>
    <s v="الرياض"/>
    <s v="​فردي / مالك"/>
  </r>
  <r>
    <s v="R747133826"/>
    <x v="3"/>
    <n v="5"/>
    <n v="4"/>
    <n v="325"/>
    <n v="610000"/>
    <n v="1876.9230769230769"/>
    <n v="610000"/>
    <s v="دور للبيع في بدر، جنوب الرياض"/>
    <s v="بدر، جنوب الرياض، الرياض"/>
    <x v="1"/>
    <s v="حي بدر"/>
    <s v="الرياض"/>
    <s v="​فردي / مالك"/>
  </r>
  <r>
    <s v="M094741666"/>
    <x v="0"/>
    <n v="2"/>
    <n v="2"/>
    <n v="103"/>
    <n v="610000"/>
    <n v="5922.3300970873788"/>
    <n v="610000"/>
    <s v="شقة للبيع في القادسية, شرق الرياض"/>
    <s v="القادسية، شرق الرياض، الرياض"/>
    <x v="0"/>
    <s v="حي القادسية"/>
    <s v="الرياض"/>
    <s v="إسكان سلمان للتسويق العقاري"/>
  </r>
  <r>
    <s v="C345839661"/>
    <x v="0"/>
    <n v="5"/>
    <n v="3"/>
    <n v="136"/>
    <n v="615000"/>
    <n v="4522.0588235294117"/>
    <n v="615000"/>
    <s v="شقة للبيع في العريجاء الغربية، غرب الرياض"/>
    <s v="العريجاء الغربية، غرب الرياض، الرياض"/>
    <x v="3"/>
    <s v="حي العريجاء الغربية"/>
    <s v="الرياض"/>
    <s v="​فردي / مالك"/>
  </r>
  <r>
    <s v="A121741709"/>
    <x v="3"/>
    <n v="3"/>
    <n v="3"/>
    <n v="175"/>
    <n v="620000"/>
    <n v="3542.8571428571427"/>
    <n v="620000"/>
    <s v="دور 3 غرف نوم للبيع في بدر، الرياض"/>
    <s v="بدر، جنوب الرياض، الرياض"/>
    <x v="1"/>
    <s v="حي بدر"/>
    <s v="الرياض"/>
    <s v="​فردي / مالك"/>
  </r>
  <r>
    <s v="K978389469"/>
    <x v="0"/>
    <n v="3"/>
    <n v="3"/>
    <n v="140"/>
    <n v="620000"/>
    <n v="4428.5714285714284"/>
    <n v="620000"/>
    <s v="شقة للبيع في الرمال، شرق الرياض"/>
    <s v="الرمال، شرق الرياض، الرياض"/>
    <x v="0"/>
    <s v="حي الرمال"/>
    <s v="الرياض"/>
    <s v="​فردي / مالك"/>
  </r>
  <r>
    <s v="S697226943"/>
    <x v="2"/>
    <n v="5"/>
    <n v="3"/>
    <n v="151"/>
    <n v="620000"/>
    <n v="4105.960264900662"/>
    <n v="620000"/>
    <s v="أدوار للبيع في شارع النورس، الرياض"/>
    <s v="الدار البيضاء، جنوب الرياض، الرياض"/>
    <x v="1"/>
    <s v="حي الدار البيضاء"/>
    <s v="الرياض"/>
    <s v="شركة حلول دارك العقارية"/>
  </r>
  <r>
    <s v="I768066941"/>
    <x v="3"/>
    <n v="5"/>
    <n v="4"/>
    <n v="325"/>
    <n v="620000"/>
    <n v="1907.6923076923076"/>
    <n v="620000"/>
    <s v="دور للبيع في بدر، جنوب الرياض"/>
    <s v="بدر، جنوب الرياض، الرياض"/>
    <x v="1"/>
    <s v="حي بدر"/>
    <s v="الرياض"/>
    <s v="​فردي / مالك"/>
  </r>
  <r>
    <s v="M430464573"/>
    <x v="0"/>
    <n v="4"/>
    <n v="4"/>
    <n v="118"/>
    <n v="630000"/>
    <n v="5338.9830508474579"/>
    <n v="630000"/>
    <s v="شقة للبيع في ظهرة لبن، غرب الرياض"/>
    <s v="ظهرة لبن، غرب الرياض، الرياض"/>
    <x v="3"/>
    <s v="حي ظهرة لبن"/>
    <s v="الرياض"/>
    <s v="​فردي / مالك"/>
  </r>
  <r>
    <s v="C369197703"/>
    <x v="0"/>
    <n v="3"/>
    <n v="3"/>
    <n v="123"/>
    <n v="630000"/>
    <n v="5121.9512195121952"/>
    <n v="630000"/>
    <s v="شقة 3 غرف نوم للبيع في ظهرة لبن، الرياض"/>
    <s v="ظهرة لبن، غرب الرياض، الرياض"/>
    <x v="3"/>
    <s v="حي ظهرة لبن"/>
    <s v="الرياض"/>
    <s v="شركة بنائات العقارية"/>
  </r>
  <r>
    <s v="C449034362"/>
    <x v="3"/>
    <n v="5"/>
    <n v="3"/>
    <n v="187"/>
    <n v="630000"/>
    <n v="3368.9839572192514"/>
    <n v="630000"/>
    <s v="دور للبيع في بدر، جنوب الرياض"/>
    <s v="بدر، جنوب الرياض، الرياض"/>
    <x v="1"/>
    <s v="حي بدر"/>
    <s v="الرياض"/>
    <s v="شركة حلول دارك العقارية"/>
  </r>
  <r>
    <s v="E712374039"/>
    <x v="3"/>
    <n v="3"/>
    <n v="3"/>
    <n v="184"/>
    <n v="630000"/>
    <n v="3423.913043478261"/>
    <n v="630000"/>
    <s v="دور للبيع في عكاظ، جنوب الرياض"/>
    <s v="عكاظ، جنوب الرياض، الرياض"/>
    <x v="1"/>
    <s v="حي عكاظ"/>
    <s v="الرياض"/>
    <s v="شركة نجمة التميز للعقارات"/>
  </r>
  <r>
    <s v="B456593550"/>
    <x v="3"/>
    <n v="5"/>
    <n v="3"/>
    <n v="201"/>
    <n v="630000"/>
    <n v="3134.3283582089553"/>
    <n v="630000"/>
    <s v="دور للبيع في بدر، جنوب الرياض"/>
    <s v="بدر، جنوب الرياض، الرياض"/>
    <x v="1"/>
    <s v="حي بدر"/>
    <s v="الرياض"/>
    <s v="شركة حلول دارك العقارية"/>
  </r>
  <r>
    <s v="C271925619"/>
    <x v="2"/>
    <n v="5"/>
    <n v="3"/>
    <n v="176"/>
    <n v="630000"/>
    <n v="3579.5454545454545"/>
    <n v="630000"/>
    <s v="دور علوي للبيع في طيبة، جنوب الرياض"/>
    <s v="طيبة، جنوب الرياض، الرياض"/>
    <x v="1"/>
    <s v="حي طيبة"/>
    <s v="الرياض"/>
    <s v="​فردي / مالك"/>
  </r>
  <r>
    <s v="J285446796"/>
    <x v="0"/>
    <n v="3"/>
    <n v="3"/>
    <n v="180"/>
    <n v="630000"/>
    <n v="3500"/>
    <n v="630000"/>
    <s v="شقة للبيع في السويدي، غرب الرياض"/>
    <s v="السويدي، غرب الرياض، الرياض"/>
    <x v="3"/>
    <s v="حي السويدي"/>
    <s v="الرياض"/>
    <s v="​فردي / مالك"/>
  </r>
  <r>
    <s v="B967196406"/>
    <x v="3"/>
    <n v="3"/>
    <n v="5"/>
    <n v="184"/>
    <n v="630000"/>
    <n v="3423.913043478261"/>
    <n v="630000"/>
    <s v="دور للبيع في عكاظ، جنوب الرياض"/>
    <s v="عكاظ، جنوب الرياض، الرياض"/>
    <x v="1"/>
    <s v="حي عكاظ"/>
    <s v="الرياض"/>
    <s v="​فردي / مالك"/>
  </r>
  <r>
    <s v="I809022238"/>
    <x v="0"/>
    <n v="5"/>
    <n v="4"/>
    <n v="152"/>
    <n v="630000"/>
    <n v="4144.7368421052633"/>
    <n v="630000"/>
    <s v="شقة للبيع في طويق, غرب الرياض"/>
    <s v="طويق، غرب الرياض، الرياض"/>
    <x v="3"/>
    <s v="حي طويق"/>
    <s v="الرياض"/>
    <s v="مكتب عبدالرحمن عبدالله الهويمل للعقارات"/>
  </r>
  <r>
    <s v="N377810082"/>
    <x v="1"/>
    <n v="0"/>
    <n v="0"/>
    <n v="711"/>
    <n v="900"/>
    <n v="900"/>
    <n v="639900"/>
    <s v="أرض سكنية للبيع في  الحائر، الرياض"/>
    <s v="الحائر، الرياض"/>
    <x v="1"/>
    <s v="حي الحائر"/>
    <s v="الرياض"/>
    <s v="​فردي / مالك"/>
  </r>
  <r>
    <s v="B657459984"/>
    <x v="3"/>
    <n v="6"/>
    <n v="3"/>
    <n v="193"/>
    <n v="640000"/>
    <n v="3316.0621761658031"/>
    <n v="640000"/>
    <s v="دور للبيع في بدر، جنوب الرياض"/>
    <s v="بدر، جنوب الرياض، الرياض"/>
    <x v="1"/>
    <s v="حي بدر"/>
    <s v="الرياض"/>
    <s v="​فردي / مالك"/>
  </r>
  <r>
    <s v="Y884894679"/>
    <x v="0"/>
    <n v="3"/>
    <n v="3"/>
    <n v="149"/>
    <n v="640000"/>
    <n v="4295.3020134228191"/>
    <n v="640000"/>
    <s v="شقة للبيع في حي طويق، غرب الرياض"/>
    <s v="طويق، غرب الرياض، الرياض"/>
    <x v="3"/>
    <s v="حي طويق"/>
    <s v="الرياض"/>
    <s v="​فردي / مالك"/>
  </r>
  <r>
    <s v="R282535282"/>
    <x v="0"/>
    <n v="3"/>
    <n v="3"/>
    <n v="149"/>
    <n v="640000"/>
    <n v="4295.3020134228191"/>
    <n v="640000"/>
    <s v="شقة للبيع في حي طويق، غرب الرياض"/>
    <s v="طويق، غرب الرياض، الرياض"/>
    <x v="3"/>
    <s v="حي طويق"/>
    <s v="الرياض"/>
    <s v="شركة عبدالله محمد الطبيشي للتطوير والاستثمار العقاري"/>
  </r>
  <r>
    <s v="R542945943"/>
    <x v="0"/>
    <n v="3"/>
    <n v="3"/>
    <n v="145"/>
    <n v="640000"/>
    <n v="4413.7931034482763"/>
    <n v="640000"/>
    <s v="شقة للبيع في حي طويق، غرب الرياض"/>
    <s v="طويق، غرب الرياض، الرياض"/>
    <x v="3"/>
    <s v="حي طويق"/>
    <s v="الرياض"/>
    <s v="شركة عبدالله محمد الطبيشي للتطوير والاستثمار العقاري"/>
  </r>
  <r>
    <s v="M966830306"/>
    <x v="3"/>
    <n v="4"/>
    <n v="3"/>
    <n v="343"/>
    <n v="645000"/>
    <n v="1880.466472303207"/>
    <n v="645000"/>
    <s v="دور للبيع في الخالدية، وسط الرياض"/>
    <s v="الخالدية، وسط الرياض، الرياض"/>
    <x v="2"/>
    <s v="حي الخالدية"/>
    <s v="الرياض"/>
    <s v="​فردي / مالك"/>
  </r>
  <r>
    <s v="E739553712"/>
    <x v="0"/>
    <n v="5"/>
    <n v="4"/>
    <n v="171"/>
    <n v="650000"/>
    <n v="3801.1695906432747"/>
    <n v="650000"/>
    <s v="شقه للبيع حي الغروب , الرياض"/>
    <s v="طويق، غرب الرياض، الرياض"/>
    <x v="3"/>
    <s v="حي طويق"/>
    <s v="الرياض"/>
    <s v="مكتب عبدالرحمن عبدالله الهويمل للعقارات"/>
  </r>
  <r>
    <s v="U845525076"/>
    <x v="0"/>
    <n v="3"/>
    <n v="3"/>
    <n v="153"/>
    <n v="650000"/>
    <n v="4248.3660130718954"/>
    <n v="650000"/>
    <s v="شقة 3 غرف نوم للبيع في السويدي، الرياض"/>
    <s v="السويدي، غرب الرياض، الرياض"/>
    <x v="3"/>
    <s v="حي السويدي"/>
    <s v="الرياض"/>
    <s v="​فردي / مالك"/>
  </r>
  <r>
    <s v="F588884204"/>
    <x v="0"/>
    <n v="4"/>
    <n v="3"/>
    <n v="125"/>
    <n v="650000"/>
    <n v="5200"/>
    <n v="650000"/>
    <s v="شقة للبيع في ظهرة لبن، غرب الرياض"/>
    <s v="ظهرة لبن، غرب الرياض، الرياض"/>
    <x v="3"/>
    <s v="حي ظهرة لبن"/>
    <s v="الرياض"/>
    <s v="​فردي / مالك"/>
  </r>
  <r>
    <s v="X492348743"/>
    <x v="3"/>
    <n v="5"/>
    <n v="3"/>
    <n v="199"/>
    <n v="650000"/>
    <n v="3266.3316582914572"/>
    <n v="650000"/>
    <s v="دور للبيع في  بدر، جنوب الرياض"/>
    <s v="بدر، جنوب الرياض، الرياض"/>
    <x v="1"/>
    <s v="حي بدر"/>
    <s v="الرياض"/>
    <s v="شركة حلول دارك العقارية"/>
  </r>
  <r>
    <s v="L010741269"/>
    <x v="0"/>
    <n v="3"/>
    <n v="3"/>
    <n v="140"/>
    <n v="650000"/>
    <n v="4642.8571428571431"/>
    <n v="650000"/>
    <s v="شقق للبيع في السويدي، غرب الرياض"/>
    <s v="السويدي، غرب الرياض، الرياض"/>
    <x v="3"/>
    <s v="حي السويدي"/>
    <s v="الرياض"/>
    <s v="شركة نجمة التميز للعقارات"/>
  </r>
  <r>
    <s v="N630683474"/>
    <x v="3"/>
    <n v="4"/>
    <n v="3"/>
    <n v="163"/>
    <n v="650000"/>
    <n v="3987.7300613496932"/>
    <n v="650000"/>
    <s v="دور للايجار في نمار، غرب الرياض"/>
    <s v="نمار، غرب الرياض، الرياض"/>
    <x v="3"/>
    <s v="حي نمار"/>
    <s v="الرياض"/>
    <s v="​فردي / مالك"/>
  </r>
  <r>
    <s v="R629003588"/>
    <x v="0"/>
    <n v="3"/>
    <n v="3"/>
    <n v="184"/>
    <n v="650000"/>
    <n v="3532.608695652174"/>
    <n v="650000"/>
    <s v="شقة للبيع في طويق، غرب الرياض"/>
    <s v="طويق، غرب الرياض، الرياض"/>
    <x v="3"/>
    <s v="حي طويق"/>
    <s v="الرياض"/>
    <s v="شركة نجمة التميز للعقارات"/>
  </r>
  <r>
    <s v="U614032379"/>
    <x v="0"/>
    <n v="3"/>
    <n v="3"/>
    <n v="184"/>
    <n v="650000"/>
    <n v="3532.608695652174"/>
    <n v="650000"/>
    <s v="شقة دورين للبيع في طويق، غرب الرياض"/>
    <s v="طويق، غرب الرياض، الرياض"/>
    <x v="3"/>
    <s v="حي طويق"/>
    <s v="الرياض"/>
    <s v="شركة نجمة التميز للعقارات"/>
  </r>
  <r>
    <s v="V317806220"/>
    <x v="3"/>
    <n v="6"/>
    <n v="3"/>
    <n v="174"/>
    <n v="650000"/>
    <n v="3735.632183908046"/>
    <n v="650000"/>
    <s v="دور - الرياض - عكاظ"/>
    <s v="عكاظ، جنوب الرياض، الرياض"/>
    <x v="1"/>
    <s v="حي عكاظ"/>
    <s v="الرياض"/>
    <s v="إسكان سلمان للتسويق العقاري"/>
  </r>
  <r>
    <s v="K998640712"/>
    <x v="0"/>
    <n v="3"/>
    <n v="3"/>
    <n v="750"/>
    <n v="650000"/>
    <n v="866.66666666666663"/>
    <n v="650000"/>
    <s v="شقة 3 غرف نوم للبيع في النسيم الغربي، الرياض"/>
    <s v="النسيم الغربي، شرق الرياض، الرياض"/>
    <x v="0"/>
    <s v="حي النسيم الغربي"/>
    <s v="الرياض"/>
    <s v="​فردي / مالك"/>
  </r>
  <r>
    <s v="A107478003"/>
    <x v="0"/>
    <n v="3"/>
    <n v="3"/>
    <n v="150"/>
    <n v="650000"/>
    <n v="4333.333333333333"/>
    <n v="650000"/>
    <s v="شقة للبيع في العوالي، غرب الرياض"/>
    <s v="العوالي، غرب الرياض، الرياض"/>
    <x v="3"/>
    <s v="حي العوالي"/>
    <s v="الرياض"/>
    <s v="​فردي / مالك"/>
  </r>
  <r>
    <s v="O408615968"/>
    <x v="0"/>
    <n v="6"/>
    <n v="4"/>
    <n v="219"/>
    <n v="650000"/>
    <n v="2968.0365296803652"/>
    <n v="650000"/>
    <s v="شقة للبيع في الدار البيضاء، جنوب الرياض"/>
    <s v="الدار البيضاء، جنوب الرياض، الرياض"/>
    <x v="1"/>
    <s v="حي الدار البيضاء"/>
    <s v="الرياض"/>
    <s v="مكتب الاحمدي للعقارات"/>
  </r>
  <r>
    <s v="P054457861"/>
    <x v="5"/>
    <n v="2"/>
    <n v="2"/>
    <n v="900"/>
    <n v="650000"/>
    <n v="722.22222222222217"/>
    <n v="650000"/>
    <s v="إستراحة للبيع في العريض، جنوب الرياض"/>
    <s v="عريض، جنوب الرياض، الرياض"/>
    <x v="1"/>
    <s v="حي عريض"/>
    <s v="الرياض"/>
    <s v="​فردي / مالك"/>
  </r>
  <r>
    <s v="Z746604801"/>
    <x v="0"/>
    <n v="4"/>
    <n v="3"/>
    <n v="125"/>
    <n v="650000"/>
    <n v="5200"/>
    <n v="650000"/>
    <s v="شقة 4 غرف نوم للبيع ظهرة لبن، الرياض"/>
    <s v="ظهرة لبن، غرب الرياض، الرياض"/>
    <x v="3"/>
    <s v="حي ظهرة لبن"/>
    <s v="الرياض"/>
    <s v="شركة بنائات العقارية"/>
  </r>
  <r>
    <s v="Y429771485"/>
    <x v="0"/>
    <n v="3"/>
    <n v="3"/>
    <n v="150"/>
    <n v="650000"/>
    <n v="4333.333333333333"/>
    <n v="650000"/>
    <s v="شقة للبيع في العوالي، غرب الرياض"/>
    <s v="العوالي، غرب الرياض، الرياض"/>
    <x v="3"/>
    <s v="حي العوالي"/>
    <s v="الرياض"/>
    <s v="شركة نجمة التميز للعقارات"/>
  </r>
  <r>
    <s v="E637050772"/>
    <x v="0"/>
    <n v="3"/>
    <n v="2"/>
    <n v="219"/>
    <n v="650000"/>
    <n v="2968.0365296803652"/>
    <n v="650000"/>
    <s v="شقة للبيع في الدار البيضاء، جنوب الرياض"/>
    <s v="الدار البيضاء، جنوب الرياض، الرياض"/>
    <x v="1"/>
    <s v="حي الدار البيضاء"/>
    <s v="الرياض"/>
    <s v="مكتب الاحمدي للعقارات"/>
  </r>
  <r>
    <s v="Z376230171"/>
    <x v="3"/>
    <n v="3"/>
    <n v="3"/>
    <n v="342"/>
    <n v="654000"/>
    <n v="1912.280701754386"/>
    <n v="654000"/>
    <s v="دور للبيع في الخالدية, وسط الرياض"/>
    <s v="الخالدية، وسط الرياض، الرياض"/>
    <x v="2"/>
    <s v="حي الخالدية"/>
    <s v="الرياض"/>
    <s v="​فردي / مالك"/>
  </r>
  <r>
    <s v="Z314302961"/>
    <x v="0"/>
    <n v="3"/>
    <n v="4"/>
    <n v="177"/>
    <n v="655159"/>
    <n v="3701.463276836158"/>
    <n v="655159"/>
    <s v="شقة للبيع في طويق, غرب الرياض"/>
    <s v="طويق، غرب الرياض، الرياض"/>
    <x v="3"/>
    <s v="حي طويق"/>
    <s v="الرياض"/>
    <s v="شركة مدى الاعصار العقارية"/>
  </r>
  <r>
    <s v="D254189383"/>
    <x v="3"/>
    <n v="3"/>
    <n v="3"/>
    <n v="202"/>
    <n v="660000"/>
    <n v="3267.3267326732675"/>
    <n v="660000"/>
    <s v="دور للبيع في الطيبة، جنوب الرياض"/>
    <s v="طيبة، جنوب الرياض، الرياض"/>
    <x v="1"/>
    <s v="حي طيبة"/>
    <s v="الرياض"/>
    <s v="​فردي / مالك"/>
  </r>
  <r>
    <s v="N982675278"/>
    <x v="0"/>
    <n v="3"/>
    <n v="2"/>
    <n v="124"/>
    <n v="660000"/>
    <n v="5322.5806451612907"/>
    <n v="660000"/>
    <s v="شقق جديده"/>
    <s v="ظهرة لبن، غرب الرياض، الرياض"/>
    <x v="3"/>
    <s v="حي ظهرة لبن"/>
    <s v="الرياض"/>
    <s v="​فردي / مالك"/>
  </r>
  <r>
    <s v="B585336207"/>
    <x v="3"/>
    <n v="3"/>
    <n v="3"/>
    <n v="202"/>
    <n v="660000"/>
    <n v="3267.3267326732675"/>
    <n v="660000"/>
    <s v="أدوار للبيع في طيبة، جنوب الرياض"/>
    <s v="طيبة، جنوب الرياض، الرياض"/>
    <x v="1"/>
    <s v="حي طيبة"/>
    <s v="الرياض"/>
    <s v="​فردي / مالك"/>
  </r>
  <r>
    <s v="K057806927"/>
    <x v="3"/>
    <n v="3"/>
    <n v="4"/>
    <n v="202"/>
    <n v="660000"/>
    <n v="3267.3267326732675"/>
    <n v="660000"/>
    <s v="منزل جميل ومريح جدا جدا"/>
    <s v="طيبة، جنوب الرياض، الرياض"/>
    <x v="1"/>
    <s v="حي طيبة"/>
    <s v="الرياض"/>
    <s v="​فردي / مالك"/>
  </r>
  <r>
    <s v="O873792046"/>
    <x v="3"/>
    <n v="3"/>
    <n v="5"/>
    <n v="202"/>
    <n v="660000"/>
    <n v="3267.3267326732675"/>
    <n v="660000"/>
    <s v="منزل جميل"/>
    <s v="طيبة، جنوب الرياض، الرياض"/>
    <x v="1"/>
    <s v="حي طيبة"/>
    <s v="الرياض"/>
    <s v="​فردي / مالك"/>
  </r>
  <r>
    <s v="M925612559"/>
    <x v="3"/>
    <n v="3"/>
    <n v="5"/>
    <n v="202"/>
    <n v="660000"/>
    <n v="3267.3267326732675"/>
    <n v="660000"/>
    <s v="منزا جميل جدا"/>
    <s v="طيبة، جنوب الرياض، الرياض"/>
    <x v="1"/>
    <s v="حي طيبة"/>
    <s v="الرياض"/>
    <s v="​فردي / مالك"/>
  </r>
  <r>
    <s v="B968186191"/>
    <x v="3"/>
    <n v="3"/>
    <n v="5"/>
    <n v="202"/>
    <n v="660000"/>
    <n v="3267.3267326732675"/>
    <n v="660000"/>
    <s v="منزل جميل ومريح جدا"/>
    <s v="طيبة، جنوب الرياض، الرياض"/>
    <x v="1"/>
    <s v="حي طيبة"/>
    <s v="الرياض"/>
    <s v="​فردي / مالك"/>
  </r>
  <r>
    <s v="V753324851"/>
    <x v="3"/>
    <n v="3"/>
    <n v="5"/>
    <n v="202"/>
    <n v="660000"/>
    <n v="3267.3267326732675"/>
    <n v="660000"/>
    <s v="منزل جميل وجديد"/>
    <s v="طيبة، جنوب الرياض، الرياض"/>
    <x v="1"/>
    <s v="حي طيبة"/>
    <s v="الرياض"/>
    <s v="​فردي / مالك"/>
  </r>
  <r>
    <s v="R566021510"/>
    <x v="1"/>
    <n v="0"/>
    <n v="0"/>
    <n v="300"/>
    <n v="660000"/>
    <n v="2200"/>
    <n v="660000"/>
    <s v="أرض للبيع في الوسام، الرياض"/>
    <s v="الوسام، الرياض"/>
    <x v="0"/>
    <s v="حي الوسام"/>
    <s v="الرياض"/>
    <s v="شركة الأجدل للعقارات"/>
  </r>
  <r>
    <s v="A922756313"/>
    <x v="1"/>
    <n v="0"/>
    <n v="0"/>
    <n v="300"/>
    <n v="660000"/>
    <n v="2200"/>
    <n v="660000"/>
    <s v="أرض سكنية للبيع في الرحاب، شرق الرياض"/>
    <s v="السحاب، الرياض"/>
    <x v="0"/>
    <s v="حي السحاب"/>
    <s v="الرياض"/>
    <s v="مكتب الجودة والمرونة للعقارات"/>
  </r>
  <r>
    <s v="Z255908560"/>
    <x v="0"/>
    <n v="3"/>
    <n v="2"/>
    <n v="175"/>
    <n v="663400"/>
    <n v="3790.8571428571427"/>
    <n v="663400"/>
    <s v="  فرصة فريدة لامتلاك شقة في طويق - غرب الرياض"/>
    <s v="طويق، غرب الرياض، الرياض"/>
    <x v="3"/>
    <s v="حي طويق"/>
    <s v="الرياض"/>
    <s v="​فردي / مالك"/>
  </r>
  <r>
    <s v="G793652683"/>
    <x v="0"/>
    <n v="3"/>
    <n v="3"/>
    <n v="150"/>
    <n v="670000"/>
    <n v="4466.666666666667"/>
    <n v="670000"/>
    <s v="شقة للبيع في العوالي، غرب الرياض"/>
    <s v="العوالي، غرب الرياض، الرياض"/>
    <x v="3"/>
    <s v="حي العوالي"/>
    <s v="الرياض"/>
    <s v="​فردي / مالك"/>
  </r>
  <r>
    <s v="Q859159721"/>
    <x v="0"/>
    <n v="6"/>
    <n v="4"/>
    <n v="241"/>
    <n v="670000"/>
    <n v="2780.0829875518671"/>
    <n v="670000"/>
    <s v="شقة تاون هاوس - الرياض - حي بدر"/>
    <s v="بدر، جنوب الرياض، الرياض"/>
    <x v="1"/>
    <s v="حي بدر"/>
    <s v="الرياض"/>
    <s v="إسكان سلمان للتسويق العقاري"/>
  </r>
  <r>
    <s v="W150715572"/>
    <x v="3"/>
    <n v="3"/>
    <n v="3"/>
    <n v="224"/>
    <n v="670000"/>
    <n v="2991.0714285714284"/>
    <n v="670000"/>
    <s v="دور للبيع في حي بدر، جنوب الرياض"/>
    <s v="بدر، جنوب الرياض، الرياض"/>
    <x v="1"/>
    <s v="حي بدر"/>
    <s v="الرياض"/>
    <s v="إسكان سلمان للتسويق العقاري"/>
  </r>
  <r>
    <s v="L464488018"/>
    <x v="3"/>
    <n v="0"/>
    <n v="0"/>
    <n v="143"/>
    <n v="670000"/>
    <n v="4685.3146853146854"/>
    <n v="670000"/>
    <s v="دور للبيع في شارع محمد بن عوجان ، حي الحزم ، الرياض ، منطقة الرياض"/>
    <s v="الحزم، غرب الرياض، الرياض"/>
    <x v="3"/>
    <s v="حي الحزم"/>
    <s v="الرياض"/>
    <s v="مؤسسة متعب القرشي للخدمات العقارية"/>
  </r>
  <r>
    <s v="R382055350"/>
    <x v="0"/>
    <n v="3"/>
    <n v="3"/>
    <n v="150"/>
    <n v="670000"/>
    <n v="4466.666666666667"/>
    <n v="670000"/>
    <s v="شقة للبيع في العوالي، غرب الرياض"/>
    <s v="العوالي، غرب الرياض، الرياض"/>
    <x v="3"/>
    <s v="حي العوالي"/>
    <s v="الرياض"/>
    <s v="شركة نجمة التميز للعقارات"/>
  </r>
  <r>
    <s v="R718662292"/>
    <x v="0"/>
    <n v="6"/>
    <n v="4"/>
    <n v="241"/>
    <n v="670000"/>
    <n v="2780.0829875518671"/>
    <n v="670000"/>
    <s v="شقة تاون هاوس للبيع في بدر، جنوب الرياض"/>
    <s v="بدر، جنوب الرياض، الرياض"/>
    <x v="1"/>
    <s v="حي بدر"/>
    <s v="الرياض"/>
    <s v="​فردي / مالك"/>
  </r>
  <r>
    <s v="F539855202"/>
    <x v="0"/>
    <n v="5"/>
    <n v="4"/>
    <n v="150"/>
    <n v="670000"/>
    <n v="4466.666666666667"/>
    <n v="670000"/>
    <s v="شقة للبيع في العوالي، غرب الرياض"/>
    <s v="العوالي، غرب الرياض، الرياض"/>
    <x v="3"/>
    <s v="حي العوالي"/>
    <s v="الرياض"/>
    <s v="مكتب طريق الاسكان"/>
  </r>
  <r>
    <s v="R643048236"/>
    <x v="0"/>
    <n v="4"/>
    <n v="4"/>
    <n v="154"/>
    <n v="679997"/>
    <n v="4415.5649350649346"/>
    <n v="679997"/>
    <s v="شقة للبيع في ضاحية نمار، غرب الرياض"/>
    <s v="ضاحية نمار، غرب الرياض، الرياض"/>
    <x v="3"/>
    <s v="حي ضاحية نمار"/>
    <s v="الرياض"/>
    <s v="شركة نجمة التميز للعقارات"/>
  </r>
  <r>
    <s v="I589329123"/>
    <x v="0"/>
    <n v="4"/>
    <n v="3"/>
    <n v="154"/>
    <n v="679997"/>
    <n v="4415.5649350649346"/>
    <n v="679997"/>
    <s v="شقة للبيع في ضاحية نمار، غرب الرياض"/>
    <s v="ضاحية نمار، غرب الرياض، الرياض"/>
    <x v="3"/>
    <s v="حي ضاحية نمار"/>
    <s v="الرياض"/>
    <s v="​فردي / مالك"/>
  </r>
  <r>
    <s v="L644597154"/>
    <x v="3"/>
    <n v="4"/>
    <n v="4"/>
    <n v="174"/>
    <n v="680000"/>
    <n v="3908.0459770114944"/>
    <n v="680000"/>
    <s v="دور للبيع في السويدي، غرب الرياض"/>
    <s v="السويدي، غرب الرياض، الرياض"/>
    <x v="3"/>
    <s v="حي السويدي"/>
    <s v="الرياض"/>
    <s v="​فردي / مالك"/>
  </r>
  <r>
    <s v="K483405986"/>
    <x v="0"/>
    <n v="4"/>
    <n v="3"/>
    <n v="132"/>
    <n v="680000"/>
    <n v="5151.515151515152"/>
    <n v="680000"/>
    <s v="شقق جديدة للبيع في السعادة، شرق الرياض"/>
    <s v="السعادة، شرق الرياض، الرياض"/>
    <x v="0"/>
    <s v="حي السعادة"/>
    <s v="الرياض"/>
    <s v="​فردي / مالك"/>
  </r>
  <r>
    <s v="K259497666"/>
    <x v="0"/>
    <n v="3"/>
    <n v="3"/>
    <n v="136"/>
    <n v="680000"/>
    <n v="5000"/>
    <n v="680000"/>
    <s v="شقة للبيع في حي السعادة، شرق الرياض"/>
    <s v="السعادة، شرق الرياض، الرياض"/>
    <x v="0"/>
    <s v="حي السعادة"/>
    <s v="الرياض"/>
    <s v="​فردي / مالك"/>
  </r>
  <r>
    <s v="D174760725"/>
    <x v="4"/>
    <n v="4"/>
    <n v="3"/>
    <n v="137"/>
    <n v="680000"/>
    <n v="4963.5036496350367"/>
    <n v="680000"/>
    <s v="شقق سكنية جديدة للبيع في حي السعادة"/>
    <s v="السعادة، شرق الرياض، الرياض"/>
    <x v="0"/>
    <s v="حي السعادة"/>
    <s v="الرياض"/>
    <s v="شركة رحابة العقارية"/>
  </r>
  <r>
    <s v="Z312254849"/>
    <x v="0"/>
    <n v="3"/>
    <n v="3"/>
    <n v="132"/>
    <n v="680000"/>
    <n v="5151.515151515152"/>
    <n v="680000"/>
    <s v="شقة للبيع في حي السعادة، شرق الرياض"/>
    <s v="السعادة، شرق الرياض، الرياض"/>
    <x v="0"/>
    <s v="حي السعادة"/>
    <s v="الرياض"/>
    <s v="​فردي / مالك"/>
  </r>
  <r>
    <s v="D215878541"/>
    <x v="3"/>
    <n v="4"/>
    <n v="3"/>
    <n v="171"/>
    <n v="680000"/>
    <n v="3976.6081871345027"/>
    <n v="680000"/>
    <s v="دور للبيع في الحزم، غرب الرياض"/>
    <s v="الحزم، غرب الرياض، الرياض"/>
    <x v="3"/>
    <s v="حي الحزم"/>
    <s v="الرياض"/>
    <s v="التشييد الراقي للتطوير العقاري"/>
  </r>
  <r>
    <s v="G249518315"/>
    <x v="0"/>
    <n v="2"/>
    <n v="3"/>
    <n v="520"/>
    <n v="680000"/>
    <n v="1307.6923076923076"/>
    <n v="680000"/>
    <s v=" شقة للبيع - حي النسيم، الصفوة "/>
    <s v="النسيم الشرقي، شرق الرياض، الرياض"/>
    <x v="0"/>
    <s v="حي النسيم الشرقي"/>
    <s v="الرياض"/>
    <s v="​فردي / مالك"/>
  </r>
  <r>
    <s v="X585668620"/>
    <x v="0"/>
    <n v="4"/>
    <n v="4"/>
    <n v="227"/>
    <n v="680000"/>
    <n v="2995.5947136563877"/>
    <n v="680000"/>
    <s v="شقة للبيع في بدر، جنوب الرياض"/>
    <s v="بدر، جنوب الرياض، الرياض"/>
    <x v="1"/>
    <s v="حي بدر"/>
    <s v="الرياض"/>
    <s v="إسكان سلمان للتسويق العقاري"/>
  </r>
  <r>
    <s v="N722102291"/>
    <x v="0"/>
    <n v="3"/>
    <n v="4"/>
    <n v="227"/>
    <n v="680000"/>
    <n v="2995.5947136563877"/>
    <n v="680000"/>
    <s v="شقة للبيع في بدر، جنوب الرياض"/>
    <s v="بدر، جنوب الرياض، الرياض"/>
    <x v="1"/>
    <s v="حي بدر"/>
    <s v="الرياض"/>
    <s v="إسكان سلمان للتسويق العقاري"/>
  </r>
  <r>
    <s v="D365668880"/>
    <x v="0"/>
    <n v="4"/>
    <n v="2"/>
    <n v="192"/>
    <n v="680000"/>
    <n v="3541.6666666666665"/>
    <n v="680000"/>
    <s v="شقة تاون هاوس - الرياض - حي بدر"/>
    <s v="بدر، جنوب الرياض، الرياض"/>
    <x v="1"/>
    <s v="حي بدر"/>
    <s v="الرياض"/>
    <s v="إسكان سلمان للتسويق العقاري"/>
  </r>
  <r>
    <s v="G740760904"/>
    <x v="0"/>
    <n v="6"/>
    <n v="4"/>
    <n v="193"/>
    <n v="680000"/>
    <n v="3523.3160621761658"/>
    <n v="680000"/>
    <s v="شقة للبيع في  بدر، جنوب الرياض"/>
    <s v="بدر، جنوب الرياض، الرياض"/>
    <x v="1"/>
    <s v="حي بدر"/>
    <s v="الرياض"/>
    <s v="إسكان سلمان للتسويق العقاري"/>
  </r>
  <r>
    <s v="G183692247"/>
    <x v="0"/>
    <n v="3"/>
    <n v="3"/>
    <n v="181"/>
    <n v="685000"/>
    <n v="3784.5303867403313"/>
    <n v="685000"/>
    <s v="شقة للبيع في  العوالي، غرب الرياض"/>
    <s v="العوالي، غرب الرياض، الرياض"/>
    <x v="3"/>
    <s v="حي العوالي"/>
    <s v="الرياض"/>
    <s v="​فردي / مالك"/>
  </r>
  <r>
    <s v="W149723898"/>
    <x v="0"/>
    <n v="3"/>
    <n v="3"/>
    <n v="180"/>
    <n v="685000"/>
    <n v="3805.5555555555557"/>
    <n v="685000"/>
    <s v="شقة للبيع في العوالي، غرب الرياض"/>
    <s v="العوالي، غرب الرياض، الرياض"/>
    <x v="3"/>
    <s v="حي العوالي"/>
    <s v="الرياض"/>
    <s v="شركة نجمة التميز للعقارات"/>
  </r>
  <r>
    <s v="A149723898"/>
    <x v="0"/>
    <n v="3"/>
    <n v="3"/>
    <n v="180"/>
    <n v="685000"/>
    <n v="3805.5555555555557"/>
    <n v="685000"/>
    <s v="شقة للبيع في العوالي، غرب الرياض"/>
    <s v="العوالي، غرب الرياض، الرياض"/>
    <x v="3"/>
    <s v="حي العوالي"/>
    <s v="الرياض"/>
    <s v="شركة نجمة التميز للعقارات"/>
  </r>
  <r>
    <s v="Y149723898"/>
    <x v="0"/>
    <n v="3"/>
    <n v="3"/>
    <n v="180"/>
    <n v="685000"/>
    <n v="3805.5555555555557"/>
    <n v="685000"/>
    <s v="شقة للبيع في العوالي، غرب الرياض"/>
    <s v="العوالي، غرب الرياض، الرياض"/>
    <x v="3"/>
    <s v="حي العوالي"/>
    <s v="الرياض"/>
    <s v="شركة نجمة التميز للعقارات"/>
  </r>
  <r>
    <s v="L273414355"/>
    <x v="0"/>
    <n v="3"/>
    <n v="3"/>
    <n v="219"/>
    <n v="690000"/>
    <n v="3150.6849315068494"/>
    <n v="690000"/>
    <s v="شقة للبيع في العزيزية, جنوب الرياض"/>
    <s v="العزيزية، جنوب الرياض، الرياض"/>
    <x v="1"/>
    <s v="حي العزيزية"/>
    <s v="الرياض"/>
    <s v="شركة نجمة التميز للعقارات"/>
  </r>
  <r>
    <s v="E121946173"/>
    <x v="0"/>
    <n v="3"/>
    <n v="3"/>
    <n v="177"/>
    <n v="690000"/>
    <n v="3898.3050847457625"/>
    <n v="690000"/>
    <s v="شقة للبيع في بدر، جنوب الرياض"/>
    <s v="بدر، جنوب الرياض، الرياض"/>
    <x v="1"/>
    <s v="حي بدر"/>
    <s v="الرياض"/>
    <s v="شركة نجمة التميز للعقارات"/>
  </r>
  <r>
    <s v="W273414355"/>
    <x v="0"/>
    <n v="3"/>
    <n v="3"/>
    <n v="219"/>
    <n v="690000"/>
    <n v="3150.6849315068494"/>
    <n v="690000"/>
    <s v="شقة للبيع في العزيزية, جنوب الرياض"/>
    <s v="العزيزية، جنوب الرياض، الرياض"/>
    <x v="1"/>
    <s v="حي العزيزية"/>
    <s v="الرياض"/>
    <s v="شركة نجمة التميز للعقارات"/>
  </r>
  <r>
    <s v="X807103044"/>
    <x v="0"/>
    <n v="4"/>
    <n v="4"/>
    <n v="177"/>
    <n v="690000"/>
    <n v="3898.3050847457625"/>
    <n v="690000"/>
    <s v="شقة للبيع في  بدر، جنوب الرياض"/>
    <s v="بدر، جنوب الرياض، الرياض"/>
    <x v="1"/>
    <s v="حي بدر"/>
    <s v="الرياض"/>
    <s v="شركة نجمة التميز للعقارات"/>
  </r>
  <r>
    <s v="N456738614"/>
    <x v="3"/>
    <n v="3"/>
    <n v="3"/>
    <n v="639"/>
    <n v="690000"/>
    <n v="1079.81220657277"/>
    <n v="690000"/>
    <s v="دور وشقق في حي الدار البيضاء الرياض للبيع"/>
    <s v="الدار البيضاء، جنوب الرياض، الرياض"/>
    <x v="1"/>
    <s v="حي الدار البيضاء"/>
    <s v="الرياض"/>
    <s v="مكتب مصابيح عريض للعقارات"/>
  </r>
  <r>
    <s v="P879931806"/>
    <x v="3"/>
    <n v="4"/>
    <n v="4"/>
    <n v="163"/>
    <n v="690000"/>
    <n v="4233.1288343558281"/>
    <n v="690000"/>
    <s v="دور للبيع في الشفاء، جنوب الرياض"/>
    <s v="الشفا، جنوب الرياض، الرياض"/>
    <x v="1"/>
    <s v="حي الشفا"/>
    <s v="الرياض"/>
    <s v="شركة نجمة التميز للعقارات"/>
  </r>
  <r>
    <s v="S044936733"/>
    <x v="3"/>
    <n v="3"/>
    <n v="3"/>
    <n v="163"/>
    <n v="695000"/>
    <n v="4263.8036809815949"/>
    <n v="695000"/>
    <s v="دور للبيع في نمار، غرب الرياض"/>
    <s v="نمار، غرب الرياض، الرياض"/>
    <x v="3"/>
    <s v="حي نمار"/>
    <s v="الرياض"/>
    <s v="​فردي / مالك"/>
  </r>
  <r>
    <s v="X401795822"/>
    <x v="0"/>
    <n v="3"/>
    <n v="3"/>
    <n v="122"/>
    <n v="695000"/>
    <n v="5696.7213114754095"/>
    <n v="695000"/>
    <s v="شقة للبيع في القادسية, شرق الرياض"/>
    <s v="القادسية، شرق الرياض، الرياض"/>
    <x v="0"/>
    <s v="حي القادسية"/>
    <s v="الرياض"/>
    <s v="شركة وسام العقارية"/>
  </r>
  <r>
    <s v="T947839059"/>
    <x v="3"/>
    <n v="4"/>
    <n v="3"/>
    <n v="625"/>
    <n v="700000"/>
    <n v="1120"/>
    <n v="700000"/>
    <s v="دور للبيع في شارع الطفيل بن زيد, حي الزهرة, مدينة الرياض, منطقة الرياض"/>
    <s v="الزهرة، غرب الرياض، الرياض"/>
    <x v="3"/>
    <s v="حي الزهرة"/>
    <s v="الرياض"/>
    <s v="​فردي / مالك"/>
  </r>
  <r>
    <s v="W916822852"/>
    <x v="2"/>
    <n v="8"/>
    <n v="4"/>
    <n v="636"/>
    <n v="700000"/>
    <n v="1100.6289308176101"/>
    <n v="700000"/>
    <s v="فيلا للبيع في بدر، جنوب الرياض"/>
    <s v="بدر، جنوب الرياض، الرياض"/>
    <x v="1"/>
    <s v="حي بدر"/>
    <s v="الرياض"/>
    <s v="شركة حلول دارك العقارية"/>
  </r>
  <r>
    <s v="B778746259"/>
    <x v="0"/>
    <n v="3"/>
    <n v="3"/>
    <n v="135"/>
    <n v="700000"/>
    <n v="5185.1851851851852"/>
    <n v="700000"/>
    <s v="شقة للبيع في ظهرة لبن، غرب الرياض"/>
    <s v="ظهرة لبن، غرب الرياض، الرياض"/>
    <x v="3"/>
    <s v="حي ظهرة لبن"/>
    <s v="الرياض"/>
    <s v="شركة بنائات العقارية"/>
  </r>
  <r>
    <s v="W291590980"/>
    <x v="0"/>
    <n v="4"/>
    <n v="4"/>
    <n v="136"/>
    <n v="700000"/>
    <n v="5147.0588235294117"/>
    <n v="700000"/>
    <s v="شقة للبيع في ظهرة لبن، غرب الرياض"/>
    <s v="ظهرة لبن، غرب الرياض، الرياض"/>
    <x v="3"/>
    <s v="حي ظهرة لبن"/>
    <s v="الرياض"/>
    <s v="شركة بنائات العقارية"/>
  </r>
  <r>
    <s v="L299443289"/>
    <x v="0"/>
    <n v="2"/>
    <n v="2"/>
    <n v="68"/>
    <n v="700000"/>
    <n v="10294.117647058823"/>
    <n v="700000"/>
    <s v="شقة للبيع في الرمال, شرق الرياض"/>
    <s v="الرمال، شرق الرياض، الرياض"/>
    <x v="0"/>
    <s v="حي الرمال"/>
    <s v="الرياض"/>
    <s v="شركة نهضة التطور العقارية"/>
  </r>
  <r>
    <s v="X832053400"/>
    <x v="3"/>
    <n v="4"/>
    <n v="4"/>
    <n v="177"/>
    <n v="700000"/>
    <n v="3954.8022598870057"/>
    <n v="700000"/>
    <s v="دور للبيع في بدر، جنوب الرياض"/>
    <s v="بدر، جنوب الرياض، الرياض"/>
    <x v="1"/>
    <s v="حي بدر"/>
    <s v="الرياض"/>
    <s v="شركة نجمة التميز للعقارات"/>
  </r>
  <r>
    <s v="U887930551"/>
    <x v="3"/>
    <n v="4"/>
    <n v="4"/>
    <n v="177"/>
    <n v="700000"/>
    <n v="3954.8022598870057"/>
    <n v="700000"/>
    <s v="دور للبيع في  بدر، جنوب الرياض"/>
    <s v="بدر، جنوب الرياض، الرياض"/>
    <x v="1"/>
    <s v="حي بدر"/>
    <s v="الرياض"/>
    <s v="شركة نجمة التميز للعقارات"/>
  </r>
  <r>
    <s v="V887690277"/>
    <x v="3"/>
    <n v="4"/>
    <n v="3"/>
    <n v="177"/>
    <n v="700000"/>
    <n v="3954.8022598870057"/>
    <n v="700000"/>
    <s v="دور للبيع في بدر، جنوب الرياض"/>
    <s v="بدر، جنوب الرياض، الرياض"/>
    <x v="1"/>
    <s v="حي بدر"/>
    <s v="الرياض"/>
    <s v="شركة نجمة التميز للعقارات"/>
  </r>
  <r>
    <s v="P538089990"/>
    <x v="3"/>
    <n v="4"/>
    <n v="4"/>
    <n v="177"/>
    <n v="700000"/>
    <n v="3954.8022598870057"/>
    <n v="700000"/>
    <s v="دور للبيع في بدر، جنوب الرياض"/>
    <s v="بدر، جنوب الرياض، الرياض"/>
    <x v="1"/>
    <s v="حي بدر"/>
    <s v="الرياض"/>
    <s v="​فردي / مالك"/>
  </r>
  <r>
    <s v="P232359013"/>
    <x v="3"/>
    <n v="3"/>
    <n v="3"/>
    <n v="151"/>
    <n v="700000"/>
    <n v="4635.7615894039736"/>
    <n v="700000"/>
    <s v="ادوار للبيع كل دور بصك حي بدر"/>
    <s v="بدر، جنوب الرياض، الرياض"/>
    <x v="1"/>
    <s v="حي بدر"/>
    <s v="الرياض"/>
    <s v="​فردي / مالك"/>
  </r>
  <r>
    <s v="J922009030"/>
    <x v="3"/>
    <n v="4"/>
    <n v="3"/>
    <n v="163"/>
    <n v="700000"/>
    <n v="4294.4785276073617"/>
    <n v="700000"/>
    <s v="دور للبيع في بدر، جنوب الرياض"/>
    <s v="بدر، جنوب الرياض، الرياض"/>
    <x v="1"/>
    <s v="حي بدر"/>
    <s v="الرياض"/>
    <s v="شركة نجمة التميز للعقارات"/>
  </r>
  <r>
    <s v="A832053400"/>
    <x v="3"/>
    <n v="4"/>
    <n v="4"/>
    <n v="177"/>
    <n v="700000"/>
    <n v="3954.8022598870057"/>
    <n v="700000"/>
    <s v="دور للبيع في بدر، جنوب الرياض"/>
    <s v="بدر، جنوب الرياض، الرياض"/>
    <x v="1"/>
    <s v="حي بدر"/>
    <s v="الرياض"/>
    <s v="شركة نجمة التميز للعقارات"/>
  </r>
  <r>
    <s v="W452425177"/>
    <x v="0"/>
    <n v="4"/>
    <n v="3"/>
    <n v="9100"/>
    <n v="705536"/>
    <n v="77.531428571428577"/>
    <n v="705536"/>
    <s v="شقق للبيع في المونسية, شرق الرياض"/>
    <s v="المونسية، شرق الرياض، الرياض"/>
    <x v="0"/>
    <s v="حي المونسية"/>
    <s v="الرياض"/>
    <s v="مؤسسة منازل رائدة العقارية"/>
  </r>
  <r>
    <s v="M427115100"/>
    <x v="0"/>
    <n v="4"/>
    <n v="3"/>
    <n v="180"/>
    <n v="710000"/>
    <n v="3944.4444444444443"/>
    <n v="710000"/>
    <s v="شقة للبيع في العوالي، غرب الرياض"/>
    <s v="العوالي، غرب الرياض، الرياض"/>
    <x v="3"/>
    <s v="حي العوالي"/>
    <s v="الرياض"/>
    <s v="إسكان سلمان للتسويق العقاري"/>
  </r>
  <r>
    <s v="A719919280"/>
    <x v="2"/>
    <n v="5"/>
    <n v="5"/>
    <n v="204"/>
    <n v="715000"/>
    <n v="3504.9019607843138"/>
    <n v="715000"/>
    <s v="فيلا 5 غرف نوم للبيع في الشفاء، الرياض"/>
    <s v="الشفا، جنوب الرياض، الرياض"/>
    <x v="1"/>
    <s v="حي الشفا"/>
    <s v="الرياض"/>
    <s v="شركة دروب الاستقرار"/>
  </r>
  <r>
    <s v="H597014406"/>
    <x v="2"/>
    <n v="5"/>
    <n v="6"/>
    <n v="204"/>
    <n v="715000"/>
    <n v="3504.9019607843138"/>
    <n v="715000"/>
    <s v="فيلا 5 غرف نوم للبيع في الشفاء، الرياض"/>
    <s v="الشفا، جنوب الرياض، الرياض"/>
    <x v="1"/>
    <s v="حي الشفا"/>
    <s v="الرياض"/>
    <s v="شركة دروب الاستقرار"/>
  </r>
  <r>
    <s v="Z435811083"/>
    <x v="0"/>
    <n v="5"/>
    <n v="3"/>
    <n v="130"/>
    <n v="720000"/>
    <n v="5538.4615384615381"/>
    <n v="720000"/>
    <s v="للبيع شقة في ظهرة لبن، غرب الرياض"/>
    <s v="ظهرة لبن، غرب الرياض، الرياض"/>
    <x v="3"/>
    <s v="حي ظهرة لبن"/>
    <s v="الرياض"/>
    <s v="شركة بنائات العقارية"/>
  </r>
  <r>
    <s v="V201812960"/>
    <x v="0"/>
    <n v="3"/>
    <n v="3"/>
    <n v="101"/>
    <n v="720000"/>
    <n v="7128.712871287129"/>
    <n v="720000"/>
    <s v="شقة للبيع في المعيزلة، شرق الرياض"/>
    <s v="المعيزلة، شرق الرياض، الرياض"/>
    <x v="0"/>
    <s v="حي المعيزلة"/>
    <s v="الرياض"/>
    <s v="سكن المعالي للعقارات"/>
  </r>
  <r>
    <s v="X572884702"/>
    <x v="2"/>
    <n v="4"/>
    <n v="6"/>
    <n v="212"/>
    <n v="720000"/>
    <n v="3396.2264150943397"/>
    <n v="720000"/>
    <s v="فيلا للبيع في الغنامية، جنوب الرياض"/>
    <s v="الغنامية، جنوب الرياض، الرياض"/>
    <x v="1"/>
    <s v="حي الغنامية"/>
    <s v="الرياض"/>
    <s v="مكتب الاحمدي للعقارات"/>
  </r>
  <r>
    <s v="A877409248"/>
    <x v="3"/>
    <n v="6"/>
    <n v="5"/>
    <n v="214"/>
    <n v="730000"/>
    <n v="3411.2149532710282"/>
    <n v="730000"/>
    <s v="دور للبيع في بدر, جنوب الرياض"/>
    <s v="بدر، جنوب الرياض، الرياض"/>
    <x v="1"/>
    <s v="حي بدر"/>
    <s v="الرياض"/>
    <s v="​فردي / مالك"/>
  </r>
  <r>
    <s v="K947512316"/>
    <x v="0"/>
    <n v="5"/>
    <n v="3"/>
    <n v="194"/>
    <n v="730000"/>
    <n v="3762.8865979381444"/>
    <n v="730000"/>
    <s v="شقة للبيع في العوالي، غرب الرياض"/>
    <s v="العوالي، غرب الرياض، الرياض"/>
    <x v="3"/>
    <s v="حي العوالي"/>
    <s v="الرياض"/>
    <s v="إسكان سلمان للتسويق العقاري"/>
  </r>
  <r>
    <s v="R290227775"/>
    <x v="0"/>
    <n v="4"/>
    <n v="4"/>
    <n v="206"/>
    <n v="730000"/>
    <n v="3543.6893203883496"/>
    <n v="730000"/>
    <s v="شقة للبيع في  عكاظ، جنوب الرياض"/>
    <s v="عكاظ، جنوب الرياض، الرياض"/>
    <x v="1"/>
    <s v="حي عكاظ"/>
    <s v="الرياض"/>
    <s v="إسكان سلمان للتسويق العقاري"/>
  </r>
  <r>
    <s v="A469999189"/>
    <x v="3"/>
    <n v="3"/>
    <n v="4"/>
    <n v="145"/>
    <n v="730000"/>
    <n v="5034.4827586206893"/>
    <n v="730000"/>
    <s v="شقة للبيع في الحزم، غرب الرياض"/>
    <s v="الحزم، غرب الرياض، الرياض"/>
    <x v="3"/>
    <s v="حي الحزم"/>
    <s v="الرياض"/>
    <s v="​فردي / مالك"/>
  </r>
  <r>
    <s v="D575482757"/>
    <x v="3"/>
    <n v="4"/>
    <n v="3"/>
    <n v="134"/>
    <n v="730000"/>
    <n v="5447.7611940298511"/>
    <n v="730000"/>
    <s v="دور للبيع في السعادة، شرق الرياض"/>
    <s v="السعادة، شرق الرياض، الرياض"/>
    <x v="0"/>
    <s v="حي السعادة"/>
    <s v="الرياض"/>
    <s v="مسكنكم للخدمات العقارية"/>
  </r>
  <r>
    <s v="D873031475"/>
    <x v="0"/>
    <n v="3"/>
    <n v="3"/>
    <n v="176"/>
    <n v="730000"/>
    <n v="4147.727272727273"/>
    <n v="730000"/>
    <s v="شقة للبيع في  السعادة، شرق الرياض"/>
    <s v="السعادة، شرق الرياض، الرياض"/>
    <x v="0"/>
    <s v="حي السعادة"/>
    <s v="الرياض"/>
    <s v="إسكان سلمان للتسويق العقاري"/>
  </r>
  <r>
    <s v="A373845258"/>
    <x v="0"/>
    <n v="5"/>
    <n v="3"/>
    <n v="190"/>
    <n v="730000"/>
    <n v="3842.1052631578946"/>
    <n v="730000"/>
    <s v="شقة للبيع في  العوالي، غرب الرياض"/>
    <s v="العوالي، غرب الرياض، الرياض"/>
    <x v="3"/>
    <s v="حي العوالي"/>
    <s v="الرياض"/>
    <s v="إسكان سلمان للتسويق العقاري"/>
  </r>
  <r>
    <s v="Z227286265"/>
    <x v="0"/>
    <n v="5"/>
    <n v="3"/>
    <n v="194"/>
    <n v="730000"/>
    <n v="3762.8865979381444"/>
    <n v="730000"/>
    <s v="شقة للبيع في  العوالي، غرب الرياض"/>
    <s v="العوالي، غرب الرياض، الرياض"/>
    <x v="3"/>
    <s v="حي العوالي"/>
    <s v="الرياض"/>
    <s v="إسكان سلمان للتسويق العقاري"/>
  </r>
  <r>
    <s v="F024593609"/>
    <x v="0"/>
    <n v="5"/>
    <n v="3"/>
    <n v="190"/>
    <n v="730000"/>
    <n v="3842.1052631578946"/>
    <n v="730000"/>
    <s v="شقة - الرياض - العوالي"/>
    <s v="العوالي، غرب الرياض، الرياض"/>
    <x v="3"/>
    <s v="حي العوالي"/>
    <s v="الرياض"/>
    <s v="إسكان سلمان للتسويق العقاري"/>
  </r>
  <r>
    <s v="M272485778"/>
    <x v="3"/>
    <n v="5"/>
    <n v="3"/>
    <n v="145"/>
    <n v="730000"/>
    <n v="5034.4827586206893"/>
    <n v="730000"/>
    <s v="دور للبيع في الحزم, غرب الرياض"/>
    <s v="الحزم، غرب الرياض، الرياض"/>
    <x v="3"/>
    <s v="حي الحزم"/>
    <s v="الرياض"/>
    <s v="​فردي / مالك"/>
  </r>
  <r>
    <s v="B761598944"/>
    <x v="3"/>
    <n v="3"/>
    <n v="3"/>
    <n v="145"/>
    <n v="730000"/>
    <n v="5034.4827586206893"/>
    <n v="730000"/>
    <s v="دور للبيع في الحزم, غرب الرياض"/>
    <s v="الحزم، غرب الرياض، الرياض"/>
    <x v="3"/>
    <s v="حي الحزم"/>
    <s v="الرياض"/>
    <s v="إسكان سلمان للتسويق العقاري"/>
  </r>
  <r>
    <s v="G439994539"/>
    <x v="0"/>
    <n v="5"/>
    <n v="4"/>
    <n v="209"/>
    <n v="730000"/>
    <n v="3492.8229665071772"/>
    <n v="730000"/>
    <s v="شقة للبيع في عكاظ، جنوب الرياض"/>
    <s v="عكاظ، جنوب الرياض، الرياض"/>
    <x v="1"/>
    <s v="حي عكاظ"/>
    <s v="الرياض"/>
    <s v="​فردي / مالك"/>
  </r>
  <r>
    <s v="J233118921"/>
    <x v="0"/>
    <n v="5"/>
    <n v="4"/>
    <n v="209"/>
    <n v="730000"/>
    <n v="3492.8229665071772"/>
    <n v="730000"/>
    <s v="شقة للبيع في  عكاظ، جنوب الرياض"/>
    <s v="عكاظ، جنوب الرياض، الرياض"/>
    <x v="1"/>
    <s v="حي عكاظ"/>
    <s v="الرياض"/>
    <s v="إسكان سلمان للتسويق العقاري"/>
  </r>
  <r>
    <s v="F991229967"/>
    <x v="3"/>
    <n v="4"/>
    <n v="3"/>
    <n v="176"/>
    <n v="740000"/>
    <n v="4204.545454545455"/>
    <n v="740000"/>
    <s v="دور للبيع في بدر، جنوب الرياض"/>
    <s v="بدر، جنوب الرياض، الرياض"/>
    <x v="1"/>
    <s v="حي بدر"/>
    <s v="الرياض"/>
    <s v="شركة نجمة التميز للعقارات"/>
  </r>
  <r>
    <s v="M644179163"/>
    <x v="3"/>
    <n v="3"/>
    <n v="3"/>
    <n v="176"/>
    <n v="740000"/>
    <n v="4204.545454545455"/>
    <n v="740000"/>
    <s v="دور للبيع في  بدر، جنوب الرياض"/>
    <s v="بدر، جنوب الرياض، الرياض"/>
    <x v="1"/>
    <s v="حي بدر"/>
    <s v="الرياض"/>
    <s v="​فردي / مالك"/>
  </r>
  <r>
    <s v="Y036483293"/>
    <x v="1"/>
    <n v="0"/>
    <n v="0"/>
    <n v="300"/>
    <n v="740000"/>
    <n v="2466.6666666666665"/>
    <n v="740000"/>
    <s v="أرض للبيع في مخطط الخير, شمال الرياض"/>
    <s v="مخطط الخير، شمال الرياض، الرياض"/>
    <x v="4"/>
    <s v="حي مخطط الخير"/>
    <s v="الرياض"/>
    <s v="​فردي / مالك"/>
  </r>
  <r>
    <s v="G315034386"/>
    <x v="3"/>
    <n v="4"/>
    <n v="3"/>
    <n v="214"/>
    <n v="740000"/>
    <n v="3457.9439252336447"/>
    <n v="740000"/>
    <s v="دور للبيع في بدر، جنوب الرياض"/>
    <s v="بدر، جنوب الرياض، الرياض"/>
    <x v="1"/>
    <s v="حي بدر"/>
    <s v="الرياض"/>
    <s v="شركة نجمة التميز للعقارات"/>
  </r>
  <r>
    <s v="B405626919"/>
    <x v="1"/>
    <n v="0"/>
    <n v="0"/>
    <n v="900"/>
    <n v="833"/>
    <n v="833"/>
    <n v="749700"/>
    <s v="أرض للبيع في حي الزاهر, مدينة الرياض"/>
    <s v="الزاهر، الرياض"/>
    <x v="3"/>
    <s v="حي الزاهر"/>
    <s v="الرياض"/>
    <s v="​فردي / مالك"/>
  </r>
  <r>
    <s v="Y437201426"/>
    <x v="3"/>
    <n v="5"/>
    <n v="4"/>
    <n v="205"/>
    <n v="750000"/>
    <n v="3658.5365853658536"/>
    <n v="750000"/>
    <s v="دور أول علوي للبيع في حي الجنادرية، شرق الرياض"/>
    <s v="الجنادرية، شرق الرياض، الرياض"/>
    <x v="0"/>
    <s v="حي الجنادرية"/>
    <s v="الرياض"/>
    <s v="سكن المعالي للعقارات"/>
  </r>
  <r>
    <s v="Z913066298"/>
    <x v="0"/>
    <n v="3"/>
    <n v="3"/>
    <n v="182"/>
    <n v="750000"/>
    <n v="4120.8791208791208"/>
    <n v="750000"/>
    <s v="شقة للبيع في ظهرة لبن عند نادي الرياض"/>
    <s v="لبن، غرب الرياض، الرياض"/>
    <x v="3"/>
    <s v="حي لبن"/>
    <s v="الرياض"/>
    <s v="مكتب آعالي للخدمات العقارية"/>
  </r>
  <r>
    <s v="I745427816"/>
    <x v="3"/>
    <n v="3"/>
    <n v="3"/>
    <n v="249"/>
    <n v="750000"/>
    <n v="3012.0481927710844"/>
    <n v="750000"/>
    <s v="دور للبيع في طويق, غرب الرياض"/>
    <s v="طويق، غرب الرياض، الرياض"/>
    <x v="3"/>
    <s v="حي طويق"/>
    <s v="الرياض"/>
    <s v="شركة نجمة التميز للعقارات"/>
  </r>
  <r>
    <s v="E695708452"/>
    <x v="3"/>
    <n v="5"/>
    <n v="4"/>
    <n v="171"/>
    <n v="750000"/>
    <n v="4385.9649122807014"/>
    <n v="750000"/>
    <s v="شقة للبيع في نمار، غرب الرياض"/>
    <s v="نمار، غرب الرياض، الرياض"/>
    <x v="3"/>
    <s v="حي نمار"/>
    <s v="الرياض"/>
    <s v="​فردي / مالك"/>
  </r>
  <r>
    <s v="R648752371"/>
    <x v="5"/>
    <n v="2"/>
    <n v="2"/>
    <n v="840"/>
    <n v="750000"/>
    <n v="892.85714285714289"/>
    <n v="750000"/>
    <s v="استراحة للبيع في الزاهر, الرياض"/>
    <s v="الزاهر، الرياض"/>
    <x v="3"/>
    <s v="حي الزاهر"/>
    <s v="الرياض"/>
    <s v="​فردي / مالك"/>
  </r>
  <r>
    <s v="Y159875236"/>
    <x v="0"/>
    <n v="3"/>
    <n v="2"/>
    <n v="70"/>
    <n v="750000"/>
    <n v="10714.285714285714"/>
    <n v="750000"/>
    <s v="شقة للبيع في  السعادة، شرق الرياض"/>
    <s v="السعادة، شرق الرياض، الرياض"/>
    <x v="0"/>
    <s v="حي السعادة"/>
    <s v="الرياض"/>
    <s v="مساكن ركاز للعقارات"/>
  </r>
  <r>
    <s v="K051779014"/>
    <x v="2"/>
    <n v="4"/>
    <n v="4"/>
    <n v="200"/>
    <n v="750000"/>
    <n v="3750"/>
    <n v="750000"/>
    <s v="فيلا للبيع في بدر، جنوب الرياض"/>
    <s v="بدر، جنوب الرياض، الرياض"/>
    <x v="1"/>
    <s v="حي بدر"/>
    <s v="الرياض"/>
    <s v="شركة اشبال العرب للعقارات"/>
  </r>
  <r>
    <s v="Z269526640"/>
    <x v="0"/>
    <n v="4"/>
    <n v="3"/>
    <n v="133"/>
    <n v="750000"/>
    <n v="5639.0977443609027"/>
    <n v="750000"/>
    <s v="شقة 4 غرف نوم للبيع ضحرة لبان ، الرياض"/>
    <s v="ظهرة لبن، غرب الرياض، الرياض"/>
    <x v="3"/>
    <s v="حي ظهرة لبن"/>
    <s v="الرياض"/>
    <s v="شركة بنائات العقارية"/>
  </r>
  <r>
    <s v="K668218110"/>
    <x v="3"/>
    <n v="3"/>
    <n v="3"/>
    <n v="171"/>
    <n v="750000"/>
    <n v="4385.9649122807014"/>
    <n v="750000"/>
    <s v="دور للبيع في طويق، غرب الرياض"/>
    <s v="طويق، غرب الرياض، الرياض"/>
    <x v="3"/>
    <s v="حي طويق"/>
    <s v="الرياض"/>
    <s v="شركة وسام العقارية"/>
  </r>
  <r>
    <s v="K483024034"/>
    <x v="0"/>
    <n v="3"/>
    <n v="3"/>
    <n v="107"/>
    <n v="750000"/>
    <n v="7009.3457943925232"/>
    <n v="750000"/>
    <s v="شقة للبيع في اليرموك، شرق الرياض"/>
    <s v="اليرموك، شرق الرياض، الرياض"/>
    <x v="0"/>
    <s v="حي اليرموك"/>
    <s v="الرياض"/>
    <s v="​فردي / مالك"/>
  </r>
  <r>
    <s v="D825812987"/>
    <x v="3"/>
    <n v="4"/>
    <n v="4"/>
    <n v="172"/>
    <n v="750000"/>
    <n v="4360.4651162790697"/>
    <n v="750000"/>
    <s v=" فرصة لا تُعوض - فيلا دوبلكس مفصولة للبيع في حي عكاظ - مخطط العجلان"/>
    <s v="عكاظ، جنوب الرياض، الرياض"/>
    <x v="1"/>
    <s v="حي عكاظ"/>
    <s v="الرياض"/>
    <s v="شركة إثراء الأولى العقارية"/>
  </r>
  <r>
    <s v="J299930852"/>
    <x v="3"/>
    <n v="3"/>
    <n v="4"/>
    <n v="185"/>
    <n v="750000"/>
    <n v="4054.0540540540542"/>
    <n v="750000"/>
    <s v="دور فاخر للبيع في الجنادرية، شرق الرياض"/>
    <s v="الجنادرية، شرق الرياض، الرياض"/>
    <x v="0"/>
    <s v="حي الجنادرية"/>
    <s v="الرياض"/>
    <s v="سكن المعالي للعقارات"/>
  </r>
  <r>
    <s v="D002368604"/>
    <x v="3"/>
    <n v="3"/>
    <n v="4"/>
    <n v="300"/>
    <n v="750000"/>
    <n v="2500"/>
    <n v="750000"/>
    <s v="دور علوي للبيع في الجنادرية، شرق الرياض"/>
    <s v="الجنادرية، شرق الرياض، الرياض"/>
    <x v="0"/>
    <s v="حي الجنادرية"/>
    <s v="الرياض"/>
    <s v="سكن المعالي للعقارات"/>
  </r>
  <r>
    <s v="F400652632"/>
    <x v="3"/>
    <n v="4"/>
    <n v="3"/>
    <n v="205"/>
    <n v="750000"/>
    <n v="3658.5365853658536"/>
    <n v="750000"/>
    <s v="دور أول للبيع في الجنادرية، شرق الرياض"/>
    <s v="الجنادرية، شرق الرياض، الرياض"/>
    <x v="0"/>
    <s v="حي الجنادرية"/>
    <s v="الرياض"/>
    <s v="سكن المعالي للعقارات"/>
  </r>
  <r>
    <s v="B184222190"/>
    <x v="0"/>
    <n v="3"/>
    <n v="3"/>
    <n v="127"/>
    <n v="750000"/>
    <n v="5905.5118110236217"/>
    <n v="750000"/>
    <s v="شقة للبيع في إشبيلية، شرق الرياض"/>
    <s v="اشبيلية، شرق الرياض، الرياض"/>
    <x v="0"/>
    <s v="حي اشبيلية"/>
    <s v="الرياض"/>
    <s v="بصمات الرياض العقارية"/>
  </r>
  <r>
    <s v="K465803846"/>
    <x v="0"/>
    <n v="3"/>
    <n v="4"/>
    <n v="600"/>
    <n v="750000"/>
    <n v="1250"/>
    <n v="750000"/>
    <s v="شقة للبيع في الجنادرية، الرياض"/>
    <s v="الجنادرية، شرق الرياض، الرياض"/>
    <x v="0"/>
    <s v="حي الجنادرية"/>
    <s v="الرياض"/>
    <s v="​فردي / مالك"/>
  </r>
  <r>
    <s v="F533278137"/>
    <x v="3"/>
    <n v="3"/>
    <n v="3"/>
    <n v="205"/>
    <n v="750000"/>
    <n v="3658.5365853658536"/>
    <n v="750000"/>
    <s v="تاون هاوس علوي للبيع في الجنادرية، شرق الرياض"/>
    <s v="الجنادرية، شرق الرياض، الرياض"/>
    <x v="0"/>
    <s v="حي الجنادرية"/>
    <s v="الرياض"/>
    <s v="سكن المعالي للعقارات"/>
  </r>
  <r>
    <s v="X155815562"/>
    <x v="1"/>
    <n v="0"/>
    <n v="0"/>
    <n v="418"/>
    <n v="1800"/>
    <n v="1800"/>
    <n v="752400"/>
    <s v="ارض سكنية للبيع في  الجنادرية، شرق الرياض"/>
    <s v="الجنادرية، شرق الرياض، الرياض"/>
    <x v="0"/>
    <s v="حي الجنادرية"/>
    <s v="الرياض"/>
    <s v="​فردي / مالك"/>
  </r>
  <r>
    <s v="L212444976"/>
    <x v="0"/>
    <n v="3"/>
    <n v="3"/>
    <n v="122"/>
    <n v="753000"/>
    <n v="6172.1311475409839"/>
    <n v="753000"/>
    <s v="شقة للبيع في القادسية, شرق الرياض"/>
    <s v="القادسية، شرق الرياض، الرياض"/>
    <x v="0"/>
    <s v="حي القادسية"/>
    <s v="الرياض"/>
    <s v="شركة راكز العقارية"/>
  </r>
  <r>
    <s v="F815764436"/>
    <x v="0"/>
    <n v="3"/>
    <n v="3"/>
    <n v="122"/>
    <n v="753000"/>
    <n v="6172.1311475409839"/>
    <n v="753000"/>
    <s v="شقة للبيع في القادسية، شرق الرياض"/>
    <s v="القادسية، شرق الرياض، الرياض"/>
    <x v="0"/>
    <s v="حي القادسية"/>
    <s v="الرياض"/>
    <s v="شركة راكز العقارية"/>
  </r>
  <r>
    <s v="A724019977"/>
    <x v="3"/>
    <n v="4"/>
    <n v="4"/>
    <n v="214"/>
    <n v="760000"/>
    <n v="3551.4018691588785"/>
    <n v="760000"/>
    <s v="دور للبيع في  بدر، جنوب الرياض"/>
    <s v="بدر، جنوب الرياض، الرياض"/>
    <x v="1"/>
    <s v="حي بدر"/>
    <s v="الرياض"/>
    <s v="شركة نجمة التميز للعقارات"/>
  </r>
  <r>
    <s v="D554727661"/>
    <x v="3"/>
    <n v="4"/>
    <n v="4"/>
    <n v="214"/>
    <n v="760000"/>
    <n v="3551.4018691588785"/>
    <n v="760000"/>
    <s v="دور للبيع في بدر، جنوب الرياض"/>
    <s v="بدر، جنوب الرياض، الرياض"/>
    <x v="1"/>
    <s v="حي بدر"/>
    <s v="الرياض"/>
    <s v="​فردي / مالك"/>
  </r>
  <r>
    <s v="C013290657"/>
    <x v="3"/>
    <n v="3"/>
    <n v="3"/>
    <n v="214"/>
    <n v="760000"/>
    <n v="3551.4018691588785"/>
    <n v="760000"/>
    <s v="دور للبيع في بدر، جنوب الرياض"/>
    <s v="بدر، جنوب الرياض، الرياض"/>
    <x v="1"/>
    <s v="حي بدر"/>
    <s v="الرياض"/>
    <s v="شركة نجمة التميز للعقارات"/>
  </r>
  <r>
    <s v="K018925967"/>
    <x v="3"/>
    <n v="4"/>
    <n v="4"/>
    <n v="214"/>
    <n v="760000"/>
    <n v="3551.4018691588785"/>
    <n v="760000"/>
    <s v="أدوار للبيع في بدر، جنوب الرياض"/>
    <s v="بدر، جنوب الرياض، الرياض"/>
    <x v="1"/>
    <s v="حي بدر"/>
    <s v="الرياض"/>
    <s v="شركة نجمة التميز للعقارات"/>
  </r>
  <r>
    <s v="U557985808"/>
    <x v="3"/>
    <n v="4"/>
    <n v="4"/>
    <n v="214"/>
    <n v="760000"/>
    <n v="3551.4018691588785"/>
    <n v="760000"/>
    <s v="دور للبيع في بدر، جنوب الرياض"/>
    <s v="بدر، جنوب الرياض، الرياض"/>
    <x v="1"/>
    <s v="حي بدر"/>
    <s v="الرياض"/>
    <s v="شركة نجمة التميز للعقارات"/>
  </r>
  <r>
    <s v="H472565860"/>
    <x v="3"/>
    <n v="4"/>
    <n v="4"/>
    <n v="214"/>
    <n v="760000"/>
    <n v="3551.4018691588785"/>
    <n v="760000"/>
    <s v="دور للبيع في حي بدر، جنوب الرياض"/>
    <s v="بدر، جنوب الرياض، الرياض"/>
    <x v="1"/>
    <s v="حي بدر"/>
    <s v="الرياض"/>
    <s v="​فردي / مالك"/>
  </r>
  <r>
    <s v="K554727661"/>
    <x v="3"/>
    <n v="4"/>
    <n v="4"/>
    <n v="214"/>
    <n v="760000"/>
    <n v="3551.4018691588785"/>
    <n v="760000"/>
    <s v="دور للبيع في بدر، جنوب الرياض"/>
    <s v="بدر، جنوب الرياض، الرياض"/>
    <x v="1"/>
    <s v="حي بدر"/>
    <s v="الرياض"/>
    <s v="​فردي / مالك"/>
  </r>
  <r>
    <s v="N546158860"/>
    <x v="3"/>
    <n v="4"/>
    <n v="4"/>
    <n v="300"/>
    <n v="760000"/>
    <n v="2533.3333333333335"/>
    <n v="760000"/>
    <s v="دور للبيع في حي بدر، جنوب الرياض"/>
    <s v="بدر، جنوب الرياض، الرياض"/>
    <x v="1"/>
    <s v="حي بدر"/>
    <s v="الرياض"/>
    <s v="شركة نجمة التميز للعقارات"/>
  </r>
  <r>
    <s v="N420932691"/>
    <x v="3"/>
    <n v="3"/>
    <n v="3"/>
    <n v="214"/>
    <n v="760000"/>
    <n v="3551.4018691588785"/>
    <n v="760000"/>
    <s v="دور للبيع في حي بدر، جنوب الرياض"/>
    <s v="بدر، جنوب الرياض، الرياض"/>
    <x v="1"/>
    <s v="حي بدر"/>
    <s v="الرياض"/>
    <s v="شركة نجمة التميز للعقارات"/>
  </r>
  <r>
    <s v="V840089178"/>
    <x v="3"/>
    <n v="4"/>
    <n v="4"/>
    <n v="214"/>
    <n v="760000"/>
    <n v="3551.4018691588785"/>
    <n v="760000"/>
    <s v="للبيع دور في بدر، جنوب الرياض"/>
    <s v="بدر، جنوب الرياض، الرياض"/>
    <x v="1"/>
    <s v="حي بدر"/>
    <s v="الرياض"/>
    <s v="شركة نجمة التميز للعقارات"/>
  </r>
  <r>
    <s v="Z992564272"/>
    <x v="3"/>
    <n v="3"/>
    <n v="3"/>
    <n v="214"/>
    <n v="760000"/>
    <n v="3551.4018691588785"/>
    <n v="760000"/>
    <s v="دور للبيع في بدر, جنوب الرياض"/>
    <s v="بدر، جنوب الرياض، الرياض"/>
    <x v="1"/>
    <s v="حي بدر"/>
    <s v="الرياض"/>
    <s v="شركة نجمة التميز للعقارات"/>
  </r>
  <r>
    <s v="J669701526"/>
    <x v="3"/>
    <n v="4"/>
    <n v="3"/>
    <n v="214"/>
    <n v="760000"/>
    <n v="3551.4018691588785"/>
    <n v="760000"/>
    <s v="دور للبيع في بدر، جنوب الرياض"/>
    <s v="بدر، جنوب الرياض، الرياض"/>
    <x v="1"/>
    <s v="حي بدر"/>
    <s v="الرياض"/>
    <s v="​فردي / مالك"/>
  </r>
  <r>
    <s v="S557985808"/>
    <x v="3"/>
    <n v="4"/>
    <n v="4"/>
    <n v="214"/>
    <n v="760000"/>
    <n v="3551.4018691588785"/>
    <n v="760000"/>
    <s v="دور للبيع في بدر، جنوب الرياض"/>
    <s v="بدر، جنوب الرياض، الرياض"/>
    <x v="1"/>
    <s v="حي بدر"/>
    <s v="الرياض"/>
    <s v="شركة نجمة التميز للعقارات"/>
  </r>
  <r>
    <s v="F557985808"/>
    <x v="3"/>
    <n v="4"/>
    <n v="4"/>
    <n v="214"/>
    <n v="760000"/>
    <n v="3551.4018691588785"/>
    <n v="760000"/>
    <s v="دور للبيع في بدر، جنوب الرياض"/>
    <s v="بدر، جنوب الرياض، الرياض"/>
    <x v="1"/>
    <s v="حي بدر"/>
    <s v="الرياض"/>
    <s v="شركة نجمة التميز للعقارات"/>
  </r>
  <r>
    <s v="S554727661"/>
    <x v="3"/>
    <n v="4"/>
    <n v="4"/>
    <n v="214"/>
    <n v="760000"/>
    <n v="3551.4018691588785"/>
    <n v="760000"/>
    <s v="دور للبيع في بدر، جنوب الرياض"/>
    <s v="بدر، جنوب الرياض، الرياض"/>
    <x v="1"/>
    <s v="حي بدر"/>
    <s v="الرياض"/>
    <s v="​فردي / مالك"/>
  </r>
  <r>
    <s v="G557985808"/>
    <x v="3"/>
    <n v="4"/>
    <n v="4"/>
    <n v="214"/>
    <n v="760000"/>
    <n v="3551.4018691588785"/>
    <n v="760000"/>
    <s v="دور للبيع في بدر، جنوب الرياض"/>
    <s v="بدر، جنوب الرياض، الرياض"/>
    <x v="1"/>
    <s v="حي بدر"/>
    <s v="الرياض"/>
    <s v="شركة نجمة التميز للعقارات"/>
  </r>
  <r>
    <s v="W712103922"/>
    <x v="3"/>
    <n v="4"/>
    <n v="4"/>
    <n v="214"/>
    <n v="760000"/>
    <n v="3551.4018691588785"/>
    <n v="760000"/>
    <s v="شقة للبيع في بدر، جنوب الرياض"/>
    <s v="بدر، جنوب الرياض، الرياض"/>
    <x v="1"/>
    <s v="حي بدر"/>
    <s v="الرياض"/>
    <s v="شركة نجمة التميز للعقارات"/>
  </r>
  <r>
    <s v="F557985808"/>
    <x v="3"/>
    <n v="4"/>
    <n v="4"/>
    <n v="214"/>
    <n v="760000"/>
    <n v="3551.4018691588785"/>
    <n v="760000"/>
    <s v="دور للبيع في بدر، جنوب الرياض"/>
    <s v="بدر، جنوب الرياض، الرياض"/>
    <x v="1"/>
    <s v="حي بدر"/>
    <s v="الرياض"/>
    <s v="شركة نجمة التميز للعقارات"/>
  </r>
  <r>
    <s v="L538484379"/>
    <x v="3"/>
    <n v="4"/>
    <n v="4"/>
    <n v="214"/>
    <n v="760000"/>
    <n v="3551.4018691588785"/>
    <n v="760000"/>
    <s v="دور للبيع في بدر, جنوب الرياض"/>
    <s v="بدر، جنوب الرياض، الرياض"/>
    <x v="1"/>
    <s v="حي بدر"/>
    <s v="الرياض"/>
    <s v="شركة نجمة التميز للعقارات"/>
  </r>
  <r>
    <s v="K227357238"/>
    <x v="3"/>
    <n v="4"/>
    <n v="4"/>
    <n v="214"/>
    <n v="760000"/>
    <n v="3551.4018691588785"/>
    <n v="760000"/>
    <s v="دور للبيع في  السويدي، غرب الرياض"/>
    <s v="بدر، جنوب الرياض، الرياض"/>
    <x v="1"/>
    <s v="حي بدر"/>
    <s v="الرياض"/>
    <s v="شركة نجمة التميز للعقارات"/>
  </r>
  <r>
    <s v="B554727661"/>
    <x v="3"/>
    <n v="4"/>
    <n v="4"/>
    <n v="214"/>
    <n v="760000"/>
    <n v="3551.4018691588785"/>
    <n v="760000"/>
    <s v="دور للبيع في بدر، جنوب الرياض"/>
    <s v="بدر، جنوب الرياض، الرياض"/>
    <x v="1"/>
    <s v="حي بدر"/>
    <s v="الرياض"/>
    <s v="​فردي / مالك"/>
  </r>
  <r>
    <s v="H557985808"/>
    <x v="3"/>
    <n v="4"/>
    <n v="4"/>
    <n v="214"/>
    <n v="760000"/>
    <n v="3551.4018691588785"/>
    <n v="760000"/>
    <s v="دور للبيع في بدر، جنوب الرياض"/>
    <s v="بدر، جنوب الرياض، الرياض"/>
    <x v="1"/>
    <s v="حي بدر"/>
    <s v="الرياض"/>
    <s v="شركة نجمة التميز للعقارات"/>
  </r>
  <r>
    <s v="I557985808"/>
    <x v="3"/>
    <n v="4"/>
    <n v="4"/>
    <n v="214"/>
    <n v="760000"/>
    <n v="3551.4018691588785"/>
    <n v="760000"/>
    <s v="دور للبيع في بدر، جنوب الرياض"/>
    <s v="بدر، جنوب الرياض، الرياض"/>
    <x v="1"/>
    <s v="حي بدر"/>
    <s v="الرياض"/>
    <s v="شركة نجمة التميز للعقارات"/>
  </r>
  <r>
    <s v="K562231889"/>
    <x v="3"/>
    <n v="4"/>
    <n v="4"/>
    <n v="214"/>
    <n v="760000"/>
    <n v="3551.4018691588785"/>
    <n v="760000"/>
    <s v="دور علوي للبيع في بدر، جنوب الرياض"/>
    <s v="بدر، جنوب الرياض، الرياض"/>
    <x v="1"/>
    <s v="حي بدر"/>
    <s v="الرياض"/>
    <s v="شركة نجمة التميز للعقارات"/>
  </r>
  <r>
    <s v="K151414340"/>
    <x v="3"/>
    <n v="4"/>
    <n v="4"/>
    <n v="214"/>
    <n v="760000"/>
    <n v="3551.4018691588785"/>
    <n v="760000"/>
    <s v="دور للبيع في بدر, جنوب الرياض"/>
    <s v="بدر، جنوب الرياض، الرياض"/>
    <x v="1"/>
    <s v="حي بدر"/>
    <s v="الرياض"/>
    <s v="​فردي / مالك"/>
  </r>
  <r>
    <s v="D805731001"/>
    <x v="3"/>
    <n v="4"/>
    <n v="4"/>
    <n v="214"/>
    <n v="760000"/>
    <n v="3551.4018691588785"/>
    <n v="760000"/>
    <s v="أدوار للبيع في بدر، جنوب الرياض"/>
    <s v="بدر، جنوب الرياض، الرياض"/>
    <x v="1"/>
    <s v="حي بدر"/>
    <s v="الرياض"/>
    <s v="​فردي / مالك"/>
  </r>
  <r>
    <s v="T891178646"/>
    <x v="3"/>
    <n v="3"/>
    <n v="3"/>
    <n v="214"/>
    <n v="760000"/>
    <n v="3551.4018691588785"/>
    <n v="760000"/>
    <s v="دور للبيع في  بدر، جنوب الرياض"/>
    <s v="بدر، جنوب الرياض، الرياض"/>
    <x v="1"/>
    <s v="حي بدر"/>
    <s v="الرياض"/>
    <s v="​فردي / مالك"/>
  </r>
  <r>
    <s v="P018925967"/>
    <x v="3"/>
    <n v="4"/>
    <n v="4"/>
    <n v="214"/>
    <n v="760000"/>
    <n v="3551.4018691588785"/>
    <n v="760000"/>
    <s v="أدوار للبيع في بدر، جنوب الرياض"/>
    <s v="بدر، جنوب الرياض، الرياض"/>
    <x v="1"/>
    <s v="حي بدر"/>
    <s v="الرياض"/>
    <s v="شركة نجمة التميز للعقارات"/>
  </r>
  <r>
    <s v="T850495412"/>
    <x v="3"/>
    <n v="4"/>
    <n v="4"/>
    <n v="214"/>
    <n v="760000"/>
    <n v="3551.4018691588785"/>
    <n v="760000"/>
    <s v="شقة للبيع في حي بدر، جنوب الرياض"/>
    <s v="بدر، جنوب الرياض، الرياض"/>
    <x v="1"/>
    <s v="حي بدر"/>
    <s v="الرياض"/>
    <s v="شركة نجمة التميز للعقارات"/>
  </r>
  <r>
    <s v="G841946789"/>
    <x v="3"/>
    <n v="4"/>
    <n v="4"/>
    <n v="214"/>
    <n v="760000"/>
    <n v="3551.4018691588785"/>
    <n v="760000"/>
    <s v="شقة للبيع في حي بدر، جنوب الرياض"/>
    <s v="بدر، جنوب الرياض، الرياض"/>
    <x v="1"/>
    <s v="حي بدر"/>
    <s v="الرياض"/>
    <s v="​فردي / مالك"/>
  </r>
  <r>
    <s v="V554727661"/>
    <x v="3"/>
    <n v="4"/>
    <n v="4"/>
    <n v="214"/>
    <n v="760000"/>
    <n v="3551.4018691588785"/>
    <n v="760000"/>
    <s v="دور للبيع في بدر، جنوب الرياض"/>
    <s v="بدر، جنوب الرياض، الرياض"/>
    <x v="1"/>
    <s v="حي بدر"/>
    <s v="الرياض"/>
    <s v="​فردي / مالك"/>
  </r>
  <r>
    <s v="Y557985808"/>
    <x v="3"/>
    <n v="4"/>
    <n v="4"/>
    <n v="214"/>
    <n v="760000"/>
    <n v="3551.4018691588785"/>
    <n v="760000"/>
    <s v="دور للبيع في بدر، جنوب الرياض"/>
    <s v="بدر، جنوب الرياض، الرياض"/>
    <x v="1"/>
    <s v="حي بدر"/>
    <s v="الرياض"/>
    <s v="شركة نجمة التميز للعقارات"/>
  </r>
  <r>
    <s v="P018925967"/>
    <x v="3"/>
    <n v="4"/>
    <n v="4"/>
    <n v="214"/>
    <n v="760000"/>
    <n v="3551.4018691588785"/>
    <n v="760000"/>
    <s v="أدوار للبيع في بدر، جنوب الرياض"/>
    <s v="بدر، جنوب الرياض، الرياض"/>
    <x v="1"/>
    <s v="حي بدر"/>
    <s v="الرياض"/>
    <s v="شركة نجمة التميز للعقارات"/>
  </r>
  <r>
    <s v="P557985808"/>
    <x v="3"/>
    <n v="4"/>
    <n v="4"/>
    <n v="214"/>
    <n v="760000"/>
    <n v="3551.4018691588785"/>
    <n v="760000"/>
    <s v="دور للبيع في بدر، جنوب الرياض"/>
    <s v="بدر، جنوب الرياض، الرياض"/>
    <x v="1"/>
    <s v="حي بدر"/>
    <s v="الرياض"/>
    <s v="شركة نجمة التميز للعقارات"/>
  </r>
  <r>
    <s v="P689568196"/>
    <x v="0"/>
    <n v="5"/>
    <n v="3"/>
    <n v="138"/>
    <n v="760000"/>
    <n v="5507.246376811594"/>
    <n v="760000"/>
    <s v="شقة للبيع في  اليرموك ،شرق الرياض"/>
    <s v="اليرموك، شرق الرياض، الرياض"/>
    <x v="0"/>
    <s v="حي اليرموك"/>
    <s v="الرياض"/>
    <s v="مؤسسة منازل رائدة العقارية"/>
  </r>
  <r>
    <s v="L536271756"/>
    <x v="0"/>
    <n v="3"/>
    <n v="4"/>
    <n v="124"/>
    <n v="765000"/>
    <n v="6169.3548387096771"/>
    <n v="765000"/>
    <s v="​شقة فاخرة للبيع في حي القادسية، شرق الرياض"/>
    <s v="القادسية، شرق الرياض، الرياض"/>
    <x v="0"/>
    <s v="حي القادسية"/>
    <s v="الرياض"/>
    <s v="سكن المعالي للعقارات"/>
  </r>
  <r>
    <s v="Q386219271"/>
    <x v="3"/>
    <n v="2"/>
    <n v="2"/>
    <n v="193"/>
    <n v="769999"/>
    <n v="3989.6321243523316"/>
    <n v="769999"/>
    <s v="فيلا للايجار حي الشفاء"/>
    <s v="الشفا، جنوب الرياض، الرياض"/>
    <x v="1"/>
    <s v="حي الشفا"/>
    <s v="الرياض"/>
    <s v="شركة مدى الاعصار العقارية"/>
  </r>
  <r>
    <s v="E616539307"/>
    <x v="0"/>
    <n v="4"/>
    <n v="3"/>
    <n v="140"/>
    <n v="770000"/>
    <n v="5500"/>
    <n v="770000"/>
    <s v="شقة مودرن"/>
    <s v="القادسية، شرق الرياض، الرياض"/>
    <x v="0"/>
    <s v="حي القادسية"/>
    <s v="الرياض"/>
    <s v="سكن المعالي للعقارات"/>
  </r>
  <r>
    <s v="H900111264"/>
    <x v="0"/>
    <n v="3"/>
    <n v="3"/>
    <n v="3001"/>
    <n v="770000"/>
    <n v="256.58113962012663"/>
    <n v="770000"/>
    <s v="شقة للبيع في القادسية، شرق الرياض"/>
    <s v="القادسية، شرق الرياض، الرياض"/>
    <x v="0"/>
    <s v="حي القادسية"/>
    <s v="الرياض"/>
    <s v="شركة مطور للتطوير العقاري"/>
  </r>
  <r>
    <s v="W649079503"/>
    <x v="0"/>
    <n v="3"/>
    <n v="3"/>
    <n v="140"/>
    <n v="770000"/>
    <n v="5500"/>
    <n v="770000"/>
    <s v="شقة فاخرة للبيع بحي القادسيه"/>
    <s v="القادسية، شرق الرياض، الرياض"/>
    <x v="0"/>
    <s v="حي القادسية"/>
    <s v="الرياض"/>
    <s v="سكن المعالي للعقارات"/>
  </r>
  <r>
    <s v="N029955568"/>
    <x v="0"/>
    <n v="4"/>
    <n v="3"/>
    <n v="140"/>
    <n v="770000"/>
    <n v="5500"/>
    <n v="770000"/>
    <s v="للبيع شقة في القادسية، شرق الرياض"/>
    <s v="القادسية، شرق الرياض، الرياض"/>
    <x v="0"/>
    <s v="حي القادسية"/>
    <s v="الرياض"/>
    <s v="سكن المعالي للعقارات"/>
  </r>
  <r>
    <s v="G383163244"/>
    <x v="0"/>
    <n v="4"/>
    <n v="2"/>
    <n v="1001"/>
    <n v="770000"/>
    <n v="769.23076923076928"/>
    <n v="770000"/>
    <s v="شقة للبيع في الحمراء، شرق الرياض"/>
    <s v="الحمراء، شرق الرياض، الرياض"/>
    <x v="0"/>
    <s v="حي الحمراء"/>
    <s v="الرياض"/>
    <s v="​فردي / مالك"/>
  </r>
  <r>
    <s v="D821946759"/>
    <x v="1"/>
    <n v="0"/>
    <n v="0"/>
    <n v="375"/>
    <n v="780000"/>
    <n v="2080"/>
    <n v="780000"/>
    <s v="أرض للبيع في مخطط الخير، شمال الرياض"/>
    <s v="الرياض"/>
    <x v="4"/>
    <s v="حي الرياض"/>
    <s v="الرياض"/>
    <s v="مكتب دار باجد للعقارات"/>
  </r>
  <r>
    <s v="B885072826"/>
    <x v="3"/>
    <n v="7"/>
    <n v="3"/>
    <n v="227"/>
    <n v="780000"/>
    <n v="3436.1233480176211"/>
    <n v="780000"/>
    <s v="٣ غرف نوم ادوار للبيع العزيزية، الرياض"/>
    <s v="العزيزية، جنوب الرياض، الرياض"/>
    <x v="1"/>
    <s v="حي العزيزية"/>
    <s v="الرياض"/>
    <s v="​فردي / مالك"/>
  </r>
  <r>
    <s v="L066807224"/>
    <x v="3"/>
    <n v="6"/>
    <n v="4"/>
    <n v="227"/>
    <n v="780000"/>
    <n v="3436.1233480176211"/>
    <n v="780000"/>
    <s v="دور للبيع في حي العزيزية، جنوب الرياض"/>
    <s v="العزيزية، جنوب الرياض، الرياض"/>
    <x v="1"/>
    <s v="حي العزيزية"/>
    <s v="الرياض"/>
    <s v="إسكان سلمان للتسويق العقاري"/>
  </r>
  <r>
    <s v="W332938144"/>
    <x v="1"/>
    <n v="0"/>
    <n v="0"/>
    <n v="298"/>
    <n v="780000"/>
    <n v="2617.44966442953"/>
    <n v="780000"/>
    <s v="أرض للبيع في مخطط الخير, شمال الرياض"/>
    <s v="مخطط الخير، شمال الرياض، الرياض"/>
    <x v="4"/>
    <s v="حي مخطط الخير"/>
    <s v="الرياض"/>
    <s v="مكتب عبدالكريم منصور محمد النويصري للعقارات"/>
  </r>
  <r>
    <s v="R633643996"/>
    <x v="3"/>
    <n v="3"/>
    <n v="3"/>
    <n v="227"/>
    <n v="780000"/>
    <n v="3436.1233480176211"/>
    <n v="780000"/>
    <s v="ادوار ارضيه وعلويه حي العزيزيه"/>
    <s v="العزيزية، جنوب الرياض، الرياض"/>
    <x v="1"/>
    <s v="حي العزيزية"/>
    <s v="الرياض"/>
    <s v="​فردي / مالك"/>
  </r>
  <r>
    <s v="U527658875"/>
    <x v="3"/>
    <n v="6"/>
    <n v="4"/>
    <n v="227"/>
    <n v="780000"/>
    <n v="3436.1233480176211"/>
    <n v="780000"/>
    <s v="دور للبيع في العزيزيه، جنوب الرياض"/>
    <s v="العزيزية، جنوب الرياض، الرياض"/>
    <x v="1"/>
    <s v="حي العزيزية"/>
    <s v="الرياض"/>
    <s v="إسكان سلمان للتسويق العقاري"/>
  </r>
  <r>
    <s v="B101377285"/>
    <x v="1"/>
    <n v="0"/>
    <n v="0"/>
    <n v="300"/>
    <n v="780000"/>
    <n v="2600"/>
    <n v="780000"/>
    <s v="أرض سكنية للبيع في الرياض"/>
    <s v="الرياض"/>
    <x v="5"/>
    <s v="حي الرياض"/>
    <s v="الرياض"/>
    <s v="مكتب عبدالكريم منصور محمد النويصري للعقارات"/>
  </r>
  <r>
    <s v="K117578426"/>
    <x v="3"/>
    <n v="6"/>
    <n v="4"/>
    <n v="227"/>
    <n v="780000"/>
    <n v="3436.1233480176211"/>
    <n v="780000"/>
    <s v="دور للبيع في العزيزية، جنوب الرياض"/>
    <s v="العزيزية، جنوب الرياض، الرياض"/>
    <x v="1"/>
    <s v="حي العزيزية"/>
    <s v="الرياض"/>
    <s v="​فردي / مالك"/>
  </r>
  <r>
    <s v="U117578426"/>
    <x v="3"/>
    <n v="6"/>
    <n v="4"/>
    <n v="227"/>
    <n v="780000"/>
    <n v="3436.1233480176211"/>
    <n v="780000"/>
    <s v="دور للبيع في العزيزية، جنوب الرياض"/>
    <s v="العزيزية، جنوب الرياض، الرياض"/>
    <x v="1"/>
    <s v="حي العزيزية"/>
    <s v="الرياض"/>
    <s v="​فردي / مالك"/>
  </r>
  <r>
    <s v="O715245325"/>
    <x v="0"/>
    <n v="3"/>
    <n v="3"/>
    <n v="136"/>
    <n v="790000"/>
    <n v="5808.8235294117649"/>
    <n v="790000"/>
    <s v="شقة 3 غرف نوم للبيع في المهدية، الرياض"/>
    <s v="المهدية، غرب الرياض، الرياض"/>
    <x v="3"/>
    <s v="حي المهدية"/>
    <s v="الرياض"/>
    <s v="شركة بنائات العقارية"/>
  </r>
  <r>
    <s v="Q124606927"/>
    <x v="0"/>
    <n v="3"/>
    <n v="4"/>
    <n v="159"/>
    <n v="790000"/>
    <n v="4968.5534591194964"/>
    <n v="790000"/>
    <s v="شقه للبيع"/>
    <s v="القادسية، شرق الرياض، الرياض"/>
    <x v="0"/>
    <s v="حي القادسية"/>
    <s v="الرياض"/>
    <s v="سكن المعالي للعقارات"/>
  </r>
  <r>
    <s v="N558809298"/>
    <x v="0"/>
    <n v="4"/>
    <n v="3"/>
    <n v="136"/>
    <n v="790000"/>
    <n v="5808.8235294117649"/>
    <n v="790000"/>
    <s v="للبيع شقة في المهدية، غرب الرياض"/>
    <s v="المهدية، غرب الرياض، الرياض"/>
    <x v="3"/>
    <s v="حي المهدية"/>
    <s v="الرياض"/>
    <s v="شركة بنائات العقارية"/>
  </r>
  <r>
    <s v="P597293055"/>
    <x v="0"/>
    <n v="3"/>
    <n v="4"/>
    <n v="140"/>
    <n v="790000"/>
    <n v="5642.8571428571431"/>
    <n v="790000"/>
    <s v="شقة للبيع في الرمال، شرق الرياض"/>
    <s v="الرمال، شرق الرياض، الرياض"/>
    <x v="0"/>
    <s v="حي الرمال"/>
    <s v="الرياض"/>
    <s v="إسكان سلمان للتسويق العقاري"/>
  </r>
  <r>
    <s v="H086994899"/>
    <x v="0"/>
    <n v="4"/>
    <n v="4"/>
    <n v="140"/>
    <n v="790000"/>
    <n v="5642.8571428571431"/>
    <n v="790000"/>
    <s v="شقة - الرياض - حي الرمال"/>
    <s v="الرمال، شرق الرياض، الرياض"/>
    <x v="0"/>
    <s v="حي الرمال"/>
    <s v="الرياض"/>
    <s v="إسكان سلمان للتسويق العقاري"/>
  </r>
  <r>
    <s v="H252363233"/>
    <x v="0"/>
    <n v="3"/>
    <n v="3"/>
    <n v="182"/>
    <n v="790000"/>
    <n v="4340.6593406593411"/>
    <n v="790000"/>
    <s v="شقة للبيع في الرمال، شرق الرياض"/>
    <s v="الرمال، شرق الرياض، الرياض"/>
    <x v="0"/>
    <s v="حي الرمال"/>
    <s v="الرياض"/>
    <s v="شركة راكز العقارية"/>
  </r>
  <r>
    <s v="D924138740"/>
    <x v="0"/>
    <n v="3"/>
    <n v="4"/>
    <n v="140"/>
    <n v="790000"/>
    <n v="5642.8571428571431"/>
    <n v="790000"/>
    <s v="شقة فاخرة للبيع في القادسية، شرق الرياض"/>
    <s v="القادسية، شرق الرياض، الرياض"/>
    <x v="0"/>
    <s v="حي القادسية"/>
    <s v="الرياض"/>
    <s v="سكن المعالي للعقارات"/>
  </r>
  <r>
    <s v="R991795373"/>
    <x v="0"/>
    <n v="4"/>
    <n v="3"/>
    <n v="140"/>
    <n v="790000"/>
    <n v="5642.8571428571431"/>
    <n v="790000"/>
    <s v="شقة للبيع في القادسية، شرق الرياض"/>
    <s v="القادسية، شرق الرياض، الرياض"/>
    <x v="0"/>
    <s v="حي القادسية"/>
    <s v="الرياض"/>
    <s v="سكن المعالي للعقارات"/>
  </r>
  <r>
    <s v="L630707937"/>
    <x v="0"/>
    <n v="3"/>
    <n v="3"/>
    <n v="182"/>
    <n v="790000"/>
    <n v="4340.6593406593411"/>
    <n v="790000"/>
    <s v="للبيع شقة في الرمال، شرق الرياض"/>
    <s v="الرمال، شرق الرياض، الرياض"/>
    <x v="0"/>
    <s v="حي الرمال"/>
    <s v="الرياض"/>
    <s v="شركة راكز العقارية"/>
  </r>
  <r>
    <s v="B630707937"/>
    <x v="0"/>
    <n v="3"/>
    <n v="3"/>
    <n v="182"/>
    <n v="790000"/>
    <n v="4340.6593406593411"/>
    <n v="790000"/>
    <s v="للبيع شقة في الرمال، شرق الرياض"/>
    <s v="الرمال، شرق الرياض، الرياض"/>
    <x v="0"/>
    <s v="حي الرمال"/>
    <s v="الرياض"/>
    <s v="شركة راكز العقارية"/>
  </r>
  <r>
    <s v="E248501972"/>
    <x v="0"/>
    <n v="4"/>
    <n v="3"/>
    <n v="88"/>
    <n v="797000"/>
    <n v="9056.818181818182"/>
    <n v="797000"/>
    <s v="شقه مع سطح بحي القادسية بسعر مميز"/>
    <s v="القادسية، شرق الرياض، الرياض"/>
    <x v="0"/>
    <s v="حي القادسية"/>
    <s v="الرياض"/>
    <s v="سكن المعالي للعقارات"/>
  </r>
  <r>
    <s v="B537248917"/>
    <x v="0"/>
    <n v="3"/>
    <n v="3"/>
    <n v="88"/>
    <n v="797000"/>
    <n v="9056.818181818182"/>
    <n v="797000"/>
    <s v="شقه بفيلا للبيع بحي القادسية"/>
    <s v="القادسية، شرق الرياض، الرياض"/>
    <x v="0"/>
    <s v="حي القادسية"/>
    <s v="الرياض"/>
    <s v="سكن المعالي للعقارات"/>
  </r>
  <r>
    <s v="V745371960"/>
    <x v="0"/>
    <n v="4"/>
    <n v="3"/>
    <n v="88"/>
    <n v="797000"/>
    <n v="9056.818181818182"/>
    <n v="797000"/>
    <s v="شقة للبيع في القادسية، شرق الرياض"/>
    <s v="القادسية، شرق الرياض، الرياض"/>
    <x v="0"/>
    <s v="حي القادسية"/>
    <s v="الرياض"/>
    <s v="سكن المعالي للعقارات"/>
  </r>
  <r>
    <s v="B100764413"/>
    <x v="0"/>
    <n v="4"/>
    <n v="4"/>
    <n v="88"/>
    <n v="797000"/>
    <n v="9056.818181818182"/>
    <n v="797000"/>
    <s v="للبيع شقة في القادسية، شرق الرياض"/>
    <s v="القادسية، شرق الرياض، الرياض"/>
    <x v="0"/>
    <s v="حي القادسية"/>
    <s v="الرياض"/>
    <s v="سكن المعالي للعقارات"/>
  </r>
  <r>
    <s v="E093712575"/>
    <x v="0"/>
    <n v="3"/>
    <n v="3"/>
    <n v="88"/>
    <n v="797000"/>
    <n v="9056.818181818182"/>
    <n v="797000"/>
    <s v="للبيع شقق سكنية في القادسية، شرق الرياض"/>
    <s v="القادسية، شرق الرياض، الرياض"/>
    <x v="0"/>
    <s v="حي القادسية"/>
    <s v="الرياض"/>
    <s v="سكن المعالي للعقارات"/>
  </r>
  <r>
    <s v="Q585712918"/>
    <x v="0"/>
    <n v="4"/>
    <n v="3"/>
    <n v="88"/>
    <n v="797000"/>
    <n v="9056.818181818182"/>
    <n v="797000"/>
    <s v="شقة بفيلا للبيع في القادسية، شرق الرياض"/>
    <s v="القادسية، شرق الرياض، الرياض"/>
    <x v="0"/>
    <s v="حي القادسية"/>
    <s v="الرياض"/>
    <s v="سكن المعالي للعقارات"/>
  </r>
  <r>
    <s v="B566435343"/>
    <x v="3"/>
    <n v="3"/>
    <n v="3"/>
    <n v="500"/>
    <n v="800000"/>
    <n v="1600"/>
    <n v="800000"/>
    <s v="دور للبيع في شبرا، غرب الرياض"/>
    <s v="شبرا، غرب الرياض، الرياض"/>
    <x v="3"/>
    <s v="حي شبرا"/>
    <s v="الرياض"/>
    <s v="شركة نجمة التميز للعقارات"/>
  </r>
  <r>
    <s v="Z373191240"/>
    <x v="3"/>
    <n v="3"/>
    <n v="3"/>
    <n v="500"/>
    <n v="800000"/>
    <n v="1600"/>
    <n v="800000"/>
    <s v="ادوار للبيع في  شبرا، غرب الرياض"/>
    <s v="شبرا، غرب الرياض، الرياض"/>
    <x v="3"/>
    <s v="حي شبرا"/>
    <s v="الرياض"/>
    <s v="​فردي / مالك"/>
  </r>
  <r>
    <s v="H683029149"/>
    <x v="3"/>
    <n v="3"/>
    <n v="3"/>
    <n v="500"/>
    <n v="800000"/>
    <n v="1600"/>
    <n v="800000"/>
    <s v="ادوار بصك حي السويدي"/>
    <s v="شبرا، غرب الرياض، الرياض"/>
    <x v="3"/>
    <s v="حي شبرا"/>
    <s v="الرياض"/>
    <s v="​فردي / مالك"/>
  </r>
  <r>
    <s v="Z952751472"/>
    <x v="3"/>
    <n v="3"/>
    <n v="3"/>
    <n v="500"/>
    <n v="800000"/>
    <n v="1600"/>
    <n v="800000"/>
    <s v="أدوار للبيع في شبرا، غرب الرياض"/>
    <s v="شبرا، غرب الرياض، الرياض"/>
    <x v="3"/>
    <s v="حي شبرا"/>
    <s v="الرياض"/>
    <s v="شركة نجمة التميز للعقارات"/>
  </r>
  <r>
    <s v="X565851689"/>
    <x v="3"/>
    <n v="3"/>
    <n v="3"/>
    <n v="500"/>
    <n v="800000"/>
    <n v="1600"/>
    <n v="800000"/>
    <s v="دور للبيع في شبرا, غرب الرياض"/>
    <s v="شبرا، غرب الرياض، الرياض"/>
    <x v="3"/>
    <s v="حي شبرا"/>
    <s v="الرياض"/>
    <s v="شركة نجمة التميز للعقارات"/>
  </r>
  <r>
    <s v="A952751472"/>
    <x v="3"/>
    <n v="3"/>
    <n v="3"/>
    <n v="500"/>
    <n v="800000"/>
    <n v="1600"/>
    <n v="800000"/>
    <s v="أدوار للبيع في شبرا، غرب الرياض"/>
    <s v="شبرا، غرب الرياض، الرياض"/>
    <x v="3"/>
    <s v="حي شبرا"/>
    <s v="الرياض"/>
    <s v="شركة نجمة التميز للعقارات"/>
  </r>
  <r>
    <s v="N124389146"/>
    <x v="3"/>
    <n v="4"/>
    <n v="5"/>
    <n v="193"/>
    <n v="800000"/>
    <n v="4145.0777202072541"/>
    <n v="800000"/>
    <s v="دور للبيع في طويق, غرب الرياض"/>
    <s v="طويق، غرب الرياض، الرياض"/>
    <x v="3"/>
    <s v="حي طويق"/>
    <s v="الرياض"/>
    <s v="شركة نجمة التميز للعقارات"/>
  </r>
  <r>
    <s v="T567044536"/>
    <x v="3"/>
    <n v="3"/>
    <n v="3"/>
    <n v="500"/>
    <n v="800000"/>
    <n v="1600"/>
    <n v="800000"/>
    <s v="دور للبيع في  شبرا، غرب الرياض"/>
    <s v="شبرا، غرب الرياض، الرياض"/>
    <x v="3"/>
    <s v="حي شبرا"/>
    <s v="الرياض"/>
    <s v="شركة نجمة التميز للعقارات"/>
  </r>
  <r>
    <s v="K952751472"/>
    <x v="3"/>
    <n v="3"/>
    <n v="3"/>
    <n v="500"/>
    <n v="800000"/>
    <n v="1600"/>
    <n v="800000"/>
    <s v="أدوار للبيع في شبرا، غرب الرياض"/>
    <s v="شبرا، غرب الرياض، الرياض"/>
    <x v="3"/>
    <s v="حي شبرا"/>
    <s v="الرياض"/>
    <s v="شركة نجمة التميز للعقارات"/>
  </r>
  <r>
    <s v="K148954850"/>
    <x v="3"/>
    <n v="3"/>
    <n v="3"/>
    <n v="194"/>
    <n v="800000"/>
    <n v="4123.7113402061859"/>
    <n v="800000"/>
    <s v="دور للبيع في  طويق، غرب الرياض"/>
    <s v="طويق، غرب الرياض، الرياض"/>
    <x v="3"/>
    <s v="حي طويق"/>
    <s v="الرياض"/>
    <s v="شركة نجمة التميز للعقارات"/>
  </r>
  <r>
    <s v="I565851689"/>
    <x v="3"/>
    <n v="3"/>
    <n v="3"/>
    <n v="500"/>
    <n v="800000"/>
    <n v="1600"/>
    <n v="800000"/>
    <s v="دور للبيع في شبرا, غرب الرياض"/>
    <s v="شبرا، غرب الرياض، الرياض"/>
    <x v="3"/>
    <s v="حي شبرا"/>
    <s v="الرياض"/>
    <s v="شركة نجمة التميز للعقارات"/>
  </r>
  <r>
    <s v="N363996806"/>
    <x v="3"/>
    <n v="6"/>
    <n v="3"/>
    <n v="169"/>
    <n v="800000"/>
    <n v="4733.7278106508875"/>
    <n v="800000"/>
    <s v="دور - الرياض - حي الرمال"/>
    <s v="الرمال، شرق الرياض، الرياض"/>
    <x v="0"/>
    <s v="حي الرمال"/>
    <s v="الرياض"/>
    <s v="إسكان سلمان للتسويق العقاري"/>
  </r>
  <r>
    <s v="U124260026"/>
    <x v="3"/>
    <n v="3"/>
    <n v="3"/>
    <n v="500"/>
    <n v="800000"/>
    <n v="1600"/>
    <n v="800000"/>
    <s v="أدوار للبيع في شبرا، غرب الرياض"/>
    <s v="شبرا، غرب الرياض، الرياض"/>
    <x v="3"/>
    <s v="حي شبرا"/>
    <s v="الرياض"/>
    <s v="​فردي / مالك"/>
  </r>
  <r>
    <s v="U833090161"/>
    <x v="3"/>
    <n v="3"/>
    <n v="3"/>
    <n v="250"/>
    <n v="800000"/>
    <n v="3200"/>
    <n v="800000"/>
    <s v="دور للبيع في شبرا، غرب الرياض"/>
    <s v="شبرا، غرب الرياض، الرياض"/>
    <x v="3"/>
    <s v="حي شبرا"/>
    <s v="الرياض"/>
    <s v="​فردي / مالك"/>
  </r>
  <r>
    <s v="F124260026"/>
    <x v="3"/>
    <n v="3"/>
    <n v="3"/>
    <n v="500"/>
    <n v="800000"/>
    <n v="1600"/>
    <n v="800000"/>
    <s v="أدوار للبيع في شبرا، غرب الرياض"/>
    <s v="شبرا، غرب الرياض، الرياض"/>
    <x v="3"/>
    <s v="حي شبرا"/>
    <s v="الرياض"/>
    <s v="​فردي / مالك"/>
  </r>
  <r>
    <s v="Y567044536"/>
    <x v="3"/>
    <n v="3"/>
    <n v="3"/>
    <n v="500"/>
    <n v="800000"/>
    <n v="1600"/>
    <n v="800000"/>
    <s v="دور للبيع في  شبرا، غرب الرياض"/>
    <s v="شبرا، غرب الرياض، الرياض"/>
    <x v="3"/>
    <s v="حي شبرا"/>
    <s v="الرياض"/>
    <s v="شركة نجمة التميز للعقارات"/>
  </r>
  <r>
    <s v="Y952751472"/>
    <x v="3"/>
    <n v="3"/>
    <n v="3"/>
    <n v="500"/>
    <n v="800000"/>
    <n v="1600"/>
    <n v="800000"/>
    <s v="أدوار للبيع في شبرا، غرب الرياض"/>
    <s v="شبرا، غرب الرياض، الرياض"/>
    <x v="3"/>
    <s v="حي شبرا"/>
    <s v="الرياض"/>
    <s v="شركة نجمة التميز للعقارات"/>
  </r>
  <r>
    <s v="M339882301"/>
    <x v="3"/>
    <n v="4"/>
    <n v="4"/>
    <n v="500"/>
    <n v="800000"/>
    <n v="1600"/>
    <n v="800000"/>
    <s v="دور للبيع في شبرا, غرب الرياض"/>
    <s v="شبرا، غرب الرياض، الرياض"/>
    <x v="3"/>
    <s v="حي شبرا"/>
    <s v="الرياض"/>
    <s v="شركة نجمة التميز للعقارات"/>
  </r>
  <r>
    <s v="Q597766326"/>
    <x v="3"/>
    <n v="4"/>
    <n v="3"/>
    <n v="158"/>
    <n v="800000"/>
    <n v="5063.2911392405067"/>
    <n v="800000"/>
    <s v="دور للبيع في السعادة، شرق الرياض"/>
    <s v="السعادة، شرق الرياض، الرياض"/>
    <x v="0"/>
    <s v="حي السعادة"/>
    <s v="الرياض"/>
    <s v="مساكن ركاز للعقارات"/>
  </r>
  <r>
    <s v="E010723547"/>
    <x v="0"/>
    <n v="4"/>
    <n v="3"/>
    <n v="89"/>
    <n v="800000"/>
    <n v="8988.7640449438204"/>
    <n v="800000"/>
    <s v="للبيع شقه مع سطح في القادسية, شرق الرياض"/>
    <s v="القادسية، شرق الرياض، الرياض"/>
    <x v="0"/>
    <s v="حي القادسية"/>
    <s v="الرياض"/>
    <s v="سكن المعالي للعقارات"/>
  </r>
  <r>
    <s v="S763294776"/>
    <x v="1"/>
    <n v="0"/>
    <n v="0"/>
    <n v="375"/>
    <n v="800000"/>
    <n v="2133.3333333333335"/>
    <n v="800000"/>
    <s v="أرض سكنية للبيع في الرياض"/>
    <s v="الرياض"/>
    <x v="5"/>
    <s v="حي الرياض"/>
    <s v="الرياض"/>
    <s v="مكتب الاحمدي للعقارات"/>
  </r>
  <r>
    <s v="F798699983"/>
    <x v="3"/>
    <n v="3"/>
    <n v="3"/>
    <n v="250"/>
    <n v="800000"/>
    <n v="3200"/>
    <n v="800000"/>
    <s v="دور للبيع في شبرا، غرب الرياض"/>
    <s v="شبرا، غرب الرياض، الرياض"/>
    <x v="3"/>
    <s v="حي شبرا"/>
    <s v="الرياض"/>
    <s v="شركة نجمة التميز للعقارات"/>
  </r>
  <r>
    <s v="P955918009"/>
    <x v="3"/>
    <n v="3"/>
    <n v="3"/>
    <n v="420"/>
    <n v="800000"/>
    <n v="1904.7619047619048"/>
    <n v="800000"/>
    <s v="دور للبيع في طويق، غرب الرياض"/>
    <s v="طويق، غرب الرياض، الرياض"/>
    <x v="3"/>
    <s v="حي طويق"/>
    <s v="الرياض"/>
    <s v="​فردي / مالك"/>
  </r>
  <r>
    <s v="H124260026"/>
    <x v="3"/>
    <n v="3"/>
    <n v="3"/>
    <n v="500"/>
    <n v="800000"/>
    <n v="1600"/>
    <n v="800000"/>
    <s v="أدوار للبيع في شبرا، غرب الرياض"/>
    <s v="شبرا، غرب الرياض، الرياض"/>
    <x v="3"/>
    <s v="حي شبرا"/>
    <s v="الرياض"/>
    <s v="​فردي / مالك"/>
  </r>
  <r>
    <s v="R450661169"/>
    <x v="3"/>
    <n v="5"/>
    <n v="4"/>
    <n v="172"/>
    <n v="800000"/>
    <n v="4651.1627906976746"/>
    <n v="800000"/>
    <s v="دور - الرياض - حي طويق ( الغروب )"/>
    <s v="طويق، غرب الرياض، الرياض"/>
    <x v="3"/>
    <s v="حي طويق"/>
    <s v="الرياض"/>
    <s v="إسكان سلمان للتسويق العقاري"/>
  </r>
  <r>
    <s v="I270232777"/>
    <x v="0"/>
    <n v="4"/>
    <n v="4"/>
    <n v="181"/>
    <n v="800000"/>
    <n v="4419.8895027624312"/>
    <n v="800000"/>
    <s v="شقة للبيع في ظهرة لبن، غرب الرياض"/>
    <s v="ظهرة لبن، غرب الرياض، الرياض"/>
    <x v="3"/>
    <s v="حي ظهرة لبن"/>
    <s v="الرياض"/>
    <s v="مكتب البلط للعقارات"/>
  </r>
  <r>
    <s v="K277557451"/>
    <x v="4"/>
    <n v="3"/>
    <n v="4"/>
    <n v="172"/>
    <n v="800000"/>
    <n v="4651.1627906976746"/>
    <n v="800000"/>
    <s v="عمارة سكنية للبيع في الرمال، شرق الرياض"/>
    <s v="الرمال، شرق الرياض، الرياض"/>
    <x v="0"/>
    <s v="حي الرمال"/>
    <s v="الرياض"/>
    <s v="​فردي / مالك"/>
  </r>
  <r>
    <s v="Q551195749"/>
    <x v="3"/>
    <n v="3"/>
    <n v="4"/>
    <n v="181"/>
    <n v="800000"/>
    <n v="4419.8895027624312"/>
    <n v="800000"/>
    <s v="دور للبيع في طويق، غرب الرياض"/>
    <s v="طويق، غرب الرياض، الرياض"/>
    <x v="3"/>
    <s v="حي طويق"/>
    <s v="الرياض"/>
    <s v="​فردي / مالك"/>
  </r>
  <r>
    <s v="M787452868"/>
    <x v="0"/>
    <n v="4"/>
    <n v="3"/>
    <n v="245"/>
    <n v="800915"/>
    <n v="3269.0408163265306"/>
    <n v="800915"/>
    <s v="شقة للبيع في الحزم، غرب الرياض"/>
    <s v="الحزم، غرب الرياض، الرياض"/>
    <x v="3"/>
    <s v="حي الحزم"/>
    <s v="الرياض"/>
    <s v="​فردي / مالك"/>
  </r>
  <r>
    <s v="S829562460"/>
    <x v="0"/>
    <n v="4"/>
    <n v="3"/>
    <n v="137"/>
    <n v="820000"/>
    <n v="5985.4014598540143"/>
    <n v="820000"/>
    <s v="شقة للبيع في المهدية, غرب الرياض"/>
    <s v="المهدية، غرب الرياض، الرياض"/>
    <x v="3"/>
    <s v="حي المهدية"/>
    <s v="الرياض"/>
    <s v="شركة بنائات العقارية"/>
  </r>
  <r>
    <s v="P437468023"/>
    <x v="0"/>
    <n v="4"/>
    <n v="3"/>
    <n v="234"/>
    <n v="820000"/>
    <n v="3504.2735042735044"/>
    <n v="820000"/>
    <s v="شقة للبيع في العوالي، غرب الرياض"/>
    <s v="العوالي، غرب الرياض، الرياض"/>
    <x v="3"/>
    <s v="حي العوالي"/>
    <s v="الرياض"/>
    <s v="شركة نجمة التميز للعقارات"/>
  </r>
  <r>
    <s v="K437468023"/>
    <x v="0"/>
    <n v="4"/>
    <n v="3"/>
    <n v="234"/>
    <n v="820000"/>
    <n v="3504.2735042735044"/>
    <n v="820000"/>
    <s v="شقة للبيع في العوالي، غرب الرياض"/>
    <s v="العوالي، غرب الرياض، الرياض"/>
    <x v="3"/>
    <s v="حي العوالي"/>
    <s v="الرياض"/>
    <s v="شركة نجمة التميز للعقارات"/>
  </r>
  <r>
    <s v="E437468023"/>
    <x v="0"/>
    <n v="4"/>
    <n v="3"/>
    <n v="234"/>
    <n v="820000"/>
    <n v="3504.2735042735044"/>
    <n v="820000"/>
    <s v="شقة للبيع في العوالي، غرب الرياض"/>
    <s v="العوالي، غرب الرياض، الرياض"/>
    <x v="3"/>
    <s v="حي العوالي"/>
    <s v="الرياض"/>
    <s v="شركة نجمة التميز للعقارات"/>
  </r>
  <r>
    <s v="X634863845"/>
    <x v="0"/>
    <n v="3"/>
    <n v="3"/>
    <n v="1800"/>
    <n v="830000"/>
    <n v="461.11111111111109"/>
    <n v="830000"/>
    <s v="شقة للبيع في المهدية, غرب الرياض"/>
    <s v="المهدية، غرب الرياض، الرياض"/>
    <x v="3"/>
    <s v="حي المهدية"/>
    <s v="الرياض"/>
    <s v="​فردي / مالك"/>
  </r>
  <r>
    <s v="U529009311"/>
    <x v="0"/>
    <n v="3"/>
    <n v="3"/>
    <n v="84"/>
    <n v="830000"/>
    <n v="9880.9523809523816"/>
    <n v="830000"/>
    <s v="شقة للبيع في العارض، شمال الرياض"/>
    <s v="العارض، شمال الرياض، الرياض"/>
    <x v="4"/>
    <s v="حي العارض"/>
    <s v="الرياض"/>
    <s v="​فردي / مالك"/>
  </r>
  <r>
    <s v="C152412534"/>
    <x v="0"/>
    <n v="3"/>
    <n v="3"/>
    <n v="389"/>
    <n v="840000"/>
    <n v="2159.3830334190229"/>
    <n v="840000"/>
    <s v="شقة ملحق للبيع في لزهرة، غرب الرياض"/>
    <s v="الزهرة، غرب الرياض، الرياض"/>
    <x v="3"/>
    <s v="حي الزهرة"/>
    <s v="الرياض"/>
    <s v="​فردي / مالك"/>
  </r>
  <r>
    <s v="Q212147036"/>
    <x v="3"/>
    <n v="4"/>
    <n v="3"/>
    <n v="335"/>
    <n v="840000"/>
    <n v="2507.4626865671644"/>
    <n v="840000"/>
    <s v="دور للبيع في ضاحية نمار، غرب الرياض"/>
    <s v="ضاحية نمار، غرب الرياض، الرياض"/>
    <x v="3"/>
    <s v="حي ضاحية نمار"/>
    <s v="الرياض"/>
    <s v="شركة نجمة التميز للعقارات"/>
  </r>
  <r>
    <s v="Z293525426"/>
    <x v="0"/>
    <n v="3"/>
    <n v="2"/>
    <n v="1764"/>
    <n v="849000"/>
    <n v="481.29251700680271"/>
    <n v="849000"/>
    <s v="شقة للبيع في العارض, شمال الرياض"/>
    <s v="العارض، شمال الرياض، الرياض"/>
    <x v="4"/>
    <s v="حي العارض"/>
    <s v="الرياض"/>
    <s v="شركة راكز العقارية"/>
  </r>
  <r>
    <s v="I151063802"/>
    <x v="3"/>
    <n v="3"/>
    <n v="3"/>
    <n v="900"/>
    <n v="850000"/>
    <n v="944.44444444444446"/>
    <n v="850000"/>
    <s v="دور للبيع في  العوالي، غرب الرياض"/>
    <s v="العوالي، غرب الرياض، الرياض"/>
    <x v="3"/>
    <s v="حي العوالي"/>
    <s v="الرياض"/>
    <s v="​فردي / مالك"/>
  </r>
  <r>
    <s v="I399666533"/>
    <x v="0"/>
    <n v="3"/>
    <n v="3"/>
    <n v="1530"/>
    <n v="850000"/>
    <n v="555.55555555555554"/>
    <n v="850000"/>
    <s v="شقة للبيع في اليرموك، شرق الرياض"/>
    <s v="اليرموك، شرق الرياض، الرياض"/>
    <x v="0"/>
    <s v="حي اليرموك"/>
    <s v="الرياض"/>
    <s v="سكن المعالي للعقارات"/>
  </r>
  <r>
    <s v="C906105861"/>
    <x v="3"/>
    <n v="3"/>
    <n v="3"/>
    <n v="500"/>
    <n v="850000"/>
    <n v="1700"/>
    <n v="850000"/>
    <s v="أدوار مفصولة للبيع في شبرا، غرب الرياض"/>
    <s v="شبرا، غرب الرياض، الرياض"/>
    <x v="3"/>
    <s v="حي شبرا"/>
    <s v="الرياض"/>
    <s v="شركة نجمة التميز للعقارات"/>
  </r>
  <r>
    <s v="L707010744"/>
    <x v="0"/>
    <n v="4"/>
    <n v="3"/>
    <n v="135"/>
    <n v="850000"/>
    <n v="6296.2962962962965"/>
    <n v="850000"/>
    <s v="شقة للبيع في ظهرة لبن، غرب الرياض"/>
    <s v="ظهرة لبن، غرب الرياض، الرياض"/>
    <x v="3"/>
    <s v="حي ظهرة لبن"/>
    <s v="الرياض"/>
    <s v="​فردي / مالك"/>
  </r>
  <r>
    <s v="P629646399"/>
    <x v="0"/>
    <n v="4"/>
    <n v="3"/>
    <n v="137"/>
    <n v="850000"/>
    <n v="6204.3795620437959"/>
    <n v="850000"/>
    <s v="شقة للبيع في المهدية، غرب الرياض"/>
    <s v="المهدية، غرب الرياض، الرياض"/>
    <x v="3"/>
    <s v="حي المهدية"/>
    <s v="الرياض"/>
    <s v="​فردي / مالك"/>
  </r>
  <r>
    <s v="B287042589"/>
    <x v="0"/>
    <n v="4"/>
    <n v="3"/>
    <n v="137"/>
    <n v="850000"/>
    <n v="6204.3795620437959"/>
    <n v="850000"/>
    <s v="للبيع شقة في المهدية، غرب الرياض"/>
    <s v="المهدية، غرب الرياض، الرياض"/>
    <x v="3"/>
    <s v="حي المهدية"/>
    <s v="الرياض"/>
    <s v="شركة بنائات العقارية"/>
  </r>
  <r>
    <s v="R305160803"/>
    <x v="2"/>
    <n v="8"/>
    <n v="6"/>
    <n v="360"/>
    <n v="850000"/>
    <n v="2361.1111111111113"/>
    <n v="850000"/>
    <s v="دور علوي للبيع في الرمال، الرياض"/>
    <s v="الرمال، شرق الرياض، الرياض"/>
    <x v="0"/>
    <s v="حي الرمال"/>
    <s v="الرياض"/>
    <s v="شركة المجال الدولي"/>
  </r>
  <r>
    <s v="O869165921"/>
    <x v="2"/>
    <n v="3"/>
    <n v="5"/>
    <n v="262"/>
    <n v="850000"/>
    <n v="3244.2748091603053"/>
    <n v="850000"/>
    <s v="فيلا تاون هاوس للبيع في عكاظ, جنوب الرياض"/>
    <s v="عكاظ، جنوب الرياض، الرياض"/>
    <x v="1"/>
    <s v="حي عكاظ"/>
    <s v="الرياض"/>
    <s v="​فردي / مالك"/>
  </r>
  <r>
    <s v="A286781320"/>
    <x v="0"/>
    <n v="4"/>
    <n v="3"/>
    <n v="139"/>
    <n v="850000"/>
    <n v="6115.1079136690651"/>
    <n v="850000"/>
    <s v="شقة للبيع في ظهرة لبن، غرب الرياض"/>
    <s v="ظهرة لبن، غرب الرياض، الرياض"/>
    <x v="3"/>
    <s v="حي ظهرة لبن"/>
    <s v="الرياض"/>
    <s v="مكتب دليل المسوقين للعقارات"/>
  </r>
  <r>
    <s v="U520123149"/>
    <x v="0"/>
    <n v="4"/>
    <n v="3"/>
    <n v="139"/>
    <n v="850000"/>
    <n v="6115.1079136690651"/>
    <n v="850000"/>
    <s v="شقة للبيع في العارض, شمال الرياض"/>
    <s v="العارض، شمال الرياض، الرياض"/>
    <x v="4"/>
    <s v="حي العارض"/>
    <s v="الرياض"/>
    <s v="مكتب طريق الاسكان"/>
  </r>
  <r>
    <s v="E525589363"/>
    <x v="3"/>
    <n v="4"/>
    <n v="3"/>
    <n v="196"/>
    <n v="850000"/>
    <n v="4336.7346938775509"/>
    <n v="850000"/>
    <s v="دور للبيع في حي البيان، شرق الرياض"/>
    <s v="حي البيان، شرق الرياض، الرياض"/>
    <x v="0"/>
    <s v="حي حي البيان"/>
    <s v="الرياض"/>
    <s v="سكن المعالي للعقارات"/>
  </r>
  <r>
    <s v="R116141261"/>
    <x v="4"/>
    <n v="3"/>
    <n v="3"/>
    <n v="1404"/>
    <n v="850000"/>
    <n v="605.41310541310543"/>
    <n v="850000"/>
    <s v="عمارة للبيع في الخليج, شرق الرياض"/>
    <s v="الخليج، شرق الرياض، الرياض"/>
    <x v="0"/>
    <s v="حي الخليج"/>
    <s v="الرياض"/>
    <s v="​فردي / مالك"/>
  </r>
  <r>
    <s v="M108631986"/>
    <x v="3"/>
    <n v="4"/>
    <n v="3"/>
    <n v="180"/>
    <n v="850000"/>
    <n v="4722.2222222222226"/>
    <n v="850000"/>
    <s v="دور للبيع في حي الرمال، شرق الرياض"/>
    <s v="الرمال، شرق الرياض، الرياض"/>
    <x v="0"/>
    <s v="حي الرمال"/>
    <s v="الرياض"/>
    <s v="شركة نهضة التطور العقارية"/>
  </r>
  <r>
    <s v="I855404107"/>
    <x v="1"/>
    <n v="0"/>
    <n v="0"/>
    <n v="368"/>
    <n v="850000"/>
    <n v="2309.782608695652"/>
    <n v="850000"/>
    <s v="للبيع ارض في  مخطط الخير، شمال الرياض"/>
    <s v="الرياض"/>
    <x v="4"/>
    <s v="حي الرياض"/>
    <s v="الرياض"/>
    <s v="​فردي / مالك"/>
  </r>
  <r>
    <s v="J206073284"/>
    <x v="0"/>
    <n v="5"/>
    <n v="4"/>
    <n v="128"/>
    <n v="850000"/>
    <n v="6640.625"/>
    <n v="850000"/>
    <s v="شقة للبيع في شارع عبدالرحمن بن محمد بن مسلمه الانصاري ، حي العارض ، الرياض ، منطقة الرياض"/>
    <s v="العارض، شمال الرياض، الرياض"/>
    <x v="4"/>
    <s v="حي العارض"/>
    <s v="الرياض"/>
    <s v="​فردي / مالك"/>
  </r>
  <r>
    <s v="K862932057"/>
    <x v="1"/>
    <n v="0"/>
    <n v="0"/>
    <n v="325"/>
    <n v="850000"/>
    <n v="2615.3846153846152"/>
    <n v="850000"/>
    <s v="ارض للبيع في مخطط الخير، شمال الرياض"/>
    <s v="مخطط الخير، شمال الرياض، الرياض"/>
    <x v="4"/>
    <s v="حي مخطط الخير"/>
    <s v="الرياض"/>
    <s v="مكتب عبدالكريم منصور محمد النويصري للعقارات"/>
  </r>
  <r>
    <s v="E771658095"/>
    <x v="1"/>
    <n v="0"/>
    <n v="0"/>
    <n v="367"/>
    <n v="850000"/>
    <n v="2316.0762942779293"/>
    <n v="850000"/>
    <s v="أرض للبيع في الرياض"/>
    <s v="الرياض"/>
    <x v="5"/>
    <s v="حي الرياض"/>
    <s v="الرياض"/>
    <s v="مكتب عبدالكريم منصور محمد النويصري للعقارات"/>
  </r>
  <r>
    <s v="E704392909"/>
    <x v="1"/>
    <n v="0"/>
    <n v="0"/>
    <n v="375"/>
    <n v="850000"/>
    <n v="2266.6666666666665"/>
    <n v="850000"/>
    <s v="أرض للبيع في الرياض"/>
    <s v="الرياض"/>
    <x v="5"/>
    <s v="حي الرياض"/>
    <s v="الرياض"/>
    <s v="مكتب عبدالكريم منصور محمد النويصري للعقارات"/>
  </r>
  <r>
    <s v="W139903316"/>
    <x v="0"/>
    <n v="4"/>
    <n v="3"/>
    <n v="191"/>
    <n v="850000"/>
    <n v="4450.2617801047118"/>
    <n v="850000"/>
    <s v="شقة للبيع في الرمال، شرق الرياض"/>
    <s v="الرمال، شرق الرياض، الرياض"/>
    <x v="0"/>
    <s v="حي الرمال"/>
    <s v="الرياض"/>
    <s v="​فردي / مالك"/>
  </r>
  <r>
    <s v="S632516938"/>
    <x v="0"/>
    <n v="3"/>
    <n v="3"/>
    <n v="2187"/>
    <n v="859000"/>
    <n v="392.77549154092367"/>
    <n v="859000"/>
    <s v="شقق للبيع في الملك فيصل، شرق الرياض"/>
    <s v="الملك فيصل، شرق الرياض، الرياض"/>
    <x v="0"/>
    <s v="حي الملك فيصل"/>
    <s v="الرياض"/>
    <s v="​فردي / مالك"/>
  </r>
  <r>
    <s v="B089101864"/>
    <x v="3"/>
    <n v="4"/>
    <n v="3"/>
    <n v="500"/>
    <n v="860000"/>
    <n v="1720"/>
    <n v="860000"/>
    <s v="دور أرضي للبيع في شبرا، غرب الرياض"/>
    <s v="شبرا، غرب الرياض، الرياض"/>
    <x v="3"/>
    <s v="حي شبرا"/>
    <s v="الرياض"/>
    <s v="شركة نجمة التميز للعقارات"/>
  </r>
  <r>
    <s v="X403241518"/>
    <x v="3"/>
    <n v="3"/>
    <n v="4"/>
    <n v="500"/>
    <n v="860000"/>
    <n v="1720"/>
    <n v="860000"/>
    <s v="أدوار للبيع في شبرا، غرب الرياض"/>
    <s v="شبرا، غرب الرياض، الرياض"/>
    <x v="3"/>
    <s v="حي شبرا"/>
    <s v="الرياض"/>
    <s v="شركة نجمة التميز للعقارات"/>
  </r>
  <r>
    <s v="N958226528"/>
    <x v="3"/>
    <n v="4"/>
    <n v="3"/>
    <n v="500"/>
    <n v="860000"/>
    <n v="1720"/>
    <n v="860000"/>
    <s v="دور للبيع في شبرا, غرب الرياض"/>
    <s v="شبرا، غرب الرياض، الرياض"/>
    <x v="3"/>
    <s v="حي شبرا"/>
    <s v="الرياض"/>
    <s v="شركة نجمة التميز للعقارات"/>
  </r>
  <r>
    <s v="U934146095"/>
    <x v="3"/>
    <n v="4"/>
    <n v="4"/>
    <n v="500"/>
    <n v="860000"/>
    <n v="1720"/>
    <n v="860000"/>
    <s v="دور أرضي للبيع في شبرا، غرب الرياض"/>
    <s v="شبرا، غرب الرياض، الرياض"/>
    <x v="3"/>
    <s v="حي شبرا"/>
    <s v="الرياض"/>
    <s v="شركة نجمة التميز للعقارات"/>
  </r>
  <r>
    <s v="E940246066"/>
    <x v="3"/>
    <n v="4"/>
    <n v="3"/>
    <n v="500"/>
    <n v="860000"/>
    <n v="1720"/>
    <n v="860000"/>
    <s v="دور للبيع في شبرا، غرب الرياض"/>
    <s v="شبرا، غرب الرياض، الرياض"/>
    <x v="3"/>
    <s v="حي شبرا"/>
    <s v="الرياض"/>
    <s v="شركة نجمة التميز للعقارات"/>
  </r>
  <r>
    <s v="X627474393"/>
    <x v="3"/>
    <n v="3"/>
    <n v="3"/>
    <n v="500"/>
    <n v="860000"/>
    <n v="1720"/>
    <n v="860000"/>
    <s v="أدورا للبيع في شبرا، غرب الرياض"/>
    <s v="شبرا، غرب الرياض، الرياض"/>
    <x v="3"/>
    <s v="حي شبرا"/>
    <s v="الرياض"/>
    <s v="شركة نجمة التميز للعقارات"/>
  </r>
  <r>
    <s v="M829436455"/>
    <x v="3"/>
    <n v="3"/>
    <n v="3"/>
    <n v="500"/>
    <n v="860000"/>
    <n v="1720"/>
    <n v="860000"/>
    <s v="دور للبيع في شبرا، غرب الرياض"/>
    <s v="شبرا، غرب الرياض، الرياض"/>
    <x v="3"/>
    <s v="حي شبرا"/>
    <s v="الرياض"/>
    <s v="شركة نجمة التميز للعقارات"/>
  </r>
  <r>
    <s v="C829436455"/>
    <x v="3"/>
    <n v="3"/>
    <n v="3"/>
    <n v="500"/>
    <n v="860000"/>
    <n v="1720"/>
    <n v="860000"/>
    <s v="دور للبيع في شبرا، غرب الرياض"/>
    <s v="شبرا، غرب الرياض، الرياض"/>
    <x v="3"/>
    <s v="حي شبرا"/>
    <s v="الرياض"/>
    <s v="شركة نجمة التميز للعقارات"/>
  </r>
  <r>
    <s v="B878460946"/>
    <x v="3"/>
    <n v="8"/>
    <n v="6"/>
    <n v="250"/>
    <n v="860000"/>
    <n v="3440"/>
    <n v="860000"/>
    <s v="دور للبيع في شبرا، غرب الرياض"/>
    <s v="شبرا، غرب الرياض، الرياض"/>
    <x v="3"/>
    <s v="حي شبرا"/>
    <s v="الرياض"/>
    <s v="شركة نجمة التميز للعقارات"/>
  </r>
  <r>
    <s v="S899256299"/>
    <x v="3"/>
    <n v="3"/>
    <n v="3"/>
    <n v="500"/>
    <n v="860000"/>
    <n v="1720"/>
    <n v="860000"/>
    <s v="دور للبيع في الزهرة، غرب الرياض"/>
    <s v="الزهرة، غرب الرياض، الرياض"/>
    <x v="3"/>
    <s v="حي الزهرة"/>
    <s v="الرياض"/>
    <s v="شركة نجمة التميز للعقارات"/>
  </r>
  <r>
    <s v="P876087626"/>
    <x v="3"/>
    <n v="4"/>
    <n v="3"/>
    <n v="250"/>
    <n v="860000"/>
    <n v="3440"/>
    <n v="860000"/>
    <s v="دور للبيع في شبرا، غرب الرياض"/>
    <s v="شبرا، غرب الرياض، الرياض"/>
    <x v="3"/>
    <s v="حي شبرا"/>
    <s v="الرياض"/>
    <s v="شركة نجمة التميز للعقارات"/>
  </r>
  <r>
    <s v="A940246066"/>
    <x v="3"/>
    <n v="4"/>
    <n v="3"/>
    <n v="500"/>
    <n v="860000"/>
    <n v="1720"/>
    <n v="860000"/>
    <s v="دور للبيع في شبرا، غرب الرياض"/>
    <s v="شبرا، غرب الرياض، الرياض"/>
    <x v="3"/>
    <s v="حي شبرا"/>
    <s v="الرياض"/>
    <s v="شركة نجمة التميز للعقارات"/>
  </r>
  <r>
    <s v="L598121154"/>
    <x v="3"/>
    <n v="3"/>
    <n v="3"/>
    <n v="500"/>
    <n v="860000"/>
    <n v="1720"/>
    <n v="860000"/>
    <s v="أرضية بثلاث غرف نوم معروضة للبيع شبرا"/>
    <s v="شبرا، غرب الرياض، الرياض"/>
    <x v="3"/>
    <s v="حي شبرا"/>
    <s v="الرياض"/>
    <s v="​فردي / مالك"/>
  </r>
  <r>
    <s v="E444987673"/>
    <x v="3"/>
    <n v="3"/>
    <n v="4"/>
    <n v="500"/>
    <n v="860000"/>
    <n v="1720"/>
    <n v="860000"/>
    <s v="دور للبيع في شبرا، غرب الرياض"/>
    <s v="شبرا، غرب الرياض، الرياض"/>
    <x v="3"/>
    <s v="حي شبرا"/>
    <s v="الرياض"/>
    <s v="شركة نجمة التميز للعقارات"/>
  </r>
  <r>
    <s v="A539461929"/>
    <x v="3"/>
    <n v="3"/>
    <n v="4"/>
    <n v="500"/>
    <n v="860000"/>
    <n v="1720"/>
    <n v="860000"/>
    <s v="دور للبيع في شبرا، غرب الرياض"/>
    <s v="شبرا، غرب الرياض، الرياض"/>
    <x v="3"/>
    <s v="حي شبرا"/>
    <s v="الرياض"/>
    <s v="​فردي / مالك"/>
  </r>
  <r>
    <s v="K928562978"/>
    <x v="3"/>
    <n v="4"/>
    <n v="5"/>
    <n v="500"/>
    <n v="860000"/>
    <n v="1720"/>
    <n v="860000"/>
    <s v="دور للبيع في شبرا، غرب الرياض"/>
    <s v="شبرا، غرب الرياض، الرياض"/>
    <x v="3"/>
    <s v="حي شبرا"/>
    <s v="الرياض"/>
    <s v="​فردي / مالك"/>
  </r>
  <r>
    <s v="D894006154"/>
    <x v="3"/>
    <n v="4"/>
    <n v="3"/>
    <n v="500"/>
    <n v="860000"/>
    <n v="1720"/>
    <n v="860000"/>
    <s v="ادوار للبيع في  شبرا، غرب الرياض"/>
    <s v="شبرا، غرب الرياض، الرياض"/>
    <x v="3"/>
    <s v="حي شبرا"/>
    <s v="الرياض"/>
    <s v="شركة نجمة التميز للعقارات"/>
  </r>
  <r>
    <s v="G808313478"/>
    <x v="3"/>
    <n v="3"/>
    <n v="3"/>
    <n v="500"/>
    <n v="860000"/>
    <n v="1720"/>
    <n v="860000"/>
    <s v="دور للبيع في شبرا, غرب الرياض"/>
    <s v="شبرا، غرب الرياض، الرياض"/>
    <x v="3"/>
    <s v="حي شبرا"/>
    <s v="الرياض"/>
    <s v="شركة نجمة التميز للعقارات"/>
  </r>
  <r>
    <s v="V185821518"/>
    <x v="3"/>
    <n v="3"/>
    <n v="3"/>
    <n v="500"/>
    <n v="860000"/>
    <n v="1720"/>
    <n v="860000"/>
    <s v="أدوار مفصولة للبيع في شبرا، غرب الرياض"/>
    <s v="شبرا، غرب الرياض، الرياض"/>
    <x v="3"/>
    <s v="حي شبرا"/>
    <s v="الرياض"/>
    <s v="شركة نجمة التميز للعقارات"/>
  </r>
  <r>
    <s v="P586170162"/>
    <x v="3"/>
    <n v="4"/>
    <n v="5"/>
    <n v="500"/>
    <n v="860000"/>
    <n v="1720"/>
    <n v="860000"/>
    <s v="دور للبيع في شبرا، غرب الرياض"/>
    <s v="شبرا، غرب الرياض، الرياض"/>
    <x v="3"/>
    <s v="حي شبرا"/>
    <s v="الرياض"/>
    <s v="شركة نجمة التميز للعقارات"/>
  </r>
  <r>
    <s v="V899256299"/>
    <x v="3"/>
    <n v="3"/>
    <n v="3"/>
    <n v="500"/>
    <n v="860000"/>
    <n v="1720"/>
    <n v="860000"/>
    <s v="دور للبيع في الزهرة، غرب الرياض"/>
    <s v="الزهرة، غرب الرياض، الرياض"/>
    <x v="3"/>
    <s v="حي الزهرة"/>
    <s v="الرياض"/>
    <s v="شركة نجمة التميز للعقارات"/>
  </r>
  <r>
    <s v="J899256299"/>
    <x v="3"/>
    <n v="3"/>
    <n v="3"/>
    <n v="500"/>
    <n v="860000"/>
    <n v="1720"/>
    <n v="860000"/>
    <s v="دور للبيع في الزهرة، غرب الرياض"/>
    <s v="الزهرة، غرب الرياض، الرياض"/>
    <x v="3"/>
    <s v="حي الزهرة"/>
    <s v="الرياض"/>
    <s v="شركة نجمة التميز للعقارات"/>
  </r>
  <r>
    <s v="E488111650"/>
    <x v="3"/>
    <n v="3"/>
    <n v="4"/>
    <n v="250"/>
    <n v="860000"/>
    <n v="3440"/>
    <n v="860000"/>
    <s v="دور للبيع في شبرا، غرب الرياض"/>
    <s v="شبرا، غرب الرياض، الرياض"/>
    <x v="3"/>
    <s v="حي شبرا"/>
    <s v="الرياض"/>
    <s v="شركة نجمة التميز للعقارات"/>
  </r>
  <r>
    <s v="B177844719"/>
    <x v="3"/>
    <n v="5"/>
    <n v="6"/>
    <n v="500"/>
    <n v="860000"/>
    <n v="1720"/>
    <n v="860000"/>
    <s v="ادوار للبيع في  النعيم، شمال جدة"/>
    <s v="شبرا، غرب الرياض، الرياض"/>
    <x v="3"/>
    <s v="حي شبرا"/>
    <s v="الرياض"/>
    <s v="شركة نجمة التميز للعقارات"/>
  </r>
  <r>
    <s v="Q046601429"/>
    <x v="3"/>
    <n v="2"/>
    <n v="3"/>
    <n v="500"/>
    <n v="860000"/>
    <n v="1720"/>
    <n v="860000"/>
    <s v="دور للبيع في شبرا, غرب الرياض"/>
    <s v="شبرا، غرب الرياض، الرياض"/>
    <x v="3"/>
    <s v="حي شبرا"/>
    <s v="الرياض"/>
    <s v="شركة نجمة التميز للعقارات"/>
  </r>
  <r>
    <s v="L958226528"/>
    <x v="3"/>
    <n v="4"/>
    <n v="3"/>
    <n v="500"/>
    <n v="860000"/>
    <n v="1720"/>
    <n v="860000"/>
    <s v="دور للبيع في شبرا, غرب الرياض"/>
    <s v="شبرا، غرب الرياض، الرياض"/>
    <x v="3"/>
    <s v="حي شبرا"/>
    <s v="الرياض"/>
    <s v="شركة نجمة التميز للعقارات"/>
  </r>
  <r>
    <s v="X958226528"/>
    <x v="3"/>
    <n v="4"/>
    <n v="3"/>
    <n v="500"/>
    <n v="860000"/>
    <n v="1720"/>
    <n v="860000"/>
    <s v="دور للبيع في شبرا, غرب الرياض"/>
    <s v="شبرا، غرب الرياض، الرياض"/>
    <x v="3"/>
    <s v="حي شبرا"/>
    <s v="الرياض"/>
    <s v="شركة نجمة التميز للعقارات"/>
  </r>
  <r>
    <s v="G595791167"/>
    <x v="3"/>
    <n v="3"/>
    <n v="3"/>
    <n v="500"/>
    <n v="860000"/>
    <n v="1720"/>
    <n v="860000"/>
    <s v="دور للبيع في شبرا, غرب الرياض"/>
    <s v="شبرا، غرب الرياض، الرياض"/>
    <x v="3"/>
    <s v="حي شبرا"/>
    <s v="الرياض"/>
    <s v="​فردي / مالك"/>
  </r>
  <r>
    <s v="C708014829"/>
    <x v="3"/>
    <n v="4"/>
    <n v="3"/>
    <n v="500"/>
    <n v="860000"/>
    <n v="1720"/>
    <n v="860000"/>
    <s v="دور بصك موقع مميز جميع الخدمات متوفرة"/>
    <s v="شبرا، غرب الرياض، الرياض"/>
    <x v="3"/>
    <s v="حي شبرا"/>
    <s v="الرياض"/>
    <s v="شركة نجمة التميز للعقارات"/>
  </r>
  <r>
    <s v="I317869755"/>
    <x v="3"/>
    <n v="3"/>
    <n v="3"/>
    <n v="500"/>
    <n v="860000"/>
    <n v="1720"/>
    <n v="860000"/>
    <s v="أدوار للبيع في شبرا، غرب الرياض"/>
    <s v="شبرا، غرب الرياض، الرياض"/>
    <x v="3"/>
    <s v="حي شبرا"/>
    <s v="الرياض"/>
    <s v="شركة نجمة التميز للعقارات"/>
  </r>
  <r>
    <s v="J850156512"/>
    <x v="3"/>
    <n v="3"/>
    <n v="3"/>
    <n v="500"/>
    <n v="860000"/>
    <n v="1720"/>
    <n v="860000"/>
    <s v="ادوار للبيع في شبرا، غرب الرياض"/>
    <s v="شبرا، غرب الرياض، الرياض"/>
    <x v="3"/>
    <s v="حي شبرا"/>
    <s v="الرياض"/>
    <s v="شركة نجمة التميز للعقارات"/>
  </r>
  <r>
    <s v="X008182627"/>
    <x v="3"/>
    <n v="4"/>
    <n v="3"/>
    <n v="500"/>
    <n v="860000"/>
    <n v="1720"/>
    <n v="860000"/>
    <s v="دوار للبيع في شبرا، غرب الرياض"/>
    <s v="شبرا، غرب الرياض، الرياض"/>
    <x v="3"/>
    <s v="حي شبرا"/>
    <s v="الرياض"/>
    <s v="شركة نجمة التميز للعقارات"/>
  </r>
  <r>
    <s v="R800845206"/>
    <x v="3"/>
    <n v="3"/>
    <n v="4"/>
    <n v="500"/>
    <n v="860000"/>
    <n v="1720"/>
    <n v="860000"/>
    <s v="ادوار للبيع في  شبرا، غرب الرياض"/>
    <s v="شبرا، غرب الرياض، الرياض"/>
    <x v="3"/>
    <s v="حي شبرا"/>
    <s v="الرياض"/>
    <s v="شركة نجمة التميز للعقارات"/>
  </r>
  <r>
    <s v="A447820498"/>
    <x v="3"/>
    <n v="3"/>
    <n v="3"/>
    <n v="250"/>
    <n v="860000"/>
    <n v="3440"/>
    <n v="860000"/>
    <s v="دور للبيع في شبرا، غرب الرياض"/>
    <s v="شبرا، غرب الرياض، الرياض"/>
    <x v="3"/>
    <s v="حي شبرا"/>
    <s v="الرياض"/>
    <s v="شركة نجمة التميز للعقارات"/>
  </r>
  <r>
    <s v="T829436455"/>
    <x v="3"/>
    <n v="3"/>
    <n v="3"/>
    <n v="500"/>
    <n v="860000"/>
    <n v="1720"/>
    <n v="860000"/>
    <s v="دور للبيع في شبرا، غرب الرياض"/>
    <s v="شبرا، غرب الرياض، الرياض"/>
    <x v="3"/>
    <s v="حي شبرا"/>
    <s v="الرياض"/>
    <s v="شركة نجمة التميز للعقارات"/>
  </r>
  <r>
    <s v="T403241518"/>
    <x v="3"/>
    <n v="3"/>
    <n v="4"/>
    <n v="500"/>
    <n v="860000"/>
    <n v="1720"/>
    <n v="860000"/>
    <s v="أدوار للبيع في شبرا، غرب الرياض"/>
    <s v="شبرا، غرب الرياض، الرياض"/>
    <x v="3"/>
    <s v="حي شبرا"/>
    <s v="الرياض"/>
    <s v="شركة نجمة التميز للعقارات"/>
  </r>
  <r>
    <s v="Q245220774"/>
    <x v="3"/>
    <n v="3"/>
    <n v="4"/>
    <n v="500"/>
    <n v="860000"/>
    <n v="1720"/>
    <n v="860000"/>
    <s v="دور للبيع في  شبرا، غرب الرياض"/>
    <s v="شبرا، غرب الرياض، الرياض"/>
    <x v="3"/>
    <s v="حي شبرا"/>
    <s v="الرياض"/>
    <s v="شركة نجمة التميز للعقارات"/>
  </r>
  <r>
    <s v="R447820498"/>
    <x v="3"/>
    <n v="3"/>
    <n v="3"/>
    <n v="250"/>
    <n v="860000"/>
    <n v="3440"/>
    <n v="860000"/>
    <s v="دور للبيع في شبرا، غرب الرياض"/>
    <s v="شبرا، غرب الرياض، الرياض"/>
    <x v="3"/>
    <s v="حي شبرا"/>
    <s v="الرياض"/>
    <s v="شركة نجمة التميز للعقارات"/>
  </r>
  <r>
    <s v="D444987673"/>
    <x v="3"/>
    <n v="3"/>
    <n v="4"/>
    <n v="500"/>
    <n v="860000"/>
    <n v="1720"/>
    <n v="860000"/>
    <s v="دور للبيع في شبرا، غرب الرياض"/>
    <s v="شبرا، غرب الرياض، الرياض"/>
    <x v="3"/>
    <s v="حي شبرا"/>
    <s v="الرياض"/>
    <s v="شركة نجمة التميز للعقارات"/>
  </r>
  <r>
    <s v="B899256299"/>
    <x v="3"/>
    <n v="3"/>
    <n v="3"/>
    <n v="500"/>
    <n v="860000"/>
    <n v="1720"/>
    <n v="860000"/>
    <s v="دور للبيع في الزهرة، غرب الرياض"/>
    <s v="الزهرة، غرب الرياض، الرياض"/>
    <x v="3"/>
    <s v="حي الزهرة"/>
    <s v="الرياض"/>
    <s v="شركة نجمة التميز للعقارات"/>
  </r>
  <r>
    <s v="Z317869755"/>
    <x v="3"/>
    <n v="3"/>
    <n v="3"/>
    <n v="500"/>
    <n v="860000"/>
    <n v="1720"/>
    <n v="860000"/>
    <s v="أدوار للبيع في شبرا، غرب الرياض"/>
    <s v="شبرا، غرب الرياض، الرياض"/>
    <x v="3"/>
    <s v="حي شبرا"/>
    <s v="الرياض"/>
    <s v="شركة نجمة التميز للعقارات"/>
  </r>
  <r>
    <s v="Q403241518"/>
    <x v="3"/>
    <n v="3"/>
    <n v="4"/>
    <n v="500"/>
    <n v="860000"/>
    <n v="1720"/>
    <n v="860000"/>
    <s v="أدوار للبيع في شبرا، غرب الرياض"/>
    <s v="شبرا، غرب الرياض، الرياض"/>
    <x v="3"/>
    <s v="حي شبرا"/>
    <s v="الرياض"/>
    <s v="شركة نجمة التميز للعقارات"/>
  </r>
  <r>
    <s v="T775094432"/>
    <x v="3"/>
    <n v="3"/>
    <n v="4"/>
    <n v="500"/>
    <n v="860000"/>
    <n v="1720"/>
    <n v="860000"/>
    <s v="دور للبيع في الزهرة، غرب الرياض"/>
    <s v="الزهرة، غرب الرياض، الرياض"/>
    <x v="3"/>
    <s v="حي الزهرة"/>
    <s v="الرياض"/>
    <s v="شركة نجمة التميز للعقارات"/>
  </r>
  <r>
    <s v="Q252325425"/>
    <x v="3"/>
    <n v="3"/>
    <n v="3"/>
    <n v="500"/>
    <n v="860000"/>
    <n v="1720"/>
    <n v="860000"/>
    <s v="دور للبيع في  شبرا، غرب الرياض"/>
    <s v="شبرا، غرب الرياض، الرياض"/>
    <x v="3"/>
    <s v="حي شبرا"/>
    <s v="الرياض"/>
    <s v="شركة نجمة التميز للعقارات"/>
  </r>
  <r>
    <s v="N317869755"/>
    <x v="3"/>
    <n v="3"/>
    <n v="3"/>
    <n v="500"/>
    <n v="860000"/>
    <n v="1720"/>
    <n v="860000"/>
    <s v="أدوار للبيع في شبرا، غرب الرياض"/>
    <s v="شبرا، غرب الرياض، الرياض"/>
    <x v="3"/>
    <s v="حي شبرا"/>
    <s v="الرياض"/>
    <s v="شركة نجمة التميز للعقارات"/>
  </r>
  <r>
    <s v="K064571502"/>
    <x v="3"/>
    <n v="3"/>
    <n v="3"/>
    <n v="500"/>
    <n v="860000"/>
    <n v="1720"/>
    <n v="860000"/>
    <s v="للبيع أدوار في شبرا، غرب الرياض"/>
    <s v="شبرا، غرب الرياض، الرياض"/>
    <x v="3"/>
    <s v="حي شبرا"/>
    <s v="الرياض"/>
    <s v="​فردي / مالك"/>
  </r>
  <r>
    <s v="G539461929"/>
    <x v="3"/>
    <n v="3"/>
    <n v="4"/>
    <n v="500"/>
    <n v="860000"/>
    <n v="1720"/>
    <n v="860000"/>
    <s v="دور للبيع في شبرا، غرب الرياض"/>
    <s v="شبرا، غرب الرياض، الرياض"/>
    <x v="3"/>
    <s v="حي شبرا"/>
    <s v="الرياض"/>
    <s v="​فردي / مالك"/>
  </r>
  <r>
    <s v="R444987673"/>
    <x v="3"/>
    <n v="3"/>
    <n v="4"/>
    <n v="500"/>
    <n v="860000"/>
    <n v="1720"/>
    <n v="860000"/>
    <s v="دور للبيع في شبرا، غرب الرياض"/>
    <s v="شبرا، غرب الرياض، الرياض"/>
    <x v="3"/>
    <s v="حي شبرا"/>
    <s v="الرياض"/>
    <s v="شركة نجمة التميز للعقارات"/>
  </r>
  <r>
    <s v="U829436455"/>
    <x v="3"/>
    <n v="3"/>
    <n v="3"/>
    <n v="500"/>
    <n v="860000"/>
    <n v="1720"/>
    <n v="860000"/>
    <s v="دور للبيع في شبرا، غرب الرياض"/>
    <s v="شبرا، غرب الرياض، الرياض"/>
    <x v="3"/>
    <s v="حي شبرا"/>
    <s v="الرياض"/>
    <s v="شركة نجمة التميز للعقارات"/>
  </r>
  <r>
    <s v="M542594670"/>
    <x v="3"/>
    <n v="3"/>
    <n v="4"/>
    <n v="500"/>
    <n v="860000"/>
    <n v="1720"/>
    <n v="860000"/>
    <s v="دور للبيع في شبرا, غرب الرياض"/>
    <s v="شبرا، غرب الرياض، الرياض"/>
    <x v="3"/>
    <s v="حي شبرا"/>
    <s v="الرياض"/>
    <s v="​فردي / مالك"/>
  </r>
  <r>
    <s v="J571401130"/>
    <x v="3"/>
    <n v="3"/>
    <n v="3"/>
    <n v="500"/>
    <n v="860000"/>
    <n v="1720"/>
    <n v="860000"/>
    <s v="أدوار للبيع في الزهرة، شرق الرياض"/>
    <s v="الزهرة، غرب الرياض، الرياض"/>
    <x v="3"/>
    <s v="حي الزهرة"/>
    <s v="الرياض"/>
    <s v="​فردي / مالك"/>
  </r>
  <r>
    <s v="K531194349"/>
    <x v="3"/>
    <n v="4"/>
    <n v="3"/>
    <n v="500"/>
    <n v="860000"/>
    <n v="1720"/>
    <n v="860000"/>
    <s v="أدوار للبيع في الزهرة، غرب الرياض"/>
    <s v="الزهرة، غرب الرياض، الرياض"/>
    <x v="3"/>
    <s v="حي الزهرة"/>
    <s v="الرياض"/>
    <s v="شركة نجمة التميز للعقارات"/>
  </r>
  <r>
    <s v="D422179109"/>
    <x v="3"/>
    <n v="2"/>
    <n v="3"/>
    <n v="250"/>
    <n v="860000"/>
    <n v="3440"/>
    <n v="860000"/>
    <s v="دور للبيع في شبرا، غرب الرياض"/>
    <s v="شبرا، غرب الرياض، الرياض"/>
    <x v="3"/>
    <s v="حي شبرا"/>
    <s v="الرياض"/>
    <s v="شركة نجمة التميز للعقارات"/>
  </r>
  <r>
    <s v="H826547823"/>
    <x v="3"/>
    <n v="4"/>
    <n v="4"/>
    <n v="500"/>
    <n v="860000"/>
    <n v="1720"/>
    <n v="860000"/>
    <s v="أدوار للبيع في شبرا، غرب الرياض"/>
    <s v="شبرا، غرب الرياض، الرياض"/>
    <x v="3"/>
    <s v="حي شبرا"/>
    <s v="الرياض"/>
    <s v="​فردي / مالك"/>
  </r>
  <r>
    <s v="A961761892"/>
    <x v="3"/>
    <n v="4"/>
    <n v="4"/>
    <n v="500"/>
    <n v="860000"/>
    <n v="1720"/>
    <n v="860000"/>
    <s v="فلل للبيع في شبرا، غرب الرياض"/>
    <s v="شبرا، غرب الرياض، الرياض"/>
    <x v="3"/>
    <s v="حي شبرا"/>
    <s v="الرياض"/>
    <s v="شركة نجمة التميز للعقارات"/>
  </r>
  <r>
    <s v="A848953943"/>
    <x v="3"/>
    <n v="2"/>
    <n v="4"/>
    <n v="500"/>
    <n v="860000"/>
    <n v="1720"/>
    <n v="860000"/>
    <s v="أدوار للبيع في شبرا، غرب الرياض"/>
    <s v="شبرا، غرب الرياض، الرياض"/>
    <x v="3"/>
    <s v="حي شبرا"/>
    <s v="الرياض"/>
    <s v="شركة نجمة التميز للعقارات"/>
  </r>
  <r>
    <s v="P330386138"/>
    <x v="3"/>
    <n v="3"/>
    <n v="3"/>
    <n v="250"/>
    <n v="860000"/>
    <n v="3440"/>
    <n v="860000"/>
    <s v="دور للبيع في شبرا، غرب الرياض"/>
    <s v="شبرا، غرب الرياض، الرياض"/>
    <x v="3"/>
    <s v="حي شبرا"/>
    <s v="الرياض"/>
    <s v="​فردي / مالك"/>
  </r>
  <r>
    <s v="N539461929"/>
    <x v="3"/>
    <n v="3"/>
    <n v="4"/>
    <n v="500"/>
    <n v="860000"/>
    <n v="1720"/>
    <n v="860000"/>
    <s v="دور للبيع في شبرا، غرب الرياض"/>
    <s v="شبرا، غرب الرياض، الرياض"/>
    <x v="3"/>
    <s v="حي شبرا"/>
    <s v="الرياض"/>
    <s v="​فردي / مالك"/>
  </r>
  <r>
    <s v="Z266923218"/>
    <x v="3"/>
    <n v="4"/>
    <n v="4"/>
    <n v="500"/>
    <n v="860000"/>
    <n v="1720"/>
    <n v="860000"/>
    <s v="دور للبيع في  شبرا، غرب الرياض"/>
    <s v="شبرا، غرب الرياض، الرياض"/>
    <x v="3"/>
    <s v="حي شبرا"/>
    <s v="الرياض"/>
    <s v="​فردي / مالك"/>
  </r>
  <r>
    <s v="V290915522"/>
    <x v="3"/>
    <n v="3"/>
    <n v="5"/>
    <n v="500"/>
    <n v="860000"/>
    <n v="1720"/>
    <n v="860000"/>
    <s v="أدوار للبيع في شبرا، غرب الرياض"/>
    <s v="شبرا، غرب الرياض، الرياض"/>
    <x v="3"/>
    <s v="حي شبرا"/>
    <s v="الرياض"/>
    <s v="شركة نجمة التميز للعقارات"/>
  </r>
  <r>
    <s v="N325600324"/>
    <x v="3"/>
    <n v="4"/>
    <n v="4"/>
    <n v="500"/>
    <n v="860000"/>
    <n v="1720"/>
    <n v="860000"/>
    <s v="أدوار للبيع في شبرا، غرب الرياض"/>
    <s v="شبرا، غرب الرياض، الرياض"/>
    <x v="3"/>
    <s v="حي شبرا"/>
    <s v="الرياض"/>
    <s v="شركة نجمة التميز للعقارات"/>
  </r>
  <r>
    <s v="G684344093"/>
    <x v="3"/>
    <n v="3"/>
    <n v="4"/>
    <n v="500"/>
    <n v="860000"/>
    <n v="1720"/>
    <n v="860000"/>
    <s v="دور للبيع في شبرا, غرب الرياض"/>
    <s v="شبرا، غرب الرياض، الرياض"/>
    <x v="3"/>
    <s v="حي شبرا"/>
    <s v="الرياض"/>
    <s v="شركة نجمة التميز للعقارات"/>
  </r>
  <r>
    <s v="U426442325"/>
    <x v="3"/>
    <n v="4"/>
    <n v="4"/>
    <n v="500"/>
    <n v="860000"/>
    <n v="1720"/>
    <n v="860000"/>
    <s v="دور للبيع في  شبرا، غرب الرياض"/>
    <s v="شبرا، غرب الرياض، الرياض"/>
    <x v="3"/>
    <s v="حي شبرا"/>
    <s v="الرياض"/>
    <s v="شركة نجمة التميز للعقارات"/>
  </r>
  <r>
    <s v="P264341071"/>
    <x v="3"/>
    <n v="4"/>
    <n v="4"/>
    <n v="500"/>
    <n v="860000"/>
    <n v="1720"/>
    <n v="860000"/>
    <s v="دور للبيع في شبرا, غرب الرياض"/>
    <s v="شبرا، غرب الرياض، الرياض"/>
    <x v="3"/>
    <s v="حي شبرا"/>
    <s v="الرياض"/>
    <s v="شركة نجمة التميز للعقارات"/>
  </r>
  <r>
    <s v="R325600324"/>
    <x v="3"/>
    <n v="4"/>
    <n v="4"/>
    <n v="500"/>
    <n v="860000"/>
    <n v="1720"/>
    <n v="860000"/>
    <s v="أدوار للبيع في شبرا، غرب الرياض"/>
    <s v="شبرا، غرب الرياض، الرياض"/>
    <x v="3"/>
    <s v="حي شبرا"/>
    <s v="الرياض"/>
    <s v="شركة نجمة التميز للعقارات"/>
  </r>
  <r>
    <s v="S899256299"/>
    <x v="3"/>
    <n v="3"/>
    <n v="3"/>
    <n v="500"/>
    <n v="860000"/>
    <n v="1720"/>
    <n v="860000"/>
    <s v="دور للبيع في الزهرة، غرب الرياض"/>
    <s v="الزهرة، غرب الرياض، الرياض"/>
    <x v="3"/>
    <s v="حي الزهرة"/>
    <s v="الرياض"/>
    <s v="شركة نجمة التميز للعقارات"/>
  </r>
  <r>
    <s v="U444987673"/>
    <x v="3"/>
    <n v="3"/>
    <n v="4"/>
    <n v="500"/>
    <n v="860000"/>
    <n v="1720"/>
    <n v="860000"/>
    <s v="دور للبيع في شبرا، غرب الرياض"/>
    <s v="شبرا، غرب الرياض، الرياض"/>
    <x v="3"/>
    <s v="حي شبرا"/>
    <s v="الرياض"/>
    <s v="شركة نجمة التميز للعقارات"/>
  </r>
  <r>
    <s v="N447820498"/>
    <x v="3"/>
    <n v="3"/>
    <n v="3"/>
    <n v="250"/>
    <n v="860000"/>
    <n v="3440"/>
    <n v="860000"/>
    <s v="دور للبيع في شبرا، غرب الرياض"/>
    <s v="شبرا، غرب الرياض، الرياض"/>
    <x v="3"/>
    <s v="حي شبرا"/>
    <s v="الرياض"/>
    <s v="شركة نجمة التميز للعقارات"/>
  </r>
  <r>
    <s v="T317869755"/>
    <x v="3"/>
    <n v="3"/>
    <n v="3"/>
    <n v="500"/>
    <n v="860000"/>
    <n v="1720"/>
    <n v="860000"/>
    <s v="أدوار للبيع في شبرا، غرب الرياض"/>
    <s v="شبرا، غرب الرياض، الرياض"/>
    <x v="3"/>
    <s v="حي شبرا"/>
    <s v="الرياض"/>
    <s v="شركة نجمة التميز للعقارات"/>
  </r>
  <r>
    <s v="K899256299"/>
    <x v="3"/>
    <n v="3"/>
    <n v="3"/>
    <n v="500"/>
    <n v="860000"/>
    <n v="1720"/>
    <n v="860000"/>
    <s v="دور للبيع في الزهرة، غرب الرياض"/>
    <s v="الزهرة، غرب الرياض، الرياض"/>
    <x v="3"/>
    <s v="حي الزهرة"/>
    <s v="الرياض"/>
    <s v="شركة نجمة التميز للعقارات"/>
  </r>
  <r>
    <s v="V264341071"/>
    <x v="3"/>
    <n v="4"/>
    <n v="4"/>
    <n v="500"/>
    <n v="860000"/>
    <n v="1720"/>
    <n v="860000"/>
    <s v="دور للبيع في شبرا, غرب الرياض"/>
    <s v="شبرا، غرب الرياض، الرياض"/>
    <x v="3"/>
    <s v="حي شبرا"/>
    <s v="الرياض"/>
    <s v="شركة نجمة التميز للعقارات"/>
  </r>
  <r>
    <s v="J829436455"/>
    <x v="3"/>
    <n v="3"/>
    <n v="3"/>
    <n v="500"/>
    <n v="860000"/>
    <n v="1720"/>
    <n v="860000"/>
    <s v="دور للبيع في شبرا، غرب الرياض"/>
    <s v="شبرا، غرب الرياض، الرياض"/>
    <x v="3"/>
    <s v="حي شبرا"/>
    <s v="الرياض"/>
    <s v="شركة نجمة التميز للعقارات"/>
  </r>
  <r>
    <s v="L674257519"/>
    <x v="3"/>
    <n v="3"/>
    <n v="4"/>
    <n v="500"/>
    <n v="860000"/>
    <n v="1720"/>
    <n v="860000"/>
    <s v="ادوار للبيع في شبرا، غرب الرياض"/>
    <s v="شبرا، غرب الرياض، الرياض"/>
    <x v="3"/>
    <s v="حي شبرا"/>
    <s v="الرياض"/>
    <s v="شركة نجمة التميز للعقارات"/>
  </r>
  <r>
    <s v="I275460448"/>
    <x v="3"/>
    <n v="3"/>
    <n v="3"/>
    <n v="500"/>
    <n v="860000"/>
    <n v="1720"/>
    <n v="860000"/>
    <s v="أدوار فاخرة للبيع في شبرا، غرب الرياض"/>
    <s v="شبرا، غرب الرياض، الرياض"/>
    <x v="3"/>
    <s v="حي شبرا"/>
    <s v="الرياض"/>
    <s v="شركة نجمة التميز للعقارات"/>
  </r>
  <r>
    <s v="F082121363"/>
    <x v="0"/>
    <n v="2"/>
    <n v="2"/>
    <n v="188"/>
    <n v="872485"/>
    <n v="4640.8776595744685"/>
    <n v="872485"/>
    <s v="شقة للبيع في الرمال، الرياض"/>
    <s v="الرمال، شرق الرياض، الرياض"/>
    <x v="0"/>
    <s v="حي الرمال"/>
    <s v="الرياض"/>
    <s v="إسكان سلمان للتسويق العقاري"/>
  </r>
  <r>
    <s v="D266817233"/>
    <x v="0"/>
    <n v="3"/>
    <n v="3"/>
    <n v="125"/>
    <n v="880000"/>
    <n v="7040"/>
    <n v="880000"/>
    <s v="شقة  للبيع في العارض، الرياض"/>
    <s v="العارض، شمال الرياض، الرياض"/>
    <x v="4"/>
    <s v="حي العارض"/>
    <s v="الرياض"/>
    <s v="مكتب بدر حمد الموسى للعقارات"/>
  </r>
  <r>
    <s v="M940509531"/>
    <x v="2"/>
    <n v="4"/>
    <n v="3"/>
    <n v="260"/>
    <n v="880000"/>
    <n v="3384.6153846153848"/>
    <n v="880000"/>
    <s v="فيلا للبيع أحد، جنوب الرياض"/>
    <s v="احد، جنوب الرياض، الرياض"/>
    <x v="1"/>
    <s v="حي احد"/>
    <s v="الرياض"/>
    <s v="شركة نجمة التميز للعقارات"/>
  </r>
  <r>
    <s v="Q698134700"/>
    <x v="0"/>
    <n v="3"/>
    <n v="3"/>
    <n v="478"/>
    <n v="880000"/>
    <n v="1841.0041841004183"/>
    <n v="880000"/>
    <s v="شقة مودرن للبيع في المهدية، غرب الرياض"/>
    <s v="المهدية، غرب الرياض، الرياض"/>
    <x v="3"/>
    <s v="حي المهدية"/>
    <s v="الرياض"/>
    <s v="​فردي / مالك"/>
  </r>
  <r>
    <s v="H341134427"/>
    <x v="1"/>
    <n v="0"/>
    <n v="0"/>
    <n v="355"/>
    <n v="880000"/>
    <n v="2478.8732394366198"/>
    <n v="880000"/>
    <s v="أرض للبيع في مخطط الخير, شمال الرياض"/>
    <s v="مخطط الخير، شمال الرياض، الرياض"/>
    <x v="4"/>
    <s v="حي مخطط الخير"/>
    <s v="الرياض"/>
    <s v="مكتب عبدالكريم منصور محمد النويصري للعقارات"/>
  </r>
  <r>
    <s v="U614718775"/>
    <x v="0"/>
    <n v="3"/>
    <n v="3"/>
    <n v="117"/>
    <n v="890000"/>
    <n v="7606.8376068376065"/>
    <n v="890000"/>
    <s v="شقة سكنية مودرن مشروع هاجر 38 - باليرموك، الرياض"/>
    <s v="اليرموك، شرق الرياض، الرياض"/>
    <x v="0"/>
    <s v="حي اليرموك"/>
    <s v="الرياض"/>
    <s v="شركة سبل الاولى العقارية"/>
  </r>
  <r>
    <s v="G151960281"/>
    <x v="0"/>
    <n v="3"/>
    <n v="3"/>
    <n v="146"/>
    <n v="900000"/>
    <n v="6164.3835616438355"/>
    <n v="900000"/>
    <s v="شقة للبيع في الرمال، الرياض"/>
    <s v="الرمال، شرق الرياض، الرياض"/>
    <x v="0"/>
    <s v="حي الرمال"/>
    <s v="الرياض"/>
    <s v="​فردي / مالك"/>
  </r>
  <r>
    <s v="V760234914"/>
    <x v="0"/>
    <n v="4"/>
    <n v="4"/>
    <n v="478"/>
    <n v="900000"/>
    <n v="1882.8451882845188"/>
    <n v="900000"/>
    <s v="شقق مودرن للبيع في المهدية, غرب الرياض"/>
    <s v="المهدية، غرب الرياض، الرياض"/>
    <x v="3"/>
    <s v="حي المهدية"/>
    <s v="الرياض"/>
    <s v="​فردي / مالك"/>
  </r>
  <r>
    <s v="E837692382"/>
    <x v="3"/>
    <n v="4"/>
    <n v="5"/>
    <n v="199"/>
    <n v="900000"/>
    <n v="4522.6130653266327"/>
    <n v="900000"/>
    <s v="دور فاخر للبيع"/>
    <s v="القادسية، شرق الرياض، الرياض"/>
    <x v="0"/>
    <s v="حي القادسية"/>
    <s v="الرياض"/>
    <s v="سكن المعالي للعقارات"/>
  </r>
  <r>
    <s v="Z425384313"/>
    <x v="0"/>
    <n v="4"/>
    <n v="4"/>
    <n v="258"/>
    <n v="900000"/>
    <n v="3488.3720930232557"/>
    <n v="900000"/>
    <s v="شقة للبيع في طويق, غرب الرياض"/>
    <s v="طويق، غرب الرياض، الرياض"/>
    <x v="3"/>
    <s v="حي طويق"/>
    <s v="الرياض"/>
    <s v="​فردي / مالك"/>
  </r>
  <r>
    <s v="Y895552792"/>
    <x v="3"/>
    <n v="3"/>
    <n v="4"/>
    <n v="360"/>
    <n v="900000"/>
    <n v="2500"/>
    <n v="900000"/>
    <s v="دور للبيع في  قرطبة، شرق الرياض"/>
    <s v="قرطبة، شرق الرياض، الرياض"/>
    <x v="0"/>
    <s v="حي قرطبة"/>
    <s v="الرياض"/>
    <s v="شركة مدى الاعصار العقارية"/>
  </r>
  <r>
    <s v="U146459347"/>
    <x v="2"/>
    <n v="6"/>
    <n v="7"/>
    <n v="250"/>
    <n v="900000"/>
    <n v="3600"/>
    <n v="900000"/>
    <s v="فيلا دوبلكس مسكن أول بالرياض الشفا حى بدر"/>
    <s v="بدر، جنوب الرياض، الرياض"/>
    <x v="1"/>
    <s v="حي بدر"/>
    <s v="الرياض"/>
    <s v="​فردي / مالك"/>
  </r>
  <r>
    <s v="Z053764860"/>
    <x v="0"/>
    <n v="3"/>
    <n v="3"/>
    <n v="180"/>
    <n v="900000"/>
    <n v="5000"/>
    <n v="900000"/>
    <s v="شقة - الرياض - حي السعادة"/>
    <s v="السعادة، شرق الرياض، الرياض"/>
    <x v="0"/>
    <s v="حي السعادة"/>
    <s v="الرياض"/>
    <s v="إسكان سلمان للتسويق العقاري"/>
  </r>
  <r>
    <s v="H791401191"/>
    <x v="3"/>
    <n v="4"/>
    <n v="5"/>
    <n v="300"/>
    <n v="900000"/>
    <n v="3000"/>
    <n v="900000"/>
    <s v="دور للبيع في القادسيه، شرق الرياض"/>
    <s v="القادسية، شرق الرياض، الرياض"/>
    <x v="0"/>
    <s v="حي القادسية"/>
    <s v="الرياض"/>
    <s v="سكن المعالي للعقارات"/>
  </r>
  <r>
    <s v="S132949090"/>
    <x v="1"/>
    <n v="1"/>
    <n v="0"/>
    <n v="957"/>
    <n v="900000"/>
    <n v="940.4388714733542"/>
    <n v="900000"/>
    <s v="أرض للبيع في الزاهر، الرياض"/>
    <s v="الزاهر، الرياض"/>
    <x v="3"/>
    <s v="حي الزاهر"/>
    <s v="الرياض"/>
    <s v="​فردي / مالك"/>
  </r>
  <r>
    <s v="E846041562"/>
    <x v="3"/>
    <n v="6"/>
    <n v="5"/>
    <n v="199"/>
    <n v="900000"/>
    <n v="4522.6130653266327"/>
    <n v="900000"/>
    <s v="دور أول للبيع في القادسية، شرق الرياض"/>
    <s v="القادسية، شرق الرياض، الرياض"/>
    <x v="0"/>
    <s v="حي القادسية"/>
    <s v="الرياض"/>
    <s v="سكن المعالي للعقارات"/>
  </r>
  <r>
    <s v="V834561164"/>
    <x v="2"/>
    <n v="3"/>
    <n v="3"/>
    <n v="143"/>
    <n v="900000"/>
    <n v="6293.7062937062938"/>
    <n v="900000"/>
    <s v="فيلا للبيع في العليشة، غرب الرياض"/>
    <s v="عليشة، غرب الرياض، الرياض"/>
    <x v="3"/>
    <s v="حي عليشة"/>
    <s v="الرياض"/>
    <s v="مكتب الاحمدي للعقارات"/>
  </r>
  <r>
    <s v="K933972520"/>
    <x v="3"/>
    <n v="2"/>
    <n v="2"/>
    <n v="312"/>
    <n v="900000"/>
    <n v="2884.6153846153848"/>
    <n v="900000"/>
    <s v="دور للبيع في الرمال، شرق الرياض"/>
    <s v="الرمال، شرق الرياض، الرياض"/>
    <x v="0"/>
    <s v="حي الرمال"/>
    <s v="الرياض"/>
    <s v="إسكان سلمان للتسويق العقاري"/>
  </r>
  <r>
    <s v="H933972520"/>
    <x v="3"/>
    <n v="2"/>
    <n v="2"/>
    <n v="312"/>
    <n v="900000"/>
    <n v="2884.6153846153848"/>
    <n v="900000"/>
    <s v="دور للبيع في الرمال، شرق الرياض"/>
    <s v="الرمال، شرق الرياض، الرياض"/>
    <x v="0"/>
    <s v="حي الرمال"/>
    <s v="الرياض"/>
    <s v="إسكان سلمان للتسويق العقاري"/>
  </r>
  <r>
    <s v="L337822150"/>
    <x v="0"/>
    <n v="3"/>
    <n v="3"/>
    <n v="478"/>
    <n v="900000"/>
    <n v="1882.8451882845188"/>
    <n v="900000"/>
    <s v="شقة بنظام مودرن في حي المهدية"/>
    <s v="المهدية، غرب الرياض، الرياض"/>
    <x v="3"/>
    <s v="حي المهدية"/>
    <s v="الرياض"/>
    <s v="​فردي / مالك"/>
  </r>
  <r>
    <s v="N458708552"/>
    <x v="0"/>
    <n v="4"/>
    <n v="3"/>
    <n v="120"/>
    <n v="900000"/>
    <n v="7500"/>
    <n v="900000"/>
    <s v="شقة للبيع في شارع الجمال ، حي الحمراء ، الرياض"/>
    <s v="الحمراء، شرق الرياض، الرياض"/>
    <x v="0"/>
    <s v="حي الحمراء"/>
    <s v="الرياض"/>
    <s v="مكتب رونق التميز للعقارات"/>
  </r>
  <r>
    <s v="D637825640"/>
    <x v="3"/>
    <n v="6"/>
    <n v="4"/>
    <n v="199"/>
    <n v="900000"/>
    <n v="4522.6130653266327"/>
    <n v="900000"/>
    <s v="دور للبيع في القادسية, شرق الرياض"/>
    <s v="القادسية، شرق الرياض، الرياض"/>
    <x v="0"/>
    <s v="حي القادسية"/>
    <s v="الرياض"/>
    <s v="سكن المعالي للعقارات"/>
  </r>
  <r>
    <s v="P945037582"/>
    <x v="3"/>
    <n v="6"/>
    <n v="4"/>
    <n v="199"/>
    <n v="900000"/>
    <n v="4522.6130653266327"/>
    <n v="900000"/>
    <s v="دور أول علوي للبيع في القادسية، شرق الرياض"/>
    <s v="القادسية، شرق الرياض، الرياض"/>
    <x v="0"/>
    <s v="حي القادسية"/>
    <s v="الرياض"/>
    <s v="​فردي / مالك"/>
  </r>
  <r>
    <s v="F636533309"/>
    <x v="3"/>
    <n v="4"/>
    <n v="4"/>
    <n v="199"/>
    <n v="900000"/>
    <n v="4522.6130653266327"/>
    <n v="900000"/>
    <s v="دور علوي للبيع في القادسية، شرق الرياض"/>
    <s v="القادسية، شرق الرياض، الرياض"/>
    <x v="0"/>
    <s v="حي القادسية"/>
    <s v="الرياض"/>
    <s v="سكن المعالي للعقارات"/>
  </r>
  <r>
    <s v="Z763213353"/>
    <x v="3"/>
    <n v="4"/>
    <n v="3"/>
    <n v="750"/>
    <n v="900000"/>
    <n v="1200"/>
    <n v="900000"/>
    <s v="دور للبيع في طويق، غرب الرياض"/>
    <s v="طويق، غرب الرياض، الرياض"/>
    <x v="3"/>
    <s v="حي طويق"/>
    <s v="الرياض"/>
    <s v="​فردي / مالك"/>
  </r>
  <r>
    <s v="I160785980"/>
    <x v="3"/>
    <n v="5"/>
    <n v="4"/>
    <n v="146"/>
    <n v="900000"/>
    <n v="6164.3835616438355"/>
    <n v="900000"/>
    <s v="دور للبيع في الرمال, شرق الرياض"/>
    <s v="الرمال، شرق الرياض، الرياض"/>
    <x v="0"/>
    <s v="حي الرمال"/>
    <s v="الرياض"/>
    <s v="إسكان سلمان للتسويق العقاري"/>
  </r>
  <r>
    <s v="D291346134"/>
    <x v="3"/>
    <n v="4"/>
    <n v="4"/>
    <n v="212"/>
    <n v="900000"/>
    <n v="4245.2830188679245"/>
    <n v="900000"/>
    <s v="دور للبيع في القادسيه، شرق الرياض"/>
    <s v="القادسية، شرق الرياض، الرياض"/>
    <x v="0"/>
    <s v="حي القادسية"/>
    <s v="الرياض"/>
    <s v="سكن المعالي للعقارات"/>
  </r>
  <r>
    <s v="S938304256"/>
    <x v="3"/>
    <n v="4"/>
    <n v="4"/>
    <n v="199"/>
    <n v="900000"/>
    <n v="4522.6130653266327"/>
    <n v="900000"/>
    <s v="للبيع دور أول في القادسية، شرق الرياض"/>
    <s v="القادسية، شرق الرياض، الرياض"/>
    <x v="0"/>
    <s v="حي القادسية"/>
    <s v="الرياض"/>
    <s v="سكن المعالي للعقارات"/>
  </r>
  <r>
    <s v="N556870385"/>
    <x v="1"/>
    <n v="0"/>
    <n v="0"/>
    <n v="375"/>
    <n v="2400"/>
    <n v="2400"/>
    <n v="900000"/>
    <s v="ارض للبيع سكنية في حي الجنادرية، الرياض"/>
    <s v="الجنادرية، شرق الرياض، الرياض"/>
    <x v="0"/>
    <s v="حي الجنادرية"/>
    <s v="الرياض"/>
    <s v="مؤسسة بصمة الانجاز للخدمات العقارية"/>
  </r>
  <r>
    <s v="A738981273"/>
    <x v="0"/>
    <n v="3"/>
    <n v="3"/>
    <n v="180"/>
    <n v="900000"/>
    <n v="5000"/>
    <n v="900000"/>
    <s v="شقة للبيع في حي السعادة، شرق الرياض"/>
    <s v="السعادة، شرق الرياض، الرياض"/>
    <x v="0"/>
    <s v="حي السعادة"/>
    <s v="الرياض"/>
    <s v="إسكان سلمان للتسويق العقاري"/>
  </r>
  <r>
    <s v="T937776138"/>
    <x v="3"/>
    <n v="5"/>
    <n v="4"/>
    <n v="143"/>
    <n v="900000"/>
    <n v="6293.7062937062938"/>
    <n v="900000"/>
    <s v="دور - الرياض - حي الرمال"/>
    <s v="الرمال، شرق الرياض، الرياض"/>
    <x v="0"/>
    <s v="حي الرمال"/>
    <s v="الرياض"/>
    <s v="إسكان سلمان للتسويق العقاري"/>
  </r>
  <r>
    <s v="U172487156"/>
    <x v="0"/>
    <n v="4"/>
    <n v="3"/>
    <n v="91"/>
    <n v="900000"/>
    <n v="9890.1098901098903"/>
    <n v="900000"/>
    <s v="شقة للبيع في شارع الكوثر ، حي العارض ، الرياض ، منطقة الرياض"/>
    <s v="العارض، شمال الرياض، الرياض"/>
    <x v="4"/>
    <s v="حي العارض"/>
    <s v="الرياض"/>
    <s v="​فردي / مالك"/>
  </r>
  <r>
    <s v="L890601141"/>
    <x v="0"/>
    <n v="3"/>
    <n v="2"/>
    <n v="85"/>
    <n v="900000"/>
    <n v="10588.235294117647"/>
    <n v="900000"/>
    <s v="شقة للبيع في شارع القصر ، حي النرجس ، الرياض ، منطقة الرياض"/>
    <s v="العارض، شمال الرياض، الرياض"/>
    <x v="4"/>
    <s v="حي العارض"/>
    <s v="الرياض"/>
    <s v="مكتب طريق الاسكان"/>
  </r>
  <r>
    <s v="B901221022"/>
    <x v="2"/>
    <n v="8"/>
    <n v="7"/>
    <n v="225"/>
    <n v="900000"/>
    <n v="4000"/>
    <n v="900000"/>
    <s v="فيلا للبيع في شارع أبي بكر القنائي, حي ديراب, مدينة الرياض, منطقة الرياض"/>
    <s v="ديراب، غرب الرياض، الرياض"/>
    <x v="3"/>
    <s v="حي ديراب"/>
    <s v="الرياض"/>
    <s v="مكتب طريق الاسكان"/>
  </r>
  <r>
    <s v="P232949062"/>
    <x v="0"/>
    <n v="2"/>
    <n v="3"/>
    <n v="122"/>
    <n v="900000"/>
    <n v="7377.0491803278692"/>
    <n v="900000"/>
    <s v="شقة للبيع في حطين, شمال الرياض"/>
    <s v="حطين، شمال الرياض، الرياض"/>
    <x v="4"/>
    <s v="حي حطين"/>
    <s v="الرياض"/>
    <s v="​فردي / مالك"/>
  </r>
  <r>
    <s v="C810809697"/>
    <x v="3"/>
    <n v="4"/>
    <n v="4"/>
    <n v="172"/>
    <n v="900000"/>
    <n v="5232.5581395348836"/>
    <n v="900000"/>
    <s v="دور للبيع في البيان، شرق الرياض"/>
    <s v="حي البيان، شرق الرياض، الرياض"/>
    <x v="0"/>
    <s v="حي حي البيان"/>
    <s v="الرياض"/>
    <s v="إسكان سلمان للتسويق العقاري"/>
  </r>
  <r>
    <s v="E126771413"/>
    <x v="3"/>
    <n v="4"/>
    <n v="2"/>
    <n v="155"/>
    <n v="900000"/>
    <n v="5806.4516129032254"/>
    <n v="900000"/>
    <s v="دور للبيع في القادسية، شرق الرياض"/>
    <s v="القادسية، شرق الرياض، الرياض"/>
    <x v="0"/>
    <s v="حي القادسية"/>
    <s v="الرياض"/>
    <s v="إسكان سلمان للتسويق العقاري"/>
  </r>
  <r>
    <s v="A308173109"/>
    <x v="0"/>
    <n v="4"/>
    <n v="3"/>
    <n v="140"/>
    <n v="905000"/>
    <n v="6464.2857142857147"/>
    <n v="905000"/>
    <s v="شقه حي القادسية"/>
    <s v="القادسية، شرق الرياض، الرياض"/>
    <x v="0"/>
    <s v="حي القادسية"/>
    <s v="الرياض"/>
    <s v="سكن المعالي للعقارات"/>
  </r>
  <r>
    <s v="Q180780624"/>
    <x v="0"/>
    <n v="4"/>
    <n v="3"/>
    <n v="140"/>
    <n v="905000"/>
    <n v="6464.2857142857147"/>
    <n v="905000"/>
    <s v="شقة فاخره بحي القادسية لراغبي التميز"/>
    <s v="القادسية، شرق الرياض، الرياض"/>
    <x v="0"/>
    <s v="حي القادسية"/>
    <s v="الرياض"/>
    <s v="سكن المعالي للعقارات"/>
  </r>
  <r>
    <s v="L426905174"/>
    <x v="0"/>
    <n v="4"/>
    <n v="3"/>
    <n v="159"/>
    <n v="905000"/>
    <n v="5691.8238993710693"/>
    <n v="905000"/>
    <s v="شقة للبيع في القادسية، شرق الرياض"/>
    <s v="القادسية، شرق الرياض، الرياض"/>
    <x v="0"/>
    <s v="حي القادسية"/>
    <s v="الرياض"/>
    <s v="سكن المعالي للعقارات"/>
  </r>
  <r>
    <s v="Y892714520"/>
    <x v="0"/>
    <n v="3"/>
    <n v="4"/>
    <n v="159"/>
    <n v="905000"/>
    <n v="5691.8238993710693"/>
    <n v="905000"/>
    <s v="شقة فاخرة للبيع في القادسية، شرق الرياض"/>
    <s v="القادسية، شرق الرياض، الرياض"/>
    <x v="0"/>
    <s v="حي القادسية"/>
    <s v="الرياض"/>
    <s v="سكن المعالي للعقارات"/>
  </r>
  <r>
    <s v="J758574838"/>
    <x v="0"/>
    <n v="3"/>
    <n v="3"/>
    <n v="126"/>
    <n v="920000"/>
    <n v="7301.5873015873012"/>
    <n v="920000"/>
    <s v="شقة 3 غرف بموقع مميز للبيع في اليرموك، الرياض"/>
    <s v="اليرموك، شرق الرياض، الرياض"/>
    <x v="0"/>
    <s v="حي اليرموك"/>
    <s v="الرياض"/>
    <s v="​فردي / مالك"/>
  </r>
  <r>
    <s v="Y248607862"/>
    <x v="3"/>
    <n v="3"/>
    <n v="2"/>
    <n v="61"/>
    <n v="920000"/>
    <n v="15081.967213114754"/>
    <n v="920000"/>
    <s v="دور للبيع في النسيم الشرقي، شرق الرياض"/>
    <s v="النسيم الشرقي، شرق الرياض، الرياض"/>
    <x v="0"/>
    <s v="حي النسيم الشرقي"/>
    <s v="الرياض"/>
    <s v="​فردي / مالك"/>
  </r>
  <r>
    <s v="N137470374"/>
    <x v="3"/>
    <n v="5"/>
    <n v="5"/>
    <n v="250"/>
    <n v="920000"/>
    <n v="3680"/>
    <n v="920000"/>
    <s v="دور للبيع في ديراب، غرب الرياض"/>
    <s v="ديراب، غرب الرياض، الرياض"/>
    <x v="3"/>
    <s v="حي ديراب"/>
    <s v="الرياض"/>
    <s v="إسكان سلمان للتسويق العقاري"/>
  </r>
  <r>
    <s v="D239878944"/>
    <x v="0"/>
    <n v="3"/>
    <n v="3"/>
    <n v="119"/>
    <n v="920000"/>
    <n v="7731.09243697479"/>
    <n v="920000"/>
    <s v="شقة 3 غرف -بالدور الأرضي-  للبيع اليرموك، الرياض"/>
    <s v="اليرموك، شرق الرياض، الرياض"/>
    <x v="0"/>
    <s v="حي اليرموك"/>
    <s v="الرياض"/>
    <s v="​فردي / مالك"/>
  </r>
  <r>
    <s v="M940711499"/>
    <x v="3"/>
    <n v="5"/>
    <n v="3"/>
    <n v="123"/>
    <n v="925000"/>
    <n v="7520.3252032520322"/>
    <n v="925000"/>
    <s v="أدوار أرضية للبيع في السعادة، شرق الرياض"/>
    <s v="السعادة، شرق الرياض، الرياض"/>
    <x v="0"/>
    <s v="حي السعادة"/>
    <s v="الرياض"/>
    <s v="مسكنكم للخدمات العقارية"/>
  </r>
  <r>
    <s v="E333956278"/>
    <x v="0"/>
    <n v="4"/>
    <n v="5"/>
    <n v="900"/>
    <n v="930000"/>
    <n v="1033.3333333333333"/>
    <n v="930000"/>
    <s v="شقة للبيع في ظهرة لبن، غرب الرياض"/>
    <s v="ظهرة لبن، غرب الرياض، الرياض"/>
    <x v="3"/>
    <s v="حي ظهرة لبن"/>
    <s v="الرياض"/>
    <s v="شركة بنائات العقارية"/>
  </r>
  <r>
    <s v="J978605897"/>
    <x v="0"/>
    <n v="5"/>
    <n v="5"/>
    <n v="900"/>
    <n v="930000"/>
    <n v="1033.3333333333333"/>
    <n v="930000"/>
    <s v="شقة للبيع في ظهرة لبن, غرب الرياض"/>
    <s v="ظهرة لبن، غرب الرياض، الرياض"/>
    <x v="3"/>
    <s v="حي ظهرة لبن"/>
    <s v="الرياض"/>
    <s v="شركة بنائات العقارية"/>
  </r>
  <r>
    <s v="A162730225"/>
    <x v="3"/>
    <n v="3"/>
    <n v="5"/>
    <n v="168"/>
    <n v="940000"/>
    <n v="5595.2380952380954"/>
    <n v="940000"/>
    <s v="دور للبيع في  الرمال، شرق الرياض"/>
    <s v="الرمال، شرق الرياض، الرياض"/>
    <x v="0"/>
    <s v="حي الرمال"/>
    <s v="الرياض"/>
    <s v="إسكان سلمان للتسويق العقاري"/>
  </r>
  <r>
    <s v="R123559023"/>
    <x v="3"/>
    <n v="3"/>
    <n v="5"/>
    <n v="168"/>
    <n v="940000"/>
    <n v="5595.2380952380954"/>
    <n v="940000"/>
    <s v="دور - الرياض - حي الرمال"/>
    <s v="الرمال، شرق الرياض، الرياض"/>
    <x v="0"/>
    <s v="حي الرمال"/>
    <s v="الرياض"/>
    <s v="إسكان سلمان للتسويق العقاري"/>
  </r>
  <r>
    <s v="N062087818"/>
    <x v="3"/>
    <n v="3"/>
    <n v="4"/>
    <n v="140"/>
    <n v="949000"/>
    <n v="6778.5714285714284"/>
    <n v="949000"/>
    <s v="شقة للبيع في الرمال، شرق الرياض"/>
    <s v="الرمال، شرق الرياض، الرياض"/>
    <x v="0"/>
    <s v="حي الرمال"/>
    <s v="الرياض"/>
    <s v="شركة ترف للتطوير والاستثمار العقاري"/>
  </r>
  <r>
    <s v="B603367921"/>
    <x v="0"/>
    <n v="3"/>
    <n v="3"/>
    <n v="113"/>
    <n v="950000"/>
    <n v="8407.0796460176989"/>
    <n v="950000"/>
    <s v="شقة للبيع في حي النرجس،"/>
    <s v="النرجس، شمال الرياض، الرياض"/>
    <x v="4"/>
    <s v="حي النرجس"/>
    <s v="الرياض"/>
    <s v="مؤسسة ودود العقارية"/>
  </r>
  <r>
    <s v="S904625500"/>
    <x v="3"/>
    <n v="3"/>
    <n v="3"/>
    <n v="500"/>
    <n v="950000"/>
    <n v="1900"/>
    <n v="950000"/>
    <s v="ادوار للبيع في  شبرا، غرب الرياض"/>
    <s v="شبرا، غرب الرياض، الرياض"/>
    <x v="3"/>
    <s v="حي شبرا"/>
    <s v="الرياض"/>
    <s v="شركة نجمة التميز للعقارات"/>
  </r>
  <r>
    <s v="P766932871"/>
    <x v="0"/>
    <n v="3"/>
    <n v="3"/>
    <n v="126"/>
    <n v="950000"/>
    <n v="7539.6825396825398"/>
    <n v="950000"/>
    <s v="شقة للبيع الملقا، شمال الرياض"/>
    <s v="الملقا، شمال الرياض، الرياض"/>
    <x v="4"/>
    <s v="حي الملقا"/>
    <s v="الرياض"/>
    <s v="مكتب شريط للعقارات"/>
  </r>
  <r>
    <s v="S819538263"/>
    <x v="0"/>
    <n v="3"/>
    <n v="3"/>
    <n v="140"/>
    <n v="950000"/>
    <n v="6785.7142857142853"/>
    <n v="950000"/>
    <s v="شقق للبيع في العارض, شمال الرياض"/>
    <s v="العارض، شمال الرياض، الرياض"/>
    <x v="4"/>
    <s v="حي العارض"/>
    <s v="الرياض"/>
    <s v="مؤسسة حلول الرياض للخدمات العقارية"/>
  </r>
  <r>
    <s v="H764010377"/>
    <x v="3"/>
    <n v="3"/>
    <n v="3"/>
    <n v="250"/>
    <n v="950000"/>
    <n v="3800"/>
    <n v="950000"/>
    <s v="دور للبيع في شبرا، غرب الرياض"/>
    <s v="شبرا، غرب الرياض، الرياض"/>
    <x v="3"/>
    <s v="حي شبرا"/>
    <s v="الرياض"/>
    <s v="شركة نجمة التميز للعقارات"/>
  </r>
  <r>
    <s v="I424882782"/>
    <x v="3"/>
    <n v="5"/>
    <n v="5"/>
    <n v="600"/>
    <n v="950000"/>
    <n v="1583.3333333333333"/>
    <n v="950000"/>
    <s v="دور للبيع في طويق، غرب الرياض"/>
    <s v="طويق، غرب الرياض، الرياض"/>
    <x v="3"/>
    <s v="حي طويق"/>
    <s v="الرياض"/>
    <s v="​فردي / مالك"/>
  </r>
  <r>
    <s v="D336199093"/>
    <x v="3"/>
    <n v="3"/>
    <n v="3"/>
    <n v="500"/>
    <n v="950000"/>
    <n v="1900"/>
    <n v="950000"/>
    <s v="دور للبيع في شبرا, غرب الرياض"/>
    <s v="شبرا، غرب الرياض، الرياض"/>
    <x v="3"/>
    <s v="حي شبرا"/>
    <s v="الرياض"/>
    <s v="شركة نجمة التميز للعقارات"/>
  </r>
  <r>
    <s v="L680069017"/>
    <x v="3"/>
    <n v="5"/>
    <n v="3"/>
    <n v="156"/>
    <n v="950000"/>
    <n v="6089.7435897435898"/>
    <n v="950000"/>
    <s v="دور - الرياض - الرمال"/>
    <s v="الرمال، شرق الرياض، الرياض"/>
    <x v="0"/>
    <s v="حي الرمال"/>
    <s v="الرياض"/>
    <s v="إسكان سلمان للتسويق العقاري"/>
  </r>
  <r>
    <s v="L311541567"/>
    <x v="3"/>
    <n v="6"/>
    <n v="5"/>
    <n v="211"/>
    <n v="950000"/>
    <n v="4502.3696682464451"/>
    <n v="950000"/>
    <s v="الرياض حي السويدي الغربي شارع 15 غربي"/>
    <s v="السويدي الغربي، غرب الرياض، الرياض"/>
    <x v="3"/>
    <s v="حي السويدي الغربي"/>
    <s v="الرياض"/>
    <s v="​فردي / مالك"/>
  </r>
  <r>
    <s v="J184271012"/>
    <x v="2"/>
    <n v="4"/>
    <n v="5"/>
    <n v="273"/>
    <n v="950000"/>
    <n v="3479.8534798534797"/>
    <n v="950000"/>
    <s v="فيلا بغرفة نوم واحدة للبيع في الدار البيضاء ، الرياض"/>
    <s v="العزيزية، جنوب الرياض، الرياض"/>
    <x v="1"/>
    <s v="حي العزيزية"/>
    <s v="الرياض"/>
    <s v="​فردي / مالك"/>
  </r>
  <r>
    <s v="Q714538927"/>
    <x v="3"/>
    <n v="4"/>
    <n v="4"/>
    <n v="146"/>
    <n v="950000"/>
    <n v="6506.8493150684935"/>
    <n v="950000"/>
    <s v="دور - الرياض - حي الرمال"/>
    <s v="الرمال، شرق الرياض، الرياض"/>
    <x v="0"/>
    <s v="حي الرمال"/>
    <s v="الرياض"/>
    <s v="إسكان سلمان للتسويق العقاري"/>
  </r>
  <r>
    <s v="E848240271"/>
    <x v="0"/>
    <n v="5"/>
    <n v="4"/>
    <n v="191"/>
    <n v="950000"/>
    <n v="4973.8219895287957"/>
    <n v="950000"/>
    <s v="شقة 4 غرف نوم للبيع في الخليج، الرياض"/>
    <s v="الخليج، شرق الرياض، الرياض"/>
    <x v="0"/>
    <s v="حي الخليج"/>
    <s v="الرياض"/>
    <s v="​فردي / مالك"/>
  </r>
  <r>
    <s v="M906292945"/>
    <x v="0"/>
    <n v="3"/>
    <n v="4"/>
    <n v="120"/>
    <n v="950000"/>
    <n v="7916.666666666667"/>
    <n v="950000"/>
    <s v="شقة للبيع في العارض، شمال الرياض"/>
    <s v="العارض، شمال الرياض، الرياض"/>
    <x v="4"/>
    <s v="حي العارض"/>
    <s v="الرياض"/>
    <s v="​فردي / مالك"/>
  </r>
  <r>
    <s v="B217404693"/>
    <x v="3"/>
    <n v="3"/>
    <n v="3"/>
    <n v="250"/>
    <n v="950000"/>
    <n v="3800"/>
    <n v="950000"/>
    <s v="دور للبيع في في شبرا، غرب الرياض"/>
    <s v="شبرا، غرب الرياض، الرياض"/>
    <x v="3"/>
    <s v="حي شبرا"/>
    <s v="الرياض"/>
    <s v="​فردي / مالك"/>
  </r>
  <r>
    <s v="T259231924"/>
    <x v="3"/>
    <n v="5"/>
    <n v="4"/>
    <n v="177"/>
    <n v="950000"/>
    <n v="5367.2316384180795"/>
    <n v="950000"/>
    <s v="دور للبيع في الرمال، شرق الرياض"/>
    <s v="الرمال، شرق الرياض، الرياض"/>
    <x v="0"/>
    <s v="حي الرمال"/>
    <s v="الرياض"/>
    <s v="​فردي / مالك"/>
  </r>
  <r>
    <s v="B259231924"/>
    <x v="3"/>
    <n v="5"/>
    <n v="4"/>
    <n v="177"/>
    <n v="950000"/>
    <n v="5367.2316384180795"/>
    <n v="950000"/>
    <s v="دور للبيع في الرمال، شرق الرياض"/>
    <s v="الرمال، شرق الرياض، الرياض"/>
    <x v="0"/>
    <s v="حي الرمال"/>
    <s v="الرياض"/>
    <s v="​فردي / مالك"/>
  </r>
  <r>
    <s v="R218304194"/>
    <x v="3"/>
    <n v="3"/>
    <n v="3"/>
    <n v="196"/>
    <n v="950000"/>
    <n v="4846.9387755102043"/>
    <n v="950000"/>
    <s v="دور للبيع في حي الرمال, شرق الرياض"/>
    <s v="الرمال، شرق الرياض، الرياض"/>
    <x v="0"/>
    <s v="حي الرمال"/>
    <s v="الرياض"/>
    <s v="شركة نهضة التطور العقارية"/>
  </r>
  <r>
    <s v="P836496192"/>
    <x v="3"/>
    <n v="4"/>
    <n v="3"/>
    <n v="199"/>
    <n v="950000"/>
    <n v="4773.869346733668"/>
    <n v="950000"/>
    <s v="دور للبيع في القادسية, شرق الرياض"/>
    <s v="القادسية، شرق الرياض، الرياض"/>
    <x v="0"/>
    <s v="حي القادسية"/>
    <s v="الرياض"/>
    <s v="سكن المعالي للعقارات"/>
  </r>
  <r>
    <s v="L397847118"/>
    <x v="3"/>
    <n v="3"/>
    <n v="3"/>
    <n v="500"/>
    <n v="950000"/>
    <n v="1900"/>
    <n v="950000"/>
    <s v="أدوار للبيع في شبرا, غرب الرياض"/>
    <s v="شبرا، غرب الرياض، الرياض"/>
    <x v="3"/>
    <s v="حي شبرا"/>
    <s v="الرياض"/>
    <s v="شركة نجمة التميز للعقارات"/>
  </r>
  <r>
    <s v="H413613720"/>
    <x v="3"/>
    <n v="3"/>
    <n v="3"/>
    <n v="177"/>
    <n v="950000"/>
    <n v="5367.2316384180795"/>
    <n v="950000"/>
    <s v="دور للبيع في الرمال, شرق الرياض"/>
    <s v="الرمال، شرق الرياض، الرياض"/>
    <x v="0"/>
    <s v="حي الرمال"/>
    <s v="الرياض"/>
    <s v="مؤسسة الفا البواني العقارية"/>
  </r>
  <r>
    <s v="R130026039"/>
    <x v="0"/>
    <n v="3"/>
    <n v="2"/>
    <n v="108"/>
    <n v="950000"/>
    <n v="8796.2962962962956"/>
    <n v="950000"/>
    <s v="شقة للبيع في الوادي, شمال الرياض"/>
    <s v="الوادي، شمال الرياض، الرياض"/>
    <x v="4"/>
    <s v="حي الوادي"/>
    <s v="الرياض"/>
    <s v="​فردي / مالك"/>
  </r>
  <r>
    <s v="D701664873"/>
    <x v="2"/>
    <n v="4"/>
    <n v="5"/>
    <n v="260"/>
    <n v="950000"/>
    <n v="3653.8461538461538"/>
    <n v="950000"/>
    <s v="فيلا للبيع في أحد، جنوب الرياض"/>
    <s v="احد، جنوب الرياض، الرياض"/>
    <x v="1"/>
    <s v="حي احد"/>
    <s v="الرياض"/>
    <s v="شركة نجمة التميز للعقارات"/>
  </r>
  <r>
    <s v="V024212599"/>
    <x v="3"/>
    <n v="4"/>
    <n v="3"/>
    <n v="195"/>
    <n v="966000"/>
    <n v="4953.8461538461543"/>
    <n v="966000"/>
    <s v="دور للبيع في الحزم، غرب الرياض"/>
    <s v="الحزم، غرب الرياض، الرياض"/>
    <x v="3"/>
    <s v="حي الحزم"/>
    <s v="الرياض"/>
    <s v="​فردي / مالك"/>
  </r>
  <r>
    <s v="O618786398"/>
    <x v="0"/>
    <n v="3"/>
    <n v="3"/>
    <n v="120"/>
    <n v="969000"/>
    <n v="8075"/>
    <n v="969000"/>
    <s v="شقة للبيع في الروضة، شرق الرياض"/>
    <s v="الروضة، شرق الرياض، الرياض"/>
    <x v="0"/>
    <s v="حي الروضة"/>
    <s v="الرياض"/>
    <s v="شركة رؤية التسويق العقاري"/>
  </r>
  <r>
    <s v="T839834296"/>
    <x v="2"/>
    <n v="8"/>
    <n v="5"/>
    <n v="278"/>
    <n v="970000"/>
    <n v="3489.2086330935253"/>
    <n v="970000"/>
    <s v="فيلا للبيع في حي طيبة , الرياض"/>
    <s v="طيبة، جنوب الرياض، الرياض"/>
    <x v="1"/>
    <s v="حي طيبة"/>
    <s v="الرياض"/>
    <s v="مكتب العقد الذهبي للعقارات"/>
  </r>
  <r>
    <s v="E142025309"/>
    <x v="3"/>
    <n v="5"/>
    <n v="3"/>
    <n v="375"/>
    <n v="970000"/>
    <n v="2586.6666666666665"/>
    <n v="970000"/>
    <s v="دور - الرياض - حي المعيزلة"/>
    <s v="المعيزلة، شرق الرياض، الرياض"/>
    <x v="0"/>
    <s v="حي المعيزلة"/>
    <s v="الرياض"/>
    <s v="إسكان سلمان للتسويق العقاري"/>
  </r>
  <r>
    <s v="L142025309"/>
    <x v="3"/>
    <n v="5"/>
    <n v="3"/>
    <n v="375"/>
    <n v="970000"/>
    <n v="2586.6666666666665"/>
    <n v="970000"/>
    <s v="دور - الرياض - حي المعيزلة"/>
    <s v="المعيزلة، شرق الرياض، الرياض"/>
    <x v="0"/>
    <s v="حي المعيزلة"/>
    <s v="الرياض"/>
    <s v="إسكان سلمان للتسويق العقاري"/>
  </r>
  <r>
    <s v="G258592692"/>
    <x v="0"/>
    <n v="3"/>
    <n v="3"/>
    <n v="161"/>
    <n v="975000"/>
    <n v="6055.9006211180122"/>
    <n v="975000"/>
    <s v="شقة للبيع في حي المهدية، غرب بالرياض"/>
    <s v="المهدية، غرب الرياض، الرياض"/>
    <x v="3"/>
    <s v="حي المهدية"/>
    <s v="الرياض"/>
    <s v="​فردي / مالك"/>
  </r>
  <r>
    <s v="T501925005"/>
    <x v="2"/>
    <n v="6"/>
    <n v="6"/>
    <n v="300"/>
    <n v="980000"/>
    <n v="3266.6666666666665"/>
    <n v="980000"/>
    <s v="فيلا للبيع في  بدر، جنوب الرياض"/>
    <s v="بدر، جنوب الرياض، الرياض"/>
    <x v="1"/>
    <s v="حي بدر"/>
    <s v="الرياض"/>
    <s v="مؤسسة غزالة للخدمات العقارية"/>
  </r>
  <r>
    <s v="O077961289"/>
    <x v="3"/>
    <n v="3"/>
    <n v="3"/>
    <n v="193"/>
    <n v="980000"/>
    <n v="5077.7202072538857"/>
    <n v="980000"/>
    <s v="دور أول للبيع في القادسية، شرق الرياض"/>
    <s v="القادسية، شرق الرياض، الرياض"/>
    <x v="0"/>
    <s v="حي القادسية"/>
    <s v="الرياض"/>
    <s v="سكن المعالي للعقارات"/>
  </r>
  <r>
    <s v="D891635711"/>
    <x v="3"/>
    <n v="5"/>
    <n v="4"/>
    <n v="800"/>
    <n v="980000"/>
    <n v="1225"/>
    <n v="980000"/>
    <s v="دور للبيع في العوالي، غرب الرياض"/>
    <s v="العوالي، غرب الرياض، الرياض"/>
    <x v="3"/>
    <s v="حي العوالي"/>
    <s v="الرياض"/>
    <s v="سمو المملكة للخدمات العقارية"/>
  </r>
  <r>
    <s v="L193028192"/>
    <x v="3"/>
    <n v="5"/>
    <n v="3"/>
    <n v="168"/>
    <n v="990000"/>
    <n v="5892.8571428571431"/>
    <n v="990000"/>
    <s v="دور - الرياض - حي الرمال"/>
    <s v="الرمال، شرق الرياض، الرياض"/>
    <x v="0"/>
    <s v="حي الرمال"/>
    <s v="الرياض"/>
    <s v="إسكان سلمان للتسويق العقاري"/>
  </r>
  <r>
    <s v="W432962464"/>
    <x v="0"/>
    <n v="3"/>
    <n v="3"/>
    <n v="194"/>
    <n v="995000"/>
    <n v="5128.8659793814431"/>
    <n v="995000"/>
    <s v="شقة  للبيع في حي الرمال ، الرياض"/>
    <s v="الرمال، شرق الرياض، الرياض"/>
    <x v="0"/>
    <s v="حي الرمال"/>
    <s v="الرياض"/>
    <s v="شركة صروح المدائن للعقارات"/>
  </r>
  <r>
    <s v="F788880448"/>
    <x v="0"/>
    <n v="3"/>
    <n v="3"/>
    <n v="132"/>
    <n v="999000"/>
    <n v="7568.181818181818"/>
    <n v="999000"/>
    <s v="شقة  للبيع في  الروضة، شرق الرياض"/>
    <s v="الروضة، شرق الرياض، الرياض"/>
    <x v="0"/>
    <s v="حي الروضة"/>
    <s v="الرياض"/>
    <s v="شركة رؤية التسويق العقاري"/>
  </r>
  <r>
    <s v="J275107714"/>
    <x v="2"/>
    <n v="3"/>
    <n v="4"/>
    <n v="312"/>
    <n v="1000000"/>
    <n v="3205.1282051282051"/>
    <n v="1000000"/>
    <s v="فيلا دورين مفصوله للبيع في العريجاء الرياض"/>
    <s v="العريجاء، غرب الرياض، الرياض"/>
    <x v="3"/>
    <s v="حي العريجاء"/>
    <s v="الرياض"/>
    <s v="شركة أختصاصي الأول للعقارات"/>
  </r>
  <r>
    <s v="I403364540"/>
    <x v="3"/>
    <n v="3"/>
    <n v="3"/>
    <n v="191"/>
    <n v="1000000"/>
    <n v="5235.6020942408377"/>
    <n v="1000000"/>
    <s v="دور للبيع في حي الرمال, شرق الرياض"/>
    <s v="الرمال، شرق الرياض، الرياض"/>
    <x v="0"/>
    <s v="حي الرمال"/>
    <s v="الرياض"/>
    <s v="شركة إثراء الأولى العقارية"/>
  </r>
  <r>
    <s v="A444901493"/>
    <x v="0"/>
    <n v="3"/>
    <n v="3"/>
    <n v="135"/>
    <n v="1000000"/>
    <n v="7407.4074074074078"/>
    <n v="1000000"/>
    <s v="شقة للبيع في قرطبة، شرق الرياض"/>
    <s v="قرطبة، شرق الرياض، الرياض"/>
    <x v="0"/>
    <s v="حي قرطبة"/>
    <s v="الرياض"/>
    <s v="مكتب آعالي للخدمات العقارية"/>
  </r>
  <r>
    <s v="K064469209"/>
    <x v="0"/>
    <n v="6"/>
    <n v="3"/>
    <n v="138"/>
    <n v="1000000"/>
    <n v="7246.376811594203"/>
    <n v="1000000"/>
    <s v="شقة 6 غرف نوم للبيع في القرطبة، الرياض"/>
    <s v="قرطبة، شرق الرياض، الرياض"/>
    <x v="0"/>
    <s v="حي قرطبة"/>
    <s v="الرياض"/>
    <s v="​فردي / مالك"/>
  </r>
  <r>
    <s v="C351071519"/>
    <x v="3"/>
    <n v="5"/>
    <n v="5"/>
    <n v="236"/>
    <n v="1000000"/>
    <n v="4237.2881355932204"/>
    <n v="1000000"/>
    <s v="شقة للبيع في السعادة، شرق الرياض"/>
    <s v="السعادة، شرق الرياض، الرياض"/>
    <x v="0"/>
    <s v="حي السعادة"/>
    <s v="الرياض"/>
    <s v="​فردي / مالك"/>
  </r>
  <r>
    <s v="Z912619538"/>
    <x v="3"/>
    <n v="5"/>
    <n v="4"/>
    <n v="177"/>
    <n v="1000000"/>
    <n v="5649.7175141242942"/>
    <n v="1000000"/>
    <s v="دور أرضي للبيع في السعادة، شرق الرياض"/>
    <s v="السعادة، شرق الرياض، الرياض"/>
    <x v="0"/>
    <s v="حي السعادة"/>
    <s v="الرياض"/>
    <s v="مساكن ركاز للعقارات"/>
  </r>
  <r>
    <s v="R061122259"/>
    <x v="2"/>
    <n v="11"/>
    <n v="11"/>
    <n v="367"/>
    <n v="1000000"/>
    <n v="2724.7956403269754"/>
    <n v="1000000"/>
    <s v="فيلا بـ 11 غرفة نوم للبيع في الدار البيضاء، الرياض"/>
    <s v="الدار البيضاء، جنوب الرياض، الرياض"/>
    <x v="1"/>
    <s v="حي الدار البيضاء"/>
    <s v="الرياض"/>
    <s v="مكتب الاحمدي للعقارات"/>
  </r>
  <r>
    <s v="Q202372716"/>
    <x v="0"/>
    <n v="5"/>
    <n v="3"/>
    <n v="170"/>
    <n v="1000000"/>
    <n v="5882.3529411764703"/>
    <n v="1000000"/>
    <s v="شقة للبيع في حي العارض، الرياض"/>
    <s v="العارض، شمال الرياض، الرياض"/>
    <x v="4"/>
    <s v="حي العارض"/>
    <s v="الرياض"/>
    <s v="​فردي / مالك"/>
  </r>
  <r>
    <s v="W825189476"/>
    <x v="3"/>
    <n v="3"/>
    <n v="4"/>
    <n v="193"/>
    <n v="1000000"/>
    <n v="5181.3471502590673"/>
    <n v="1000000"/>
    <s v="دور للبيع في القادسية، شرق الرياض"/>
    <s v="القادسية، شرق الرياض، الرياض"/>
    <x v="0"/>
    <s v="حي القادسية"/>
    <s v="الرياض"/>
    <s v="سكن المعالي للعقارات"/>
  </r>
  <r>
    <s v="U143118680"/>
    <x v="3"/>
    <n v="7"/>
    <n v="5"/>
    <n v="230"/>
    <n v="1000000"/>
    <n v="4347.826086956522"/>
    <n v="1000000"/>
    <s v="دور للبيع في شبرا، غرب الرياض"/>
    <s v="شبرا، غرب الرياض، الرياض"/>
    <x v="3"/>
    <s v="حي شبرا"/>
    <s v="الرياض"/>
    <s v="يزيد خالد بن عبدالله ال عيسى للعقارات"/>
  </r>
  <r>
    <s v="A153248506"/>
    <x v="0"/>
    <n v="5"/>
    <n v="4"/>
    <n v="175"/>
    <n v="1000000"/>
    <n v="5714.2857142857147"/>
    <n v="1000000"/>
    <s v="شقة للبيع في الرمال، شرق الرياض"/>
    <s v="الرمال، شرق الرياض، الرياض"/>
    <x v="0"/>
    <s v="حي الرمال"/>
    <s v="الرياض"/>
    <s v="إسكان سلمان للتسويق العقاري"/>
  </r>
  <r>
    <s v="O205560470"/>
    <x v="0"/>
    <n v="5"/>
    <n v="4"/>
    <n v="175"/>
    <n v="1000000"/>
    <n v="5714.2857142857147"/>
    <n v="1000000"/>
    <s v="شقة تاون هاوس للبيع في الرمال, شرق الرياض"/>
    <s v="الرمال، شرق الرياض، الرياض"/>
    <x v="0"/>
    <s v="حي الرمال"/>
    <s v="الرياض"/>
    <s v="إسكان سلمان للتسويق العقاري"/>
  </r>
  <r>
    <s v="I322181633"/>
    <x v="2"/>
    <n v="7"/>
    <n v="5"/>
    <n v="367"/>
    <n v="1000000"/>
    <n v="2724.7956403269754"/>
    <n v="1000000"/>
    <s v="فيلا للبيع في الدار البيضاء, جنوب الرياض"/>
    <s v="الدار البيضاء، جنوب الرياض، الرياض"/>
    <x v="1"/>
    <s v="حي الدار البيضاء"/>
    <s v="الرياض"/>
    <s v="مكتب الاحمدي للعقارات"/>
  </r>
  <r>
    <s v="O785606442"/>
    <x v="0"/>
    <n v="3"/>
    <n v="3"/>
    <n v="186"/>
    <n v="1000000"/>
    <n v="5376.3440860215051"/>
    <n v="1000000"/>
    <s v="شقة للبيع في الجنادرية، الرياض"/>
    <s v="الجنادرية، شرق الرياض، الرياض"/>
    <x v="0"/>
    <s v="حي الجنادرية"/>
    <s v="الرياض"/>
    <s v="​فردي / مالك"/>
  </r>
  <r>
    <s v="M540730619"/>
    <x v="1"/>
    <n v="0"/>
    <n v="0"/>
    <n v="352"/>
    <n v="1000000"/>
    <n v="2840.909090909091"/>
    <n v="1000000"/>
    <s v="للبيع ارض في مخطط الخير، شمال الرياض"/>
    <s v="مخطط الخير، شمال الرياض، الرياض"/>
    <x v="4"/>
    <s v="حي مخطط الخير"/>
    <s v="الرياض"/>
    <s v="​فردي / مالك"/>
  </r>
  <r>
    <s v="L611019102"/>
    <x v="0"/>
    <n v="3"/>
    <n v="3"/>
    <n v="135"/>
    <n v="1009000"/>
    <n v="7474.0740740740739"/>
    <n v="1009000"/>
    <s v="شقة للبيع في النرجس، شمال الرياض"/>
    <s v="النرجس، شمال الرياض، الرياض"/>
    <x v="4"/>
    <s v="حي النرجس"/>
    <s v="الرياض"/>
    <s v="شركة رؤية التسويق العقاري"/>
  </r>
  <r>
    <s v="Z566757439"/>
    <x v="0"/>
    <n v="3"/>
    <n v="3"/>
    <n v="135"/>
    <n v="1009000"/>
    <n v="7474.0740740740739"/>
    <n v="1009000"/>
    <s v="شقة للبيع في النرجس, شمال الرياض"/>
    <s v="النرجس، شمال الرياض، الرياض"/>
    <x v="4"/>
    <s v="حي النرجس"/>
    <s v="الرياض"/>
    <s v="شركة رؤية التسويق العقاري"/>
  </r>
  <r>
    <s v="M969603036"/>
    <x v="0"/>
    <n v="3"/>
    <n v="3"/>
    <n v="131"/>
    <n v="1017000"/>
    <n v="7763.3587786259541"/>
    <n v="1017000"/>
    <s v="شقة للبيع في الشهداء، شرق الرياض"/>
    <s v="الشهداء، شرق الرياض، الرياض"/>
    <x v="0"/>
    <s v="حي الشهداء"/>
    <s v="الرياض"/>
    <s v="شركة راكز العقارية"/>
  </r>
  <r>
    <s v="L969603036"/>
    <x v="0"/>
    <n v="3"/>
    <n v="3"/>
    <n v="131"/>
    <n v="1017000"/>
    <n v="7763.3587786259541"/>
    <n v="1017000"/>
    <s v="شقة للبيع في الشهداء، شرق الرياض"/>
    <s v="الشهداء، شرق الرياض، الرياض"/>
    <x v="0"/>
    <s v="حي الشهداء"/>
    <s v="الرياض"/>
    <s v="شركة راكز العقارية"/>
  </r>
  <r>
    <s v="T440683017"/>
    <x v="0"/>
    <n v="3"/>
    <n v="3"/>
    <n v="131"/>
    <n v="1017000"/>
    <n v="7763.3587786259541"/>
    <n v="1017000"/>
    <s v="شقة للبيع في الشهداء، شرق الرياض"/>
    <s v="الشهداء، شرق الرياض، الرياض"/>
    <x v="0"/>
    <s v="حي الشهداء"/>
    <s v="الرياض"/>
    <s v="​فردي / مالك"/>
  </r>
  <r>
    <s v="G861017665"/>
    <x v="0"/>
    <n v="3"/>
    <n v="3"/>
    <n v="146"/>
    <n v="1019000"/>
    <n v="6979.4520547945203"/>
    <n v="1019000"/>
    <s v="شقة للبيع في  الملك فيصل، شرق الرياض"/>
    <s v="الملك فيصل، شرق الرياض، الرياض"/>
    <x v="0"/>
    <s v="حي الملك فيصل"/>
    <s v="الرياض"/>
    <s v="شركة إثراء الأولى العقارية"/>
  </r>
  <r>
    <s v="F839497510"/>
    <x v="0"/>
    <n v="3"/>
    <n v="4"/>
    <n v="139"/>
    <n v="1019000"/>
    <n v="7330.9352517985608"/>
    <n v="1019000"/>
    <s v="شقة فاخرة للبيع في النرجس, شمال الرياض"/>
    <s v="النرجس، شمال الرياض، الرياض"/>
    <x v="4"/>
    <s v="حي النرجس"/>
    <s v="الرياض"/>
    <s v="شركة رؤية التسويق العقاري"/>
  </r>
  <r>
    <s v="I358001263"/>
    <x v="2"/>
    <n v="3"/>
    <n v="2"/>
    <n v="173"/>
    <n v="1030000"/>
    <n v="5953.7572254335264"/>
    <n v="1030000"/>
    <s v="دور ارضي بصك مستقل حي الرمال - الماجدية"/>
    <s v="الرمال، شرق الرياض، الرياض"/>
    <x v="0"/>
    <s v="حي الرمال"/>
    <s v="الرياض"/>
    <s v="شركة قمة الوطن العقارية"/>
  </r>
  <r>
    <s v="C642024082"/>
    <x v="0"/>
    <n v="3"/>
    <n v="3"/>
    <n v="130"/>
    <n v="1030000"/>
    <n v="7923.0769230769229"/>
    <n v="1030000"/>
    <s v="شقة للبيع في  قرطبة، شرق الرياض"/>
    <s v="قرطبة، شرق الرياض، الرياض"/>
    <x v="0"/>
    <s v="حي قرطبة"/>
    <s v="الرياض"/>
    <s v="مؤسسة وسام المساكن العقارية"/>
  </r>
  <r>
    <s v="T888706470"/>
    <x v="0"/>
    <n v="3"/>
    <n v="3"/>
    <n v="122"/>
    <n v="1049000"/>
    <n v="8598.3606557377043"/>
    <n v="1049000"/>
    <s v="شقة للبيع في النرجس, شمال الرياض"/>
    <s v="النرجس، شمال الرياض، الرياض"/>
    <x v="4"/>
    <s v="حي النرجس"/>
    <s v="الرياض"/>
    <s v="شركة رؤية التسويق العقاري"/>
  </r>
  <r>
    <s v="A292890442"/>
    <x v="3"/>
    <n v="4"/>
    <n v="4"/>
    <n v="172"/>
    <n v="1050000"/>
    <n v="6104.6511627906975"/>
    <n v="1050000"/>
    <s v="دور - الرياض - البيان (الشرق)"/>
    <s v="حي البيان، شرق الرياض، الرياض"/>
    <x v="0"/>
    <s v="حي حي البيان"/>
    <s v="الرياض"/>
    <s v="إسكان سلمان للتسويق العقاري"/>
  </r>
  <r>
    <s v="B540439350"/>
    <x v="3"/>
    <n v="3"/>
    <n v="2"/>
    <n v="172"/>
    <n v="1050000"/>
    <n v="6104.6511627906975"/>
    <n v="1050000"/>
    <s v="دور للبيع في الرمال، شرق الرياض"/>
    <s v="الرمال، شرق الرياض، الرياض"/>
    <x v="0"/>
    <s v="حي الرمال"/>
    <s v="الرياض"/>
    <s v="شركة نهضة التطور العقارية"/>
  </r>
  <r>
    <s v="R924869646"/>
    <x v="3"/>
    <n v="3"/>
    <n v="4"/>
    <n v="168"/>
    <n v="1050000"/>
    <n v="6250"/>
    <n v="1050000"/>
    <s v="دور أرضي فخم للبيع في القادسية، شرق الرياض"/>
    <s v="القادسية، شرق الرياض، الرياض"/>
    <x v="0"/>
    <s v="حي القادسية"/>
    <s v="الرياض"/>
    <s v="سكن المعالي للعقارات"/>
  </r>
  <r>
    <s v="P325510423"/>
    <x v="3"/>
    <n v="3"/>
    <n v="3"/>
    <n v="168"/>
    <n v="1050000"/>
    <n v="6250"/>
    <n v="1050000"/>
    <s v="دور ارضي للبيع في القادسية، شرق الرياض"/>
    <s v="القادسية، شرق الرياض، الرياض"/>
    <x v="0"/>
    <s v="حي القادسية"/>
    <s v="الرياض"/>
    <s v="سكن المعالي للعقارات"/>
  </r>
  <r>
    <s v="T538818769"/>
    <x v="3"/>
    <n v="3"/>
    <n v="2"/>
    <n v="540"/>
    <n v="1050000"/>
    <n v="1944.4444444444443"/>
    <n v="1050000"/>
    <s v="دور للبيع في الرمال، شرق الرياض"/>
    <s v="الرمال، شرق الرياض، الرياض"/>
    <x v="0"/>
    <s v="حي الرمال"/>
    <s v="الرياض"/>
    <s v="شركة نهضة التطور العقارية"/>
  </r>
  <r>
    <s v="L897668310"/>
    <x v="2"/>
    <n v="7"/>
    <n v="5"/>
    <n v="300"/>
    <n v="1050000"/>
    <n v="3500"/>
    <n v="1050000"/>
    <s v="فيلا للبيع في حي طويق، غرب الرياض"/>
    <s v="طويق، غرب الرياض، الرياض"/>
    <x v="3"/>
    <s v="حي طويق"/>
    <s v="الرياض"/>
    <s v="مكتب الاحمدي للعقارات"/>
  </r>
  <r>
    <s v="B389574035"/>
    <x v="3"/>
    <n v="4"/>
    <n v="4"/>
    <n v="172"/>
    <n v="1050000"/>
    <n v="6104.6511627906975"/>
    <n v="1050000"/>
    <s v="دور للبيع في حي البيان، شرق الرياض"/>
    <s v="حي البيان، شرق الرياض، الرياض"/>
    <x v="0"/>
    <s v="حي حي البيان"/>
    <s v="الرياض"/>
    <s v="إسكان سلمان للتسويق العقاري"/>
  </r>
  <r>
    <s v="P531717231"/>
    <x v="3"/>
    <n v="6"/>
    <n v="4"/>
    <n v="216"/>
    <n v="1050000"/>
    <n v="4861.1111111111113"/>
    <n v="1050000"/>
    <s v="دور للبيع في الرمال، شرق الرياض"/>
    <s v="الرمال، شرق الرياض، الرياض"/>
    <x v="0"/>
    <s v="حي الرمال"/>
    <s v="الرياض"/>
    <s v="​فردي / مالك"/>
  </r>
  <r>
    <s v="P923172885"/>
    <x v="0"/>
    <n v="3"/>
    <n v="4"/>
    <n v="244"/>
    <n v="1050000"/>
    <n v="4303.2786885245905"/>
    <n v="1050000"/>
    <s v="شقة للبيع في الجنادرية، الرياض"/>
    <s v="الجنادرية، شرق الرياض، الرياض"/>
    <x v="0"/>
    <s v="حي الجنادرية"/>
    <s v="الرياض"/>
    <s v="​فردي / مالك"/>
  </r>
  <r>
    <s v="L338244776"/>
    <x v="3"/>
    <n v="3"/>
    <n v="5"/>
    <n v="219"/>
    <n v="1050000"/>
    <n v="4794.5205479452052"/>
    <n v="1050000"/>
    <s v="أدوار للبيع في الرمال، شرق الرياض"/>
    <s v="الرمال، شرق الرياض، الرياض"/>
    <x v="0"/>
    <s v="حي الرمال"/>
    <s v="الرياض"/>
    <s v="مؤسسة وسام المساكن العقارية"/>
  </r>
  <r>
    <s v="U145723200"/>
    <x v="3"/>
    <n v="3"/>
    <n v="3"/>
    <n v="168"/>
    <n v="1050000"/>
    <n v="6250"/>
    <n v="1050000"/>
    <s v="دور أرضي للبيع في القادسية، شرق الرياض"/>
    <s v="القادسية، شرق الرياض، الرياض"/>
    <x v="0"/>
    <s v="حي القادسية"/>
    <s v="الرياض"/>
    <s v="سكن المعالي للعقارات"/>
  </r>
  <r>
    <s v="A012460532"/>
    <x v="0"/>
    <n v="3"/>
    <n v="3"/>
    <n v="250"/>
    <n v="1059000"/>
    <n v="4236"/>
    <n v="1059000"/>
    <s v="شقة للبيع في الملك فيصل، شرق الرياض"/>
    <s v="الملك فيصل، شرق الرياض، الرياض"/>
    <x v="0"/>
    <s v="حي الملك فيصل"/>
    <s v="الرياض"/>
    <s v="شركة مسكن الين العقارية"/>
  </r>
  <r>
    <s v="Z982251838"/>
    <x v="0"/>
    <n v="4"/>
    <n v="5"/>
    <n v="186"/>
    <n v="1060000"/>
    <n v="5698.9247311827958"/>
    <n v="1060000"/>
    <s v="شقة للبيع في العارض، شمال الرياض"/>
    <s v="العارض، شمال الرياض، الرياض"/>
    <x v="4"/>
    <s v="حي العارض"/>
    <s v="الرياض"/>
    <s v="مؤسسة وسام المساكن العقارية"/>
  </r>
  <r>
    <s v="Z678267509"/>
    <x v="0"/>
    <n v="5"/>
    <n v="4"/>
    <n v="189"/>
    <n v="1078000"/>
    <n v="5703.7037037037035"/>
    <n v="1078000"/>
    <s v="شقة للبيع في العارض، شمال الرياض"/>
    <s v="العارض، شمال الرياض، الرياض"/>
    <x v="4"/>
    <s v="حي العارض"/>
    <s v="الرياض"/>
    <s v="مؤسسة وسام المساكن العقارية"/>
  </r>
  <r>
    <s v="S882591894"/>
    <x v="0"/>
    <n v="3"/>
    <n v="3"/>
    <n v="146"/>
    <n v="1079000"/>
    <n v="7390.41095890411"/>
    <n v="1079000"/>
    <s v="شقة للبيع في الروضة، شرق الرياض"/>
    <s v="الروضة، شرق الرياض، الرياض"/>
    <x v="0"/>
    <s v="حي الروضة"/>
    <s v="الرياض"/>
    <s v="شركة رؤية التسويق العقاري"/>
  </r>
  <r>
    <s v="F893121520"/>
    <x v="0"/>
    <n v="3"/>
    <n v="3"/>
    <n v="147"/>
    <n v="1079000"/>
    <n v="7340.1360544217687"/>
    <n v="1079000"/>
    <s v="شقة للبيع في النرجس، شمال الرياض"/>
    <s v="النرجس، شمال الرياض، الرياض"/>
    <x v="4"/>
    <s v="حي النرجس"/>
    <s v="الرياض"/>
    <s v="شركة رؤية التسويق العقاري"/>
  </r>
  <r>
    <s v="V245920485"/>
    <x v="0"/>
    <n v="3"/>
    <n v="3"/>
    <n v="233"/>
    <n v="1079000"/>
    <n v="4630.9012875536482"/>
    <n v="1079000"/>
    <s v="شقة للبيع في الملك فيصل, شرق الرياض"/>
    <s v="الملك فيصل، شرق الرياض، الرياض"/>
    <x v="0"/>
    <s v="حي الملك فيصل"/>
    <s v="الرياض"/>
    <s v="شركة رؤية التسويق العقاري"/>
  </r>
  <r>
    <s v="C003958908"/>
    <x v="1"/>
    <n v="0"/>
    <n v="0"/>
    <n v="360"/>
    <n v="3000"/>
    <n v="3000"/>
    <n v="1080000"/>
    <s v="أرض سكنية للبيع في  النسيم الغربي، شرق الرياض"/>
    <s v="النسيم الغربي، شرق الرياض، الرياض"/>
    <x v="0"/>
    <s v="حي النسيم الغربي"/>
    <s v="الرياض"/>
    <s v="​فردي / مالك"/>
  </r>
  <r>
    <s v="V634968378"/>
    <x v="3"/>
    <n v="5"/>
    <n v="4"/>
    <n v="196"/>
    <n v="1080000"/>
    <n v="5510.2040816326535"/>
    <n v="1080000"/>
    <s v="دور للبيع في الرمال, شرق الرياض"/>
    <s v="الرمال، شرق الرياض، الرياض"/>
    <x v="0"/>
    <s v="حي الرمال"/>
    <s v="الرياض"/>
    <s v="مسكنكم للخدمات العقارية"/>
  </r>
  <r>
    <s v="M306634679"/>
    <x v="0"/>
    <n v="3"/>
    <n v="4"/>
    <n v="101"/>
    <n v="1090000"/>
    <n v="10792.079207920791"/>
    <n v="1090000"/>
    <s v="شقة للبيع في الروضة, شرق الرياض"/>
    <s v="الروضة، شرق الرياض، الرياض"/>
    <x v="0"/>
    <s v="حي الروضة"/>
    <s v="الرياض"/>
    <s v="شركة رؤية التسويق العقاري"/>
  </r>
  <r>
    <s v="Z145162840"/>
    <x v="0"/>
    <n v="3"/>
    <n v="3"/>
    <n v="160"/>
    <n v="1090000"/>
    <n v="6812.5"/>
    <n v="1090000"/>
    <s v="شقق للبيع في  المونسية، شرق الرياض"/>
    <s v="المونسية، شرق الرياض، الرياض"/>
    <x v="0"/>
    <s v="حي المونسية"/>
    <s v="الرياض"/>
    <s v="شركة رافد للمقاولات عامة"/>
  </r>
  <r>
    <s v="Z990195871"/>
    <x v="1"/>
    <n v="0"/>
    <n v="0"/>
    <n v="319"/>
    <n v="3435"/>
    <n v="3435"/>
    <n v="1095765"/>
    <s v="أرض سكنية للبيع في الرمال، شرق الرياض"/>
    <s v="الرمال، شرق الرياض، الرياض"/>
    <x v="0"/>
    <s v="حي الرمال"/>
    <s v="الرياض"/>
    <s v="مكتب شريط للعقارات"/>
  </r>
  <r>
    <s v="A068580176"/>
    <x v="0"/>
    <n v="3"/>
    <n v="2"/>
    <n v="1050"/>
    <n v="1099000"/>
    <n v="1046.6666666666667"/>
    <n v="1099000"/>
    <s v=" مشروع شقق فاخرة في حي المغرزات - الرياض "/>
    <s v="المغرزات، شمال الرياض، الرياض"/>
    <x v="4"/>
    <s v="حي المغرزات"/>
    <s v="الرياض"/>
    <s v="شركة إثراء الأولى العقارية"/>
  </r>
  <r>
    <s v="E273062078"/>
    <x v="0"/>
    <n v="4"/>
    <n v="3"/>
    <n v="3098"/>
    <n v="1100000"/>
    <n v="355.06778566817303"/>
    <n v="1100000"/>
    <s v="شقة مودرن للبيع - مشروع ذا بارك"/>
    <s v="الربوة، وسط الرياض، الرياض"/>
    <x v="2"/>
    <s v="حي الربوة"/>
    <s v="الرياض"/>
    <s v="مساكن ركاز للعقارات"/>
  </r>
  <r>
    <s v="T500719185"/>
    <x v="0"/>
    <n v="3"/>
    <n v="5"/>
    <n v="600"/>
    <n v="1100000"/>
    <n v="1833.3333333333333"/>
    <n v="1100000"/>
    <s v="شقة للبيع في الجندرية، الرياض"/>
    <s v="الجنادرية، شرق الرياض، الرياض"/>
    <x v="0"/>
    <s v="حي الجنادرية"/>
    <s v="الرياض"/>
    <s v="​فردي / مالك"/>
  </r>
  <r>
    <s v="E434840747"/>
    <x v="3"/>
    <n v="3"/>
    <n v="1"/>
    <n v="187"/>
    <n v="1100000"/>
    <n v="5882.3529411764703"/>
    <n v="1100000"/>
    <s v="  الأدوار الفخمة - استمتع بتجربة السكن الفاخر في حي الرمال ريبال! "/>
    <s v="الرمال، شرق الرياض، الرياض"/>
    <x v="0"/>
    <s v="حي الرمال"/>
    <s v="الرياض"/>
    <s v="شركة إثراء الأولى العقارية"/>
  </r>
  <r>
    <s v="X835130619"/>
    <x v="3"/>
    <n v="3"/>
    <n v="3"/>
    <n v="194"/>
    <n v="1100000"/>
    <n v="5670.1030927835054"/>
    <n v="1100000"/>
    <s v="دور ارضي للبيع في الخليج, شرق الرياض"/>
    <s v="الخليج، شرق الرياض، الرياض"/>
    <x v="0"/>
    <s v="حي الخليج"/>
    <s v="الرياض"/>
    <s v="مسكنكم للخدمات العقارية"/>
  </r>
  <r>
    <s v="W893099694"/>
    <x v="3"/>
    <n v="3"/>
    <n v="3"/>
    <n v="141"/>
    <n v="1100000"/>
    <n v="7801.4184397163117"/>
    <n v="1100000"/>
    <s v="دور للبيع في المونسية، شرق الرياض"/>
    <s v="المونسية، شرق الرياض، الرياض"/>
    <x v="0"/>
    <s v="حي المونسية"/>
    <s v="الرياض"/>
    <s v="مؤسسة وسام المساكن العقارية"/>
  </r>
  <r>
    <s v="S870931699"/>
    <x v="3"/>
    <n v="3"/>
    <n v="3"/>
    <n v="153"/>
    <n v="1100000"/>
    <n v="7189.5424836601305"/>
    <n v="1100000"/>
    <s v="دور للبيع في اليرموك، شرق الرياض"/>
    <s v="اليرموك، شرق الرياض، الرياض"/>
    <x v="0"/>
    <s v="حي اليرموك"/>
    <s v="الرياض"/>
    <s v="مؤسسة وسام المساكن العقارية"/>
  </r>
  <r>
    <s v="X097506543"/>
    <x v="3"/>
    <n v="2"/>
    <n v="2"/>
    <n v="86"/>
    <n v="1100000"/>
    <n v="12790.697674418605"/>
    <n v="1100000"/>
    <s v="دور للبيع في الريان, شرق الرياض"/>
    <s v="الريان، شرق الرياض، الرياض"/>
    <x v="0"/>
    <s v="حي الريان"/>
    <s v="الرياض"/>
    <s v="​فردي / مالك"/>
  </r>
  <r>
    <s v="J463198950"/>
    <x v="2"/>
    <n v="7"/>
    <n v="5"/>
    <n v="302"/>
    <n v="1100000"/>
    <n v="3642.3841059602651"/>
    <n v="1100000"/>
    <s v="فيلا للبيع في طيبة، جنوب الرياض"/>
    <s v="طيبة، جنوب الرياض، الرياض"/>
    <x v="1"/>
    <s v="حي طيبة"/>
    <s v="الرياض"/>
    <s v="مكتب الاحمدي للعقارات"/>
  </r>
  <r>
    <s v="N331515441"/>
    <x v="2"/>
    <n v="7"/>
    <n v="5"/>
    <n v="200"/>
    <n v="1100000"/>
    <n v="5500"/>
    <n v="1100000"/>
    <s v="فيلا للبيع في العزيزية, جنوب الرياض"/>
    <s v="العزيزية، جنوب الرياض، الرياض"/>
    <x v="1"/>
    <s v="حي العزيزية"/>
    <s v="الرياض"/>
    <s v="مكتب الاحمدي للعقارات"/>
  </r>
  <r>
    <s v="Y100401949"/>
    <x v="3"/>
    <n v="4"/>
    <n v="5"/>
    <n v="185"/>
    <n v="1100000"/>
    <n v="5945.9459459459458"/>
    <n v="1100000"/>
    <s v="دور للبيع في الجنادرية، شرق الرياض"/>
    <s v="الجنادرية، شرق الرياض، الرياض"/>
    <x v="0"/>
    <s v="حي الجنادرية"/>
    <s v="الرياض"/>
    <s v="سكن المعالي للعقارات"/>
  </r>
  <r>
    <s v="C261050322"/>
    <x v="3"/>
    <n v="6"/>
    <n v="6"/>
    <n v="168"/>
    <n v="1100000"/>
    <n v="6547.6190476190477"/>
    <n v="1100000"/>
    <s v="دور للبيع في القادسية, شرق الرياض"/>
    <s v="القادسية، شرق الرياض، الرياض"/>
    <x v="0"/>
    <s v="حي القادسية"/>
    <s v="الرياض"/>
    <s v="سكن المعالي للعقارات"/>
  </r>
  <r>
    <s v="T870931699"/>
    <x v="3"/>
    <n v="3"/>
    <n v="3"/>
    <n v="153"/>
    <n v="1100000"/>
    <n v="7189.5424836601305"/>
    <n v="1100000"/>
    <s v="دور للبيع في اليرموك، شرق الرياض"/>
    <s v="اليرموك، شرق الرياض، الرياض"/>
    <x v="0"/>
    <s v="حي اليرموك"/>
    <s v="الرياض"/>
    <s v="مؤسسة وسام المساكن العقارية"/>
  </r>
  <r>
    <s v="O622722359"/>
    <x v="0"/>
    <n v="3"/>
    <n v="2"/>
    <n v="97"/>
    <n v="1100000"/>
    <n v="11340.206185567011"/>
    <n v="1100000"/>
    <s v="شقة للبيع في المصيف، شمال الرياض"/>
    <s v="المصيف، شمال الرياض، الرياض"/>
    <x v="4"/>
    <s v="حي المصيف"/>
    <s v="الرياض"/>
    <s v="الأمير لتطوير واستثمار العقارات"/>
  </r>
  <r>
    <s v="M862134574"/>
    <x v="2"/>
    <n v="7"/>
    <n v="6"/>
    <n v="302"/>
    <n v="1100000"/>
    <n v="3642.3841059602651"/>
    <n v="1100000"/>
    <s v="فيلا دوبلكس للبيع في طيبة، جنوب الرياض"/>
    <s v="طيبة، جنوب الرياض، الرياض"/>
    <x v="1"/>
    <s v="حي طيبة"/>
    <s v="الرياض"/>
    <s v="مكتب الاحمدي للعقارات"/>
  </r>
  <r>
    <s v="M214804668"/>
    <x v="2"/>
    <n v="7"/>
    <n v="5"/>
    <n v="200"/>
    <n v="1100000"/>
    <n v="5500"/>
    <n v="1100000"/>
    <s v="فيلا للبيع في العزيزية، جنوب الرياض"/>
    <s v="العزيزية، جنوب الرياض، الرياض"/>
    <x v="1"/>
    <s v="حي العزيزية"/>
    <s v="الرياض"/>
    <s v="مكتب الاحمدي للعقارات"/>
  </r>
  <r>
    <s v="G506675748"/>
    <x v="2"/>
    <n v="11"/>
    <n v="7"/>
    <n v="250"/>
    <n v="1100000"/>
    <n v="4400"/>
    <n v="1100000"/>
    <s v="فيلا دوبلكس للبيع في العزيزية، جنوب الرياض"/>
    <s v="العزيزية، جنوب الرياض، الرياض"/>
    <x v="1"/>
    <s v="حي العزيزية"/>
    <s v="الرياض"/>
    <s v="شركة الخزامى القابضة"/>
  </r>
  <r>
    <s v="B214804668"/>
    <x v="2"/>
    <n v="7"/>
    <n v="5"/>
    <n v="200"/>
    <n v="1100000"/>
    <n v="5500"/>
    <n v="1100000"/>
    <s v="فيلا للبيع في العزيزية، جنوب الرياض"/>
    <s v="العزيزية، جنوب الرياض، الرياض"/>
    <x v="1"/>
    <s v="حي العزيزية"/>
    <s v="الرياض"/>
    <s v="مكتب الاحمدي للعقارات"/>
  </r>
  <r>
    <s v="A311606968"/>
    <x v="1"/>
    <n v="0"/>
    <n v="0"/>
    <n v="900"/>
    <n v="1223"/>
    <n v="1223"/>
    <n v="1100700"/>
    <s v="أرض سكنية للبيع في عريض الرياض"/>
    <s v="عريض، جنوب الرياض، الرياض"/>
    <x v="1"/>
    <s v="حي عريض"/>
    <s v="الرياض"/>
    <s v="​فردي / مالك"/>
  </r>
  <r>
    <s v="W769989295"/>
    <x v="0"/>
    <n v="3"/>
    <n v="3"/>
    <n v="139"/>
    <n v="1109000"/>
    <n v="7978.4172661870507"/>
    <n v="1109000"/>
    <s v="شقه فاخرة للبيع في النرجس, شمال الرياض"/>
    <s v="النرجس، شمال الرياض، الرياض"/>
    <x v="4"/>
    <s v="حي النرجس"/>
    <s v="الرياض"/>
    <s v="شركة رؤية التسويق العقاري"/>
  </r>
  <r>
    <s v="Z431699929"/>
    <x v="0"/>
    <n v="3"/>
    <n v="3"/>
    <n v="151"/>
    <n v="1109000"/>
    <n v="7344.3708609271525"/>
    <n v="1109000"/>
    <s v="شقة للبيع في النرجس، شمال الرياض"/>
    <s v="النرجس، شمال الرياض، الرياض"/>
    <x v="4"/>
    <s v="حي النرجس"/>
    <s v="الرياض"/>
    <s v="شركة رؤية التسويق العقاري"/>
  </r>
  <r>
    <s v="J440048355"/>
    <x v="0"/>
    <n v="3"/>
    <n v="4"/>
    <n v="160"/>
    <n v="1119000"/>
    <n v="6993.75"/>
    <n v="1119000"/>
    <s v="شقة للبيع في الروضة، شرق الرياض"/>
    <s v="الروضة، شرق الرياض، الرياض"/>
    <x v="0"/>
    <s v="حي الروضة"/>
    <s v="الرياض"/>
    <s v="شركة رؤية التسويق العقاري"/>
  </r>
  <r>
    <s v="B404740649"/>
    <x v="1"/>
    <n v="0"/>
    <n v="0"/>
    <n v="440"/>
    <n v="2550"/>
    <n v="2550"/>
    <n v="1122000"/>
    <s v="للبيع فيلا وارض ـ الفيلا 440م و ارض مظاهر لها 360م في النسيم الشرقي, شرق الرياض"/>
    <s v="النسيم الشرقي، شرق الرياض، الرياض"/>
    <x v="0"/>
    <s v="حي النسيم الشرقي"/>
    <s v="الرياض"/>
    <s v="​فردي / مالك"/>
  </r>
  <r>
    <s v="Z961615343"/>
    <x v="0"/>
    <n v="4"/>
    <n v="4"/>
    <n v="61"/>
    <n v="1125000"/>
    <n v="18442.622950819674"/>
    <n v="1125000"/>
    <s v="شقة 4 غرف نوم للبيع في العارض، الرياض"/>
    <s v="العارض، شمال الرياض، الرياض"/>
    <x v="4"/>
    <s v="حي العارض"/>
    <s v="الرياض"/>
    <s v="​فردي / مالك"/>
  </r>
  <r>
    <s v="K215095460"/>
    <x v="0"/>
    <n v="3"/>
    <n v="3"/>
    <n v="151"/>
    <n v="1129000"/>
    <n v="7476.8211920529802"/>
    <n v="1129000"/>
    <s v="شقة جديدة فاخرة بالنرجس، شمال الرياض"/>
    <s v="النرجس، شمال الرياض، الرياض"/>
    <x v="4"/>
    <s v="حي النرجس"/>
    <s v="الرياض"/>
    <s v="​فردي / مالك"/>
  </r>
  <r>
    <s v="P813494093"/>
    <x v="0"/>
    <n v="3"/>
    <n v="3"/>
    <n v="157"/>
    <n v="1139000"/>
    <n v="7254.7770700636938"/>
    <n v="1139000"/>
    <s v="شقة للبيع في النرجس، شمال الرياض"/>
    <s v="النرجس، شمال الرياض، الرياض"/>
    <x v="4"/>
    <s v="حي النرجس"/>
    <s v="الرياض"/>
    <s v="شركة رؤية التسويق العقاري"/>
  </r>
  <r>
    <s v="R346715321"/>
    <x v="0"/>
    <n v="3"/>
    <n v="3"/>
    <n v="135"/>
    <n v="1140000"/>
    <n v="8444.4444444444453"/>
    <n v="1140000"/>
    <s v="شقتين للبيع في العارض، شمال الرياض"/>
    <s v="العارض، شمال الرياض، الرياض"/>
    <x v="4"/>
    <s v="حي العارض"/>
    <s v="الرياض"/>
    <s v="مكتب الاحمدي للعقارات"/>
  </r>
  <r>
    <s v="N881587363"/>
    <x v="3"/>
    <n v="5"/>
    <n v="5"/>
    <n v="186"/>
    <n v="1145000"/>
    <n v="6155.9139784946237"/>
    <n v="1145000"/>
    <s v="دور للبيع في الرمال، شرق الرياض"/>
    <s v="الرمال، شرق الرياض، الرياض"/>
    <x v="0"/>
    <s v="حي الرمال"/>
    <s v="الرياض"/>
    <s v="مسكنكم للخدمات العقارية"/>
  </r>
  <r>
    <s v="B771497518"/>
    <x v="0"/>
    <n v="3"/>
    <n v="3"/>
    <n v="127"/>
    <n v="1149000"/>
    <n v="9047.2440944881891"/>
    <n v="1149000"/>
    <s v="شقة للبيع في العارض, شمال الرياض"/>
    <s v="العارض، شمال الرياض، الرياض"/>
    <x v="4"/>
    <s v="حي العارض"/>
    <s v="الرياض"/>
    <s v="​فردي / مالك"/>
  </r>
  <r>
    <s v="Q045808191"/>
    <x v="0"/>
    <n v="3"/>
    <n v="2"/>
    <n v="127"/>
    <n v="1149000"/>
    <n v="9047.2440944881891"/>
    <n v="1149000"/>
    <s v="شقة للبيع في العارض، شمال الرياض"/>
    <s v="العارض، شمال الرياض، الرياض"/>
    <x v="4"/>
    <s v="حي العارض"/>
    <s v="الرياض"/>
    <s v="شركة راكز العقارية"/>
  </r>
  <r>
    <s v="O412344465"/>
    <x v="3"/>
    <n v="4"/>
    <n v="5"/>
    <n v="222"/>
    <n v="1150000"/>
    <n v="5180.1801801801803"/>
    <n v="1150000"/>
    <s v="دور فاخر للبيع"/>
    <s v="القادسية، شرق الرياض، الرياض"/>
    <x v="0"/>
    <s v="حي القادسية"/>
    <s v="الرياض"/>
    <s v="سكن المعالي للعقارات"/>
  </r>
  <r>
    <s v="G402209423"/>
    <x v="2"/>
    <n v="5"/>
    <n v="4"/>
    <n v="319"/>
    <n v="1150000"/>
    <n v="3605.0156739811914"/>
    <n v="1150000"/>
    <s v="فيلا للبيع في الرمال, شرق الرياض"/>
    <s v="الرمال، شرق الرياض، الرياض"/>
    <x v="0"/>
    <s v="حي الرمال"/>
    <s v="الرياض"/>
    <s v="مؤسسة بصمة الانجاز للخدمات العقارية"/>
  </r>
  <r>
    <s v="M744512289"/>
    <x v="2"/>
    <n v="5"/>
    <n v="4"/>
    <n v="360"/>
    <n v="1150000"/>
    <n v="3194.4444444444443"/>
    <n v="1150000"/>
    <s v="فيلا للبيع في بدر، جنوب الرياض"/>
    <s v="بدر، جنوب الرياض، الرياض"/>
    <x v="1"/>
    <s v="حي بدر"/>
    <s v="الرياض"/>
    <s v="​فردي / مالك"/>
  </r>
  <r>
    <s v="F819342994"/>
    <x v="2"/>
    <n v="7"/>
    <n v="4"/>
    <n v="319"/>
    <n v="1150000"/>
    <n v="3605.0156739811914"/>
    <n v="1150000"/>
    <s v="دورين منفصلين  للبيع في الرمال, شرق الرياض"/>
    <s v="الرمال، شرق الرياض، الرياض"/>
    <x v="0"/>
    <s v="حي الرمال"/>
    <s v="الرياض"/>
    <s v="مؤسسة بصمة الانجاز للخدمات العقارية"/>
  </r>
  <r>
    <s v="H701483355"/>
    <x v="3"/>
    <n v="5"/>
    <n v="4"/>
    <n v="172"/>
    <n v="1150000"/>
    <n v="6686.0465116279074"/>
    <n v="1150000"/>
    <s v="دور - الرياض - حى الرمال"/>
    <s v="الرمال، شرق الرياض، الرياض"/>
    <x v="0"/>
    <s v="حي الرمال"/>
    <s v="الرياض"/>
    <s v="إسكان سلمان للتسويق العقاري"/>
  </r>
  <r>
    <s v="R123263465"/>
    <x v="3"/>
    <n v="5"/>
    <n v="3"/>
    <n v="211"/>
    <n v="1150000"/>
    <n v="5450.2369668246447"/>
    <n v="1150000"/>
    <s v="دور - الرياض - الرمال"/>
    <s v="الرمال، شرق الرياض، الرياض"/>
    <x v="0"/>
    <s v="حي الرمال"/>
    <s v="الرياض"/>
    <s v="إسكان سلمان للتسويق العقاري"/>
  </r>
  <r>
    <s v="V231427600"/>
    <x v="2"/>
    <n v="7"/>
    <n v="9"/>
    <n v="303"/>
    <n v="1150000"/>
    <n v="3795.3795379537955"/>
    <n v="1150000"/>
    <s v="فيلا للبيع في بدر, جنوب الرياض"/>
    <s v="بدر، جنوب الرياض، الرياض"/>
    <x v="1"/>
    <s v="حي بدر"/>
    <s v="الرياض"/>
    <s v="​فردي / مالك"/>
  </r>
  <r>
    <s v="J490619566"/>
    <x v="3"/>
    <n v="5"/>
    <n v="4"/>
    <n v="172"/>
    <n v="1150000"/>
    <n v="6686.0465116279074"/>
    <n v="1150000"/>
    <s v="دور للبيع في الرمال، شرق الرياض"/>
    <s v="الرمال، شرق الرياض، الرياض"/>
    <x v="0"/>
    <s v="حي الرمال"/>
    <s v="الرياض"/>
    <s v="إسكان سلمان للتسويق العقاري"/>
  </r>
  <r>
    <s v="C669405434"/>
    <x v="3"/>
    <n v="4"/>
    <n v="4"/>
    <n v="303"/>
    <n v="1150000"/>
    <n v="3795.3795379537955"/>
    <n v="1150000"/>
    <s v="دور أرضي للبيع في القادسية، شرق الرياض"/>
    <s v="القادسية، شرق الرياض، الرياض"/>
    <x v="0"/>
    <s v="حي القادسية"/>
    <s v="الرياض"/>
    <s v="سكن المعالي للعقارات"/>
  </r>
  <r>
    <s v="O972455113"/>
    <x v="3"/>
    <n v="4"/>
    <n v="4"/>
    <n v="292"/>
    <n v="1150000"/>
    <n v="3938.3561643835615"/>
    <n v="1150000"/>
    <s v="دور للبيع في القادسية, شرق الرياض"/>
    <s v="القادسية، شرق الرياض، الرياض"/>
    <x v="0"/>
    <s v="حي القادسية"/>
    <s v="الرياض"/>
    <s v="سكن المعالي للعقارات"/>
  </r>
  <r>
    <s v="R897754629"/>
    <x v="3"/>
    <n v="4"/>
    <n v="4"/>
    <n v="285"/>
    <n v="1150000"/>
    <n v="4035.0877192982457"/>
    <n v="1150000"/>
    <s v="دور أول تاون هاوس للبيع في حي القادسية، شرق الرياض"/>
    <s v="القادسية، شرق الرياض، الرياض"/>
    <x v="0"/>
    <s v="حي القادسية"/>
    <s v="الرياض"/>
    <s v="سكن المعالي للعقارات"/>
  </r>
  <r>
    <s v="U696667919"/>
    <x v="2"/>
    <n v="7"/>
    <n v="5"/>
    <n v="200"/>
    <n v="1150000"/>
    <n v="5750"/>
    <n v="1150000"/>
    <s v="فيلا للبيع في الدار البيضاء، جنوب الرياض"/>
    <s v="الدار البيضاء، جنوب الرياض، الرياض"/>
    <x v="1"/>
    <s v="حي الدار البيضاء"/>
    <s v="الرياض"/>
    <s v="مكتب الاحمدي للعقارات"/>
  </r>
  <r>
    <s v="C763515734"/>
    <x v="3"/>
    <n v="3"/>
    <n v="4"/>
    <n v="203"/>
    <n v="1150000"/>
    <n v="5665.0246305418723"/>
    <n v="1150000"/>
    <s v="دور أرضي للبيع في الرمال، شرق الرياض"/>
    <s v="الرمال، شرق الرياض، الرياض"/>
    <x v="0"/>
    <s v="حي الرمال"/>
    <s v="الرياض"/>
    <s v="سكن المعالي للعقارات"/>
  </r>
  <r>
    <s v="N608778655"/>
    <x v="0"/>
    <n v="4"/>
    <n v="3"/>
    <n v="144"/>
    <n v="1160000"/>
    <n v="8055.5555555555557"/>
    <n v="1160000"/>
    <s v="شقة مميزة للبيع في أحياء راقية حي النرجس"/>
    <s v="النرجس، شمال الرياض، الرياض"/>
    <x v="4"/>
    <s v="حي النرجس"/>
    <s v="الرياض"/>
    <s v="شركة إثراء الأولى العقارية"/>
  </r>
  <r>
    <s v="Q645049391"/>
    <x v="0"/>
    <n v="2"/>
    <n v="2"/>
    <n v="144"/>
    <n v="1160000"/>
    <n v="8055.5555555555557"/>
    <n v="1160000"/>
    <s v="شقة للبيع في النرجس, شمال الرياض"/>
    <s v="النرجس، شمال الرياض، الرياض"/>
    <x v="4"/>
    <s v="حي النرجس"/>
    <s v="الرياض"/>
    <s v="شركة إثراء الأولى العقارية"/>
  </r>
  <r>
    <s v="W704836619"/>
    <x v="3"/>
    <n v="6"/>
    <n v="2"/>
    <n v="300"/>
    <n v="1160000"/>
    <n v="3866.6666666666665"/>
    <n v="1160000"/>
    <s v="دور للبيع في الجنادرية، شرق الرياض"/>
    <s v="الجنادرية، شرق الرياض، الرياض"/>
    <x v="0"/>
    <s v="حي الجنادرية"/>
    <s v="الرياض"/>
    <s v="شركة قمة الوطن العقارية"/>
  </r>
  <r>
    <s v="V184680884"/>
    <x v="3"/>
    <n v="5"/>
    <n v="3"/>
    <n v="375"/>
    <n v="1160000"/>
    <n v="3093.3333333333335"/>
    <n v="1160000"/>
    <s v="دور - الرياض - حي المعيزيلة"/>
    <s v="المعيزلة، شرق الرياض، الرياض"/>
    <x v="0"/>
    <s v="حي المعيزلة"/>
    <s v="الرياض"/>
    <s v="إسكان سلمان للتسويق العقاري"/>
  </r>
  <r>
    <s v="P184680884"/>
    <x v="3"/>
    <n v="5"/>
    <n v="3"/>
    <n v="375"/>
    <n v="1160000"/>
    <n v="3093.3333333333335"/>
    <n v="1160000"/>
    <s v="دور - الرياض - حي المعيزيلة"/>
    <s v="المعيزلة، شرق الرياض، الرياض"/>
    <x v="0"/>
    <s v="حي المعيزلة"/>
    <s v="الرياض"/>
    <s v="إسكان سلمان للتسويق العقاري"/>
  </r>
  <r>
    <s v="L184680884"/>
    <x v="3"/>
    <n v="5"/>
    <n v="3"/>
    <n v="375"/>
    <n v="1160000"/>
    <n v="3093.3333333333335"/>
    <n v="1160000"/>
    <s v="دور - الرياض - حي المعيزيلة"/>
    <s v="المعيزلة، شرق الرياض، الرياض"/>
    <x v="0"/>
    <s v="حي المعيزلة"/>
    <s v="الرياض"/>
    <s v="إسكان سلمان للتسويق العقاري"/>
  </r>
  <r>
    <s v="P184680884"/>
    <x v="3"/>
    <n v="5"/>
    <n v="3"/>
    <n v="375"/>
    <n v="1160000"/>
    <n v="3093.3333333333335"/>
    <n v="1160000"/>
    <s v="دور - الرياض - حي المعيزيلة"/>
    <s v="المعيزلة، شرق الرياض، الرياض"/>
    <x v="0"/>
    <s v="حي المعيزلة"/>
    <s v="الرياض"/>
    <s v="إسكان سلمان للتسويق العقاري"/>
  </r>
  <r>
    <s v="P184680884"/>
    <x v="3"/>
    <n v="5"/>
    <n v="3"/>
    <n v="375"/>
    <n v="1160000"/>
    <n v="3093.3333333333335"/>
    <n v="1160000"/>
    <s v="دور - الرياض - حي المعيزيلة"/>
    <s v="المعيزلة، شرق الرياض، الرياض"/>
    <x v="0"/>
    <s v="حي المعيزلة"/>
    <s v="الرياض"/>
    <s v="إسكان سلمان للتسويق العقاري"/>
  </r>
  <r>
    <s v="C457999136"/>
    <x v="0"/>
    <n v="3"/>
    <n v="3"/>
    <n v="157"/>
    <n v="1199000"/>
    <n v="7636.9426751592355"/>
    <n v="1199000"/>
    <s v="شقة للبيع في النرجس، شمال الرياض"/>
    <s v="النرجس، شمال الرياض، الرياض"/>
    <x v="4"/>
    <s v="حي النرجس"/>
    <s v="الرياض"/>
    <s v="شركة رؤية التسويق العقاري"/>
  </r>
  <r>
    <s v="Z759329569"/>
    <x v="0"/>
    <n v="4"/>
    <n v="4"/>
    <n v="199"/>
    <n v="1199000"/>
    <n v="6025.1256281407032"/>
    <n v="1199000"/>
    <s v="شقة للبيع في القادسية، شرق الرياض"/>
    <s v="القادسية، شرق الرياض، الرياض"/>
    <x v="0"/>
    <s v="حي القادسية"/>
    <s v="الرياض"/>
    <s v="​فردي / مالك"/>
  </r>
  <r>
    <s v="H808583263"/>
    <x v="3"/>
    <n v="6"/>
    <n v="5"/>
    <n v="185"/>
    <n v="1200000"/>
    <n v="6486.4864864864867"/>
    <n v="1200000"/>
    <s v="دور للبيع في  المونسية، شرق الرياض"/>
    <s v="المونسية، شرق الرياض، الرياض"/>
    <x v="0"/>
    <s v="حي المونسية"/>
    <s v="الرياض"/>
    <s v="​فردي / مالك"/>
  </r>
  <r>
    <s v="G806519368"/>
    <x v="0"/>
    <n v="3"/>
    <n v="4"/>
    <n v="1155"/>
    <n v="1200000"/>
    <n v="1038.9610389610389"/>
    <n v="1200000"/>
    <s v="شقة فاخرة  للبيع بالعارض بسعر منافس وموقع متميز 3 غرف نوم منهم غرفتين نوم ماستر بحمام"/>
    <s v="العارض، شمال الرياض، الرياض"/>
    <x v="4"/>
    <s v="حي العارض"/>
    <s v="الرياض"/>
    <s v="شركة رايات نجد للتطوير العقاري"/>
  </r>
  <r>
    <s v="D345542154"/>
    <x v="0"/>
    <n v="3"/>
    <n v="3"/>
    <n v="140"/>
    <n v="1200000"/>
    <n v="8571.4285714285706"/>
    <n v="1200000"/>
    <s v="شقة للبيع في الربيع، شمال الرياض"/>
    <s v="الربيع، شمال الرياض، الرياض"/>
    <x v="4"/>
    <s v="حي الربيع"/>
    <s v="الرياض"/>
    <s v="مكتب ركن المؤشر للعقارات"/>
  </r>
  <r>
    <s v="W851799459"/>
    <x v="0"/>
    <n v="3"/>
    <n v="3"/>
    <n v="154"/>
    <n v="1200000"/>
    <n v="7792.2077922077924"/>
    <n v="1200000"/>
    <s v="دور ارضي - تاون هاوس علوي (حي المونسيه )"/>
    <s v="المونسية، شرق الرياض، الرياض"/>
    <x v="0"/>
    <s v="حي المونسية"/>
    <s v="الرياض"/>
    <s v="​فردي / مالك"/>
  </r>
  <r>
    <s v="X686586861"/>
    <x v="2"/>
    <n v="8"/>
    <n v="6"/>
    <n v="200"/>
    <n v="1200000"/>
    <n v="6000"/>
    <n v="1200000"/>
    <s v="8 غرف نوم فيلل للبيع في طويق"/>
    <s v="طويق، غرب الرياض، الرياض"/>
    <x v="3"/>
    <s v="حي طويق"/>
    <s v="الرياض"/>
    <s v="​فردي / مالك"/>
  </r>
  <r>
    <s v="P544501935"/>
    <x v="1"/>
    <n v="0"/>
    <n v="0"/>
    <n v="375"/>
    <n v="3200"/>
    <n v="3200"/>
    <n v="1200000"/>
    <s v="أرض سكنية للبيع في ظهرة لبن، غرب الرياض"/>
    <s v="ظهرة لبن، غرب الرياض، الرياض"/>
    <x v="3"/>
    <s v="حي ظهرة لبن"/>
    <s v="الرياض"/>
    <s v="​فردي / مالك"/>
  </r>
  <r>
    <s v="S013898338"/>
    <x v="2"/>
    <n v="4"/>
    <n v="4"/>
    <n v="375"/>
    <n v="1200000"/>
    <n v="3200"/>
    <n v="1200000"/>
    <s v="فيلا للبيع في بدر، جنوب الرياض"/>
    <s v="بدر، جنوب الرياض، الرياض"/>
    <x v="1"/>
    <s v="حي بدر"/>
    <s v="الرياض"/>
    <s v="مشاورات العقارية"/>
  </r>
  <r>
    <s v="N939565560"/>
    <x v="2"/>
    <n v="6"/>
    <n v="4"/>
    <n v="250"/>
    <n v="1200000"/>
    <n v="4800"/>
    <n v="1200000"/>
    <s v="للبيع فيلا في حي النظيم"/>
    <s v="النظيم، شرق الرياض، الرياض"/>
    <x v="0"/>
    <s v="حي النظيم"/>
    <s v="الرياض"/>
    <s v="شركة قمة الوطن العقارية"/>
  </r>
  <r>
    <s v="Y164815080"/>
    <x v="0"/>
    <n v="3"/>
    <n v="2"/>
    <n v="134"/>
    <n v="1200000"/>
    <n v="8955.2238805970155"/>
    <n v="1200000"/>
    <s v="شقة للبيع في  الشهداء، شرق الرياض"/>
    <s v="الشهداء، شرق الرياض، الرياض"/>
    <x v="0"/>
    <s v="حي الشهداء"/>
    <s v="الرياض"/>
    <s v="​فردي / مالك"/>
  </r>
  <r>
    <s v="Q193231257"/>
    <x v="3"/>
    <n v="5"/>
    <n v="5"/>
    <n v="261"/>
    <n v="1200000"/>
    <n v="4597.7011494252874"/>
    <n v="1200000"/>
    <s v="دور للبيع في القادسية, شرق الرياض"/>
    <s v="القادسية، شرق الرياض، الرياض"/>
    <x v="0"/>
    <s v="حي القادسية"/>
    <s v="الرياض"/>
    <s v="إسكان سلمان للتسويق العقاري"/>
  </r>
  <r>
    <s v="M638163916"/>
    <x v="3"/>
    <n v="4"/>
    <n v="3"/>
    <n v="220"/>
    <n v="1200000"/>
    <n v="5454.545454545455"/>
    <n v="1200000"/>
    <s v="دور علوي للبيع في الرمال, شرق الرياض"/>
    <s v="الرمال، شرق الرياض، الرياض"/>
    <x v="0"/>
    <s v="حي الرمال"/>
    <s v="الرياض"/>
    <s v="سكن المعالي للعقارات"/>
  </r>
  <r>
    <s v="H742881690"/>
    <x v="3"/>
    <n v="6"/>
    <n v="5"/>
    <n v="222"/>
    <n v="1200000"/>
    <n v="5405.405405405405"/>
    <n v="1200000"/>
    <s v="دور أرضي للبيع في القادسية، شرق الرياض"/>
    <s v="القادسية، شرق الرياض، الرياض"/>
    <x v="0"/>
    <s v="حي القادسية"/>
    <s v="الرياض"/>
    <s v="سكن المعالي للعقارات"/>
  </r>
  <r>
    <s v="F859173360"/>
    <x v="3"/>
    <n v="4"/>
    <n v="5"/>
    <n v="222"/>
    <n v="1200000"/>
    <n v="5405.405405405405"/>
    <n v="1200000"/>
    <s v="دور ارضي للبيع بحي القادسية"/>
    <s v="القادسية، شرق الرياض، الرياض"/>
    <x v="0"/>
    <s v="حي القادسية"/>
    <s v="الرياض"/>
    <s v="سكن المعالي للعقارات"/>
  </r>
  <r>
    <s v="Y179942045"/>
    <x v="5"/>
    <n v="3"/>
    <n v="2"/>
    <n v="846"/>
    <n v="1200000"/>
    <n v="1418.4397163120568"/>
    <n v="1200000"/>
    <s v="استراحة846م للبيع في مخططات الشرق بطريقة رماح الرياض"/>
    <s v="الزاهر، الرياض"/>
    <x v="3"/>
    <s v="حي الزاهر"/>
    <s v="الرياض"/>
    <s v="شركة مهم العقارية"/>
  </r>
  <r>
    <s v="S518539442"/>
    <x v="3"/>
    <n v="6"/>
    <n v="4"/>
    <n v="300"/>
    <n v="1200000"/>
    <n v="4000"/>
    <n v="1200000"/>
    <s v="دور للبيع في حي القادسيه، شرق الرياض"/>
    <s v="القادسية، شرق الرياض، الرياض"/>
    <x v="0"/>
    <s v="حي القادسية"/>
    <s v="الرياض"/>
    <s v="سكن المعالي للعقارات"/>
  </r>
  <r>
    <s v="K111440140"/>
    <x v="3"/>
    <n v="6"/>
    <n v="4"/>
    <n v="222"/>
    <n v="1200000"/>
    <n v="5405.405405405405"/>
    <n v="1200000"/>
    <s v="دور أرضي للبيع في القادسية، شرق الرياض"/>
    <s v="القادسية، شرق الرياض، الرياض"/>
    <x v="0"/>
    <s v="حي القادسية"/>
    <s v="الرياض"/>
    <s v="سكن المعالي للعقارات"/>
  </r>
  <r>
    <s v="T952494531"/>
    <x v="3"/>
    <n v="3"/>
    <n v="3"/>
    <n v="506"/>
    <n v="1200000"/>
    <n v="2371.5415019762845"/>
    <n v="1200000"/>
    <s v="دور للبيع في القادسية، شرق الرياض"/>
    <s v="القادسية، شرق الرياض، الرياض"/>
    <x v="0"/>
    <s v="حي القادسية"/>
    <s v="الرياض"/>
    <s v="مؤسسة وسام المساكن العقارية"/>
  </r>
  <r>
    <s v="W537292948"/>
    <x v="3"/>
    <n v="2"/>
    <n v="3"/>
    <n v="505"/>
    <n v="1200000"/>
    <n v="2376.2376237623762"/>
    <n v="1200000"/>
    <s v="دور للبيع في القادسية، شرق الرياض"/>
    <s v="القادسية، شرق الرياض، الرياض"/>
    <x v="0"/>
    <s v="حي القادسية"/>
    <s v="الرياض"/>
    <s v="مؤسسة وسام المساكن العقارية"/>
  </r>
  <r>
    <s v="N943847768"/>
    <x v="3"/>
    <n v="3"/>
    <n v="4"/>
    <n v="203"/>
    <n v="1200000"/>
    <n v="5911.3300492610833"/>
    <n v="1200000"/>
    <s v="الطابق للبيع في الرمال، الرياض"/>
    <s v="الرمال، شرق الرياض، الرياض"/>
    <x v="0"/>
    <s v="حي الرمال"/>
    <s v="الرياض"/>
    <s v="​فردي / مالك"/>
  </r>
  <r>
    <s v="K866193376"/>
    <x v="3"/>
    <n v="3"/>
    <n v="3"/>
    <n v="242"/>
    <n v="1200000"/>
    <n v="4958.6776859504134"/>
    <n v="1200000"/>
    <s v="دور للبيع في القادسية، شرق الرياض"/>
    <s v="القادسية، شرق الرياض، الرياض"/>
    <x v="0"/>
    <s v="حي القادسية"/>
    <s v="الرياض"/>
    <s v="سكن المعالي للعقارات"/>
  </r>
  <r>
    <s v="R272476809"/>
    <x v="3"/>
    <n v="3"/>
    <n v="3"/>
    <n v="168"/>
    <n v="1200000"/>
    <n v="7142.8571428571431"/>
    <n v="1200000"/>
    <s v="دور للبيع في المونسية، شرق الرياض"/>
    <s v="المونسية، شرق الرياض، الرياض"/>
    <x v="0"/>
    <s v="حي المونسية"/>
    <s v="الرياض"/>
    <s v="مكتب عبدالله بن فيحان بن محمد العتيبي للعقارات"/>
  </r>
  <r>
    <s v="Y316786144"/>
    <x v="0"/>
    <n v="4"/>
    <n v="3"/>
    <n v="161"/>
    <n v="1205000"/>
    <n v="7484.4720496894406"/>
    <n v="1205000"/>
    <s v="للبيع شقة فاخرة في الروابي، شرق الرياض"/>
    <s v="الروابي، شرق الرياض، الرياض"/>
    <x v="0"/>
    <s v="حي الروابي"/>
    <s v="الرياض"/>
    <s v="مساكن ركاز للعقارات"/>
  </r>
  <r>
    <s v="L580173289"/>
    <x v="1"/>
    <n v="0"/>
    <n v="0"/>
    <n v="548"/>
    <n v="2200"/>
    <n v="2200"/>
    <n v="1205600"/>
    <s v="أرض للبيع في طويق، غرب الرياض"/>
    <s v="طويق، غرب الرياض، الرياض"/>
    <x v="3"/>
    <s v="حي طويق"/>
    <s v="الرياض"/>
    <s v="مكتب احوال الناس للخدمات العقارية"/>
  </r>
  <r>
    <s v="A036763011"/>
    <x v="4"/>
    <n v="5"/>
    <n v="5"/>
    <n v="170"/>
    <n v="1230000"/>
    <n v="7235.2941176470586"/>
    <n v="1230000"/>
    <s v="مبنى سكني بـ 5 غرف نوم للبيع في الخالدية، الرياض"/>
    <s v="الخالدية، وسط الرياض، الرياض"/>
    <x v="2"/>
    <s v="حي الخالدية"/>
    <s v="الرياض"/>
    <s v="​فردي / مالك"/>
  </r>
  <r>
    <s v="E562543978"/>
    <x v="0"/>
    <n v="3"/>
    <n v="3"/>
    <n v="3150"/>
    <n v="1235000"/>
    <n v="392.06349206349205"/>
    <n v="1235000"/>
    <s v="شقة للبيع في العارض, شمال الرياض"/>
    <s v="العارض، شمال الرياض، الرياض"/>
    <x v="4"/>
    <s v="حي العارض"/>
    <s v="الرياض"/>
    <s v="شركة رفاه العقارية"/>
  </r>
  <r>
    <s v="L989551140"/>
    <x v="0"/>
    <n v="3"/>
    <n v="3"/>
    <n v="152"/>
    <n v="1239000"/>
    <n v="8151.3157894736842"/>
    <n v="1239000"/>
    <s v="شقة للبيع في  الروضة، شرق الرياض"/>
    <s v="الروضة، شرق الرياض، الرياض"/>
    <x v="0"/>
    <s v="حي الروضة"/>
    <s v="الرياض"/>
    <s v="شركة رؤية التسويق العقاري"/>
  </r>
  <r>
    <s v="B695199577"/>
    <x v="0"/>
    <n v="3"/>
    <n v="3"/>
    <n v="127"/>
    <n v="1239000"/>
    <n v="9755.9055118110227"/>
    <n v="1239000"/>
    <s v="شقة جديدة فاخرة بالنرجس، شمال الرياض"/>
    <s v="النرجس، شمال الرياض، الرياض"/>
    <x v="4"/>
    <s v="حي النرجس"/>
    <s v="الرياض"/>
    <s v="​فردي / مالك"/>
  </r>
  <r>
    <s v="A906369951"/>
    <x v="0"/>
    <n v="3"/>
    <n v="3"/>
    <n v="3150"/>
    <n v="1240000"/>
    <n v="393.65079365079367"/>
    <n v="1240000"/>
    <s v="شقة للبيع في العارض, شمال الرياض"/>
    <s v="العارض، شمال الرياض، الرياض"/>
    <x v="4"/>
    <s v="حي العارض"/>
    <s v="الرياض"/>
    <s v="شركة رفاه العقارية"/>
  </r>
  <r>
    <s v="G622333075"/>
    <x v="3"/>
    <n v="6"/>
    <n v="5"/>
    <n v="500"/>
    <n v="1249000"/>
    <n v="2498"/>
    <n v="1249000"/>
    <s v="دور للبيع في الخليج, شرق الرياض"/>
    <s v="الخليج، شرق الرياض، الرياض"/>
    <x v="0"/>
    <s v="حي الخليج"/>
    <s v="الرياض"/>
    <s v="شركة سياد للاستثمار"/>
  </r>
  <r>
    <s v="U958414783"/>
    <x v="0"/>
    <n v="4"/>
    <n v="3"/>
    <n v="190"/>
    <n v="1250000"/>
    <n v="6578.9473684210525"/>
    <n v="1250000"/>
    <s v="شقة فاخرة للبيع في النرجس, شمال الرياض (تم الحجز) (لدينا شقق أخرى) بنفس السعر والمواصفات"/>
    <s v="النرجس، شمال الرياض، الرياض"/>
    <x v="4"/>
    <s v="حي النرجس"/>
    <s v="الرياض"/>
    <s v="شركة رايات نجد للتطوير العقاري"/>
  </r>
  <r>
    <s v="V626679123"/>
    <x v="2"/>
    <n v="8"/>
    <n v="5"/>
    <n v="375"/>
    <n v="1250000"/>
    <n v="3333.3333333333335"/>
    <n v="1250000"/>
    <s v="فيلا للبيع في الدار البيضاء، جنوب الرياض"/>
    <s v="الدار البيضاء، جنوب الرياض، الرياض"/>
    <x v="1"/>
    <s v="حي الدار البيضاء"/>
    <s v="الرياض"/>
    <s v="مسكنكم للخدمات العقارية"/>
  </r>
  <r>
    <s v="B218814020"/>
    <x v="3"/>
    <n v="3"/>
    <n v="3"/>
    <n v="550"/>
    <n v="1250000"/>
    <n v="2272.7272727272725"/>
    <n v="1250000"/>
    <s v="شقة  للبيع في العريض، الرياض"/>
    <s v="العارض، شمال الرياض، الرياض"/>
    <x v="4"/>
    <s v="حي العارض"/>
    <s v="الرياض"/>
    <s v="شركة قصر الرقي العقارية"/>
  </r>
  <r>
    <s v="U983403593"/>
    <x v="0"/>
    <n v="3"/>
    <n v="4"/>
    <n v="189"/>
    <n v="1250000"/>
    <n v="6613.7566137566137"/>
    <n v="1250000"/>
    <s v="شقق بنظام أدوار - شادو ريزيدنس"/>
    <s v="العارض، شمال الرياض، الرياض"/>
    <x v="4"/>
    <s v="حي العارض"/>
    <s v="الرياض"/>
    <s v="شركة أكتال العقارية"/>
  </r>
  <r>
    <s v="N644746608"/>
    <x v="3"/>
    <n v="6"/>
    <n v="3"/>
    <n v="224"/>
    <n v="1250000"/>
    <n v="5580.3571428571431"/>
    <n v="1250000"/>
    <s v="دور للبيع في الرمال, شرق الرياض"/>
    <s v="الرمال، شرق الرياض، الرياض"/>
    <x v="0"/>
    <s v="حي الرمال"/>
    <s v="الرياض"/>
    <s v="مؤسسة الفا البواني العقارية"/>
  </r>
  <r>
    <s v="S529428301"/>
    <x v="3"/>
    <n v="3"/>
    <n v="5"/>
    <n v="203"/>
    <n v="1250000"/>
    <n v="6157.6354679802953"/>
    <n v="1250000"/>
    <s v="دور أرضي للبيع في القادسية، شرق الرياض"/>
    <s v="القادسية، شرق الرياض، الرياض"/>
    <x v="0"/>
    <s v="حي القادسية"/>
    <s v="الرياض"/>
    <s v="سكن المعالي للعقارات"/>
  </r>
  <r>
    <s v="G148619744"/>
    <x v="0"/>
    <n v="5"/>
    <n v="5"/>
    <n v="224"/>
    <n v="1250000"/>
    <n v="5580.3571428571431"/>
    <n v="1250000"/>
    <s v="شقة تاون هاوس - الرياض - الرمال"/>
    <s v="الرمال، شرق الرياض، الرياض"/>
    <x v="0"/>
    <s v="حي الرمال"/>
    <s v="الرياض"/>
    <s v="إسكان سلمان للتسويق العقاري"/>
  </r>
  <r>
    <s v="F492850134"/>
    <x v="3"/>
    <n v="5"/>
    <n v="3"/>
    <n v="540"/>
    <n v="1250000"/>
    <n v="2314.8148148148148"/>
    <n v="1250000"/>
    <s v="دور للبيع في الرمال, شرق الرياض"/>
    <s v="الرمال، شرق الرياض، الرياض"/>
    <x v="0"/>
    <s v="حي الرمال"/>
    <s v="الرياض"/>
    <s v="شركة نهضة التطور العقارية"/>
  </r>
  <r>
    <s v="O130362954"/>
    <x v="3"/>
    <n v="6"/>
    <n v="6"/>
    <n v="550"/>
    <n v="1250000"/>
    <n v="2272.7272727272725"/>
    <n v="1250000"/>
    <s v="5 غرف نوم على علي بن موفق، العارض، الرياض للبيع"/>
    <s v="العارض، شمال الرياض، الرياض"/>
    <x v="4"/>
    <s v="حي العارض"/>
    <s v="الرياض"/>
    <s v="شركة قصر الرقي العقارية"/>
  </r>
  <r>
    <s v="O677279649"/>
    <x v="0"/>
    <n v="7"/>
    <n v="7"/>
    <n v="176"/>
    <n v="1250000"/>
    <n v="7102.272727272727"/>
    <n v="1250000"/>
    <s v="شقة للبيع في شارع رقم 192, حي الياسمين, مدينة الرياض, منطقة الرياض"/>
    <s v="الياسمين، شمال الرياض، الرياض"/>
    <x v="4"/>
    <s v="حي الياسمين"/>
    <s v="الرياض"/>
    <s v="مكتب طريق الاسكان"/>
  </r>
  <r>
    <s v="W957418621"/>
    <x v="0"/>
    <n v="3"/>
    <n v="3"/>
    <n v="167"/>
    <n v="1250000"/>
    <n v="7485.0299401197608"/>
    <n v="1250000"/>
    <s v="شقة للبيع في المونسية، شرق الرياض"/>
    <s v="المونسية، شرق الرياض، الرياض"/>
    <x v="0"/>
    <s v="حي المونسية"/>
    <s v="الرياض"/>
    <s v="​فردي / مالك"/>
  </r>
  <r>
    <s v="B888152566"/>
    <x v="0"/>
    <n v="3"/>
    <n v="4"/>
    <n v="193"/>
    <n v="1250000"/>
    <n v="6476.6839378238346"/>
    <n v="1250000"/>
    <s v="شقة للبيع في المنصورية، الرياض"/>
    <s v="المونسية، شرق الرياض، الرياض"/>
    <x v="0"/>
    <s v="حي المونسية"/>
    <s v="الرياض"/>
    <s v="​فردي / مالك"/>
  </r>
  <r>
    <s v="G756784204"/>
    <x v="0"/>
    <n v="3"/>
    <n v="3"/>
    <n v="141"/>
    <n v="1250000"/>
    <n v="8865.2482269503544"/>
    <n v="1250000"/>
    <s v="شقة للبيع في  العقيق، شمال الرياض"/>
    <s v="العقيق، شمال الرياض، الرياض"/>
    <x v="4"/>
    <s v="حي العقيق"/>
    <s v="الرياض"/>
    <s v="​فردي / مالك"/>
  </r>
  <r>
    <s v="U055859805"/>
    <x v="0"/>
    <n v="3"/>
    <n v="3"/>
    <n v="160"/>
    <n v="1280000"/>
    <n v="8000"/>
    <n v="1280000"/>
    <s v="شقة للبيع في القرطبة، شرق الرياض"/>
    <s v="قرطبة، شرق الرياض، الرياض"/>
    <x v="0"/>
    <s v="حي قرطبة"/>
    <s v="الرياض"/>
    <s v="مؤسسة وسام المساكن العقارية"/>
  </r>
  <r>
    <s v="T035875077"/>
    <x v="3"/>
    <n v="3"/>
    <n v="3"/>
    <n v="540"/>
    <n v="1280000"/>
    <n v="2370.3703703703704"/>
    <n v="1280000"/>
    <s v="دور للبيع في المونسية، شرق الرياض"/>
    <s v="المونسية، شرق الرياض، الرياض"/>
    <x v="0"/>
    <s v="حي المونسية"/>
    <s v="الرياض"/>
    <s v="مؤسسة وسام المساكن العقارية"/>
  </r>
  <r>
    <s v="V191922328"/>
    <x v="2"/>
    <n v="4"/>
    <n v="4"/>
    <n v="182"/>
    <n v="1280000"/>
    <n v="7032.9670329670325"/>
    <n v="1280000"/>
    <s v="فيلا للبيع في  الرمال، شرق الرياض"/>
    <s v="الرمال، شرق الرياض، الرياض"/>
    <x v="0"/>
    <s v="حي الرمال"/>
    <s v="الرياض"/>
    <s v="مكتب شريط للعقارات"/>
  </r>
  <r>
    <s v="S962761792"/>
    <x v="0"/>
    <n v="3"/>
    <n v="3"/>
    <n v="102"/>
    <n v="1290000"/>
    <n v="12647.058823529413"/>
    <n v="1290000"/>
    <s v="شقة للبيع في  العارض، شمال الرياض"/>
    <s v="العارض، شمال الرياض، الرياض"/>
    <x v="4"/>
    <s v="حي العارض"/>
    <s v="الرياض"/>
    <s v="مؤسسة منازل النرجس للتطوير العقاري"/>
  </r>
  <r>
    <s v="M576059665"/>
    <x v="0"/>
    <n v="4"/>
    <n v="4"/>
    <n v="149"/>
    <n v="1295000"/>
    <n v="8691.2751677852357"/>
    <n v="1295000"/>
    <s v="شقة للبيع بالمونسية، شرق الرياض"/>
    <s v="المونسية، شرق الرياض، الرياض"/>
    <x v="0"/>
    <s v="حي المونسية"/>
    <s v="الرياض"/>
    <s v="​فردي / مالك"/>
  </r>
  <r>
    <s v="T077412920"/>
    <x v="4"/>
    <n v="3"/>
    <n v="4"/>
    <n v="750"/>
    <n v="1299000"/>
    <n v="1732"/>
    <n v="1299000"/>
    <s v="شقة للبيع في الملك فيصل, شرق الرياض"/>
    <s v="الملك فيصل، شرق الرياض، الرياض"/>
    <x v="0"/>
    <s v="حي الملك فيصل"/>
    <s v="الرياض"/>
    <s v="​فردي / مالك"/>
  </r>
  <r>
    <s v="Y307883251"/>
    <x v="3"/>
    <n v="3"/>
    <n v="5"/>
    <n v="540"/>
    <n v="1300000"/>
    <n v="2407.4074074074074"/>
    <n v="1300000"/>
    <s v="دور للبيع في المونسية، شرق الرياض"/>
    <s v="المونسية، شرق الرياض، الرياض"/>
    <x v="0"/>
    <s v="حي المونسية"/>
    <s v="الرياض"/>
    <s v="مؤسسة وسام المساكن العقارية"/>
  </r>
  <r>
    <s v="Z104757533"/>
    <x v="2"/>
    <n v="5"/>
    <n v="4"/>
    <n v="200"/>
    <n v="1300000"/>
    <n v="6500"/>
    <n v="1300000"/>
    <s v="للبيع فيلا في حي الجنادرية مخطط المعالي"/>
    <s v="الجنادرية، شرق الرياض، الرياض"/>
    <x v="0"/>
    <s v="حي الجنادرية"/>
    <s v="الرياض"/>
    <s v="شركة قمة الوطن العقارية"/>
  </r>
  <r>
    <s v="M205981905"/>
    <x v="0"/>
    <n v="3"/>
    <n v="2"/>
    <n v="150"/>
    <n v="1300000"/>
    <n v="8666.6666666666661"/>
    <n v="1300000"/>
    <s v="شقة للبيع في الملقا، شمال الرياض"/>
    <s v="الملقا، شمال الرياض، الرياض"/>
    <x v="4"/>
    <s v="حي الملقا"/>
    <s v="الرياض"/>
    <s v="مكتب شريط للعقارات"/>
  </r>
  <r>
    <s v="R135067827"/>
    <x v="0"/>
    <n v="4"/>
    <n v="3"/>
    <n v="147"/>
    <n v="1300000"/>
    <n v="8843.5374149659856"/>
    <n v="1300000"/>
    <s v="شقة للبيع في الملقا، شمال الرياض"/>
    <s v="الملقا، شمال الرياض، الرياض"/>
    <x v="4"/>
    <s v="حي الملقا"/>
    <s v="الرياض"/>
    <s v="شركة العمار العقارية"/>
  </r>
  <r>
    <s v="E979715550"/>
    <x v="0"/>
    <n v="4"/>
    <n v="4"/>
    <n v="143"/>
    <n v="1300000"/>
    <n v="9090.9090909090901"/>
    <n v="1300000"/>
    <s v="شقة للبيع في الملقا، شمال الرياض"/>
    <s v="الملقا، شمال الرياض، الرياض"/>
    <x v="4"/>
    <s v="حي الملقا"/>
    <s v="الرياض"/>
    <s v="​فردي / مالك"/>
  </r>
  <r>
    <s v="Y812356931"/>
    <x v="3"/>
    <n v="3"/>
    <n v="3"/>
    <n v="155"/>
    <n v="1300000"/>
    <n v="8387.0967741935492"/>
    <n v="1300000"/>
    <s v="أدوار فاخرة للبيع في العارض، شمال الرياض"/>
    <s v="العارض، شمال الرياض، الرياض"/>
    <x v="4"/>
    <s v="حي العارض"/>
    <s v="الرياض"/>
    <s v="​فردي / مالك"/>
  </r>
  <r>
    <s v="X928110485"/>
    <x v="0"/>
    <n v="3"/>
    <n v="3"/>
    <n v="120"/>
    <n v="1300000"/>
    <n v="10833.333333333334"/>
    <n v="1300000"/>
    <s v="شقة للبيع في العارض، شمال الرياض"/>
    <s v="العارض، شمال الرياض، الرياض"/>
    <x v="4"/>
    <s v="حي العارض"/>
    <s v="الرياض"/>
    <s v="​فردي / مالك"/>
  </r>
  <r>
    <s v="J266872780"/>
    <x v="3"/>
    <n v="3"/>
    <n v="3"/>
    <n v="131"/>
    <n v="1300000"/>
    <n v="9923.6641221374048"/>
    <n v="1300000"/>
    <s v="دور للبيع في المونسية، شرق الرياض"/>
    <s v="المونسية، شرق الرياض، الرياض"/>
    <x v="0"/>
    <s v="حي المونسية"/>
    <s v="الرياض"/>
    <s v="سكن المعالي للعقارات"/>
  </r>
  <r>
    <s v="P262408543"/>
    <x v="3"/>
    <n v="5"/>
    <n v="4"/>
    <n v="180"/>
    <n v="1300000"/>
    <n v="7222.2222222222226"/>
    <n v="1300000"/>
    <s v="دور للبيع في السعادة, شرق الرياض"/>
    <s v="السعادة، شرق الرياض، الرياض"/>
    <x v="0"/>
    <s v="حي السعادة"/>
    <s v="الرياض"/>
    <s v="​فردي / مالك"/>
  </r>
  <r>
    <s v="S354019769"/>
    <x v="2"/>
    <n v="3"/>
    <n v="3"/>
    <n v="239"/>
    <n v="1300000"/>
    <n v="5439.3305439330543"/>
    <n v="1300000"/>
    <s v="فيلا للبيع في الرمال، شرق الرياض"/>
    <s v="الرمال، شرق الرياض، الرياض"/>
    <x v="0"/>
    <s v="حي الرمال"/>
    <s v="الرياض"/>
    <s v="​فردي / مالك"/>
  </r>
  <r>
    <s v="G223629612"/>
    <x v="2"/>
    <n v="6"/>
    <n v="5"/>
    <n v="400"/>
    <n v="1300000"/>
    <n v="3250"/>
    <n v="1300000"/>
    <s v="فيلا للبيع في  العريجاء الوسطى، غرب الرياض"/>
    <s v="العريجاء الوسطى، غرب الرياض، الرياض"/>
    <x v="3"/>
    <s v="حي العريجاء الوسطى"/>
    <s v="الرياض"/>
    <s v="مشاورات العقارية"/>
  </r>
  <r>
    <s v="V135067827"/>
    <x v="0"/>
    <n v="4"/>
    <n v="3"/>
    <n v="147"/>
    <n v="1300000"/>
    <n v="8843.5374149659856"/>
    <n v="1300000"/>
    <s v="شقة للبيع في الملقا، شمال الرياض"/>
    <s v="الملقا، شمال الرياض، الرياض"/>
    <x v="4"/>
    <s v="حي الملقا"/>
    <s v="الرياض"/>
    <s v="شركة العمار العقارية"/>
  </r>
  <r>
    <s v="Z294015226"/>
    <x v="2"/>
    <n v="3"/>
    <n v="5"/>
    <n v="237"/>
    <n v="1300000"/>
    <n v="5485.2320675105484"/>
    <n v="1300000"/>
    <s v="فيلا للبيع في  الرمال، شرق الرياض"/>
    <s v="الرمال، شرق الرياض، الرياض"/>
    <x v="0"/>
    <s v="حي الرمال"/>
    <s v="الرياض"/>
    <s v="​فردي / مالك"/>
  </r>
  <r>
    <s v="E397200880"/>
    <x v="3"/>
    <n v="3"/>
    <n v="3"/>
    <n v="149"/>
    <n v="1300000"/>
    <n v="8724.8322147651015"/>
    <n v="1300000"/>
    <s v="دور للبيع في المونسية، شرق الرياض"/>
    <s v="المونسية، شرق الرياض، الرياض"/>
    <x v="0"/>
    <s v="حي المونسية"/>
    <s v="الرياض"/>
    <s v="مؤسسة وسام المساكن العقارية"/>
  </r>
  <r>
    <s v="R397200880"/>
    <x v="3"/>
    <n v="3"/>
    <n v="3"/>
    <n v="149"/>
    <n v="1300000"/>
    <n v="8724.8322147651015"/>
    <n v="1300000"/>
    <s v="دور للبيع في المونسية، شرق الرياض"/>
    <s v="المونسية، شرق الرياض، الرياض"/>
    <x v="0"/>
    <s v="حي المونسية"/>
    <s v="الرياض"/>
    <s v="مؤسسة وسام المساكن العقارية"/>
  </r>
  <r>
    <s v="U687139166"/>
    <x v="0"/>
    <n v="6"/>
    <n v="4"/>
    <n v="232"/>
    <n v="1300000"/>
    <n v="5603.4482758620688"/>
    <n v="1300000"/>
    <s v="شقق تمليك للبيع في ظهرة لبن، الرياض"/>
    <s v="ظهرة لبن، غرب الرياض، الرياض"/>
    <x v="3"/>
    <s v="حي ظهرة لبن"/>
    <s v="الرياض"/>
    <s v="​فردي / مالك"/>
  </r>
  <r>
    <s v="U652509563"/>
    <x v="2"/>
    <n v="8"/>
    <n v="6"/>
    <n v="250"/>
    <n v="1300000"/>
    <n v="5200"/>
    <n v="1300000"/>
    <s v="فيلا للبيع في طويق، غرب الرياض"/>
    <s v="طويق، غرب الرياض، الرياض"/>
    <x v="3"/>
    <s v="حي طويق"/>
    <s v="الرياض"/>
    <s v="مكتب الاحمدي للعقارات"/>
  </r>
  <r>
    <s v="P251393649"/>
    <x v="3"/>
    <n v="3"/>
    <n v="4"/>
    <n v="177"/>
    <n v="1300000"/>
    <n v="7344.6327683615818"/>
    <n v="1300000"/>
    <s v="دور للبيع في اليرموك، شرق الرياض"/>
    <s v="اليرموك، شرق الرياض، الرياض"/>
    <x v="0"/>
    <s v="حي اليرموك"/>
    <s v="الرياض"/>
    <s v="​فردي / مالك"/>
  </r>
  <r>
    <s v="A197120762"/>
    <x v="2"/>
    <n v="3"/>
    <n v="4"/>
    <n v="900"/>
    <n v="1300000"/>
    <n v="1444.4444444444443"/>
    <n v="1300000"/>
    <s v="فيلا للبيع في ظهرة لبن, غرب الرياض"/>
    <s v="ظهرة لبن، غرب الرياض، الرياض"/>
    <x v="3"/>
    <s v="حي ظهرة لبن"/>
    <s v="الرياض"/>
    <s v="شركة مباشر للعقارات للتسويق العقاري"/>
  </r>
  <r>
    <s v="A494818846"/>
    <x v="2"/>
    <n v="6"/>
    <n v="5"/>
    <n v="375"/>
    <n v="1300000"/>
    <n v="3466.6666666666665"/>
    <n v="1300000"/>
    <s v="فيلا للبيع في بدر, جنوب الرياض"/>
    <s v="بدر، جنوب الرياض، الرياض"/>
    <x v="1"/>
    <s v="حي بدر"/>
    <s v="الرياض"/>
    <s v="مكتب حكاية التميز للعقارات"/>
  </r>
  <r>
    <s v="P020159083"/>
    <x v="0"/>
    <n v="3"/>
    <n v="3"/>
    <n v="123"/>
    <n v="1300000"/>
    <n v="10569.105691056911"/>
    <n v="1300000"/>
    <s v="شقة للبيع في حي الياسمين، شمال الرياض"/>
    <s v="الياسمين، شمال الرياض، الرياض"/>
    <x v="4"/>
    <s v="حي الياسمين"/>
    <s v="الرياض"/>
    <s v="مساكن ركاز للعقارات"/>
  </r>
  <r>
    <s v="G240563651"/>
    <x v="2"/>
    <n v="8"/>
    <n v="6"/>
    <n v="250"/>
    <n v="1300000"/>
    <n v="5200"/>
    <n v="1300000"/>
    <s v="فيلا للبيع في طويق, غرب الرياض"/>
    <s v="طويق، غرب الرياض، الرياض"/>
    <x v="3"/>
    <s v="حي طويق"/>
    <s v="الرياض"/>
    <s v="مكتب الاحمدي للعقارات"/>
  </r>
  <r>
    <s v="P638116100"/>
    <x v="2"/>
    <n v="5"/>
    <n v="5"/>
    <n v="500"/>
    <n v="1300000"/>
    <n v="2600"/>
    <n v="1300000"/>
    <s v="فيلا للبيع حي السويدي, غرب الرياض"/>
    <s v="السويدي، غرب الرياض، الرياض"/>
    <x v="3"/>
    <s v="حي السويدي"/>
    <s v="الرياض"/>
    <s v="​فردي / مالك"/>
  </r>
  <r>
    <s v="R219208366"/>
    <x v="3"/>
    <n v="3"/>
    <n v="4"/>
    <n v="236"/>
    <n v="1300000"/>
    <n v="5508.4745762711864"/>
    <n v="1300000"/>
    <s v="دور للبيع في الرمال، شرق الرياض"/>
    <s v="الرمال، شرق الرياض، الرياض"/>
    <x v="0"/>
    <s v="حي الرمال"/>
    <s v="الرياض"/>
    <s v="مؤسسة وسام المساكن العقارية"/>
  </r>
  <r>
    <s v="K435466071"/>
    <x v="0"/>
    <n v="4"/>
    <n v="4"/>
    <n v="145"/>
    <n v="1325000"/>
    <n v="9137.9310344827591"/>
    <n v="1325000"/>
    <s v="شقة 4 غرف نوم للبيع في العارض، الرياض"/>
    <s v="العارض، شمال الرياض، الرياض"/>
    <x v="4"/>
    <s v="حي العارض"/>
    <s v="الرياض"/>
    <s v="​فردي / مالك"/>
  </r>
  <r>
    <s v="Q482655125"/>
    <x v="1"/>
    <n v="0"/>
    <n v="0"/>
    <n v="360"/>
    <n v="1332000"/>
    <n v="3700"/>
    <n v="1332000"/>
    <s v="أرض للبيع في  الرمال، شرق الرياض"/>
    <s v="الرمال، شرق الرياض، الرياض"/>
    <x v="0"/>
    <s v="حي الرمال"/>
    <s v="الرياض"/>
    <s v="شركة قمم نجد العقارية"/>
  </r>
  <r>
    <s v="G066192381"/>
    <x v="3"/>
    <n v="4"/>
    <n v="3"/>
    <n v="3098"/>
    <n v="1350000"/>
    <n v="435.7650096836669"/>
    <n v="1350000"/>
    <s v="دور علوي مودرن للبيع - مشروع ذا بارك"/>
    <s v="الربوة، وسط الرياض، الرياض"/>
    <x v="2"/>
    <s v="حي الربوة"/>
    <s v="الرياض"/>
    <s v="مساكن ركاز للعقارات"/>
  </r>
  <r>
    <s v="M225406323"/>
    <x v="0"/>
    <n v="4"/>
    <n v="3"/>
    <n v="137"/>
    <n v="1350000"/>
    <n v="9854.0145985401468"/>
    <n v="1350000"/>
    <s v="شقة للبيع في الوادي، شمال الرياض"/>
    <s v="الوادي، شمال الرياض، الرياض"/>
    <x v="4"/>
    <s v="حي الوادي"/>
    <s v="الرياض"/>
    <s v="​فردي / مالك"/>
  </r>
  <r>
    <s v="Q411091119"/>
    <x v="0"/>
    <n v="4"/>
    <n v="4"/>
    <n v="176"/>
    <n v="1350000"/>
    <n v="7670.454545454545"/>
    <n v="1350000"/>
    <s v="شقة للبيع في النرجس، شمال الرياض"/>
    <s v="النرجس، شمال الرياض، الرياض"/>
    <x v="4"/>
    <s v="حي النرجس"/>
    <s v="الرياض"/>
    <s v="​فردي / مالك"/>
  </r>
  <r>
    <s v="S299562700"/>
    <x v="2"/>
    <n v="6"/>
    <n v="4"/>
    <n v="330"/>
    <n v="1350000"/>
    <n v="4090.909090909091"/>
    <n v="1350000"/>
    <s v="فيلا تاون هاوس - الرياض - حي الرمال"/>
    <s v="الرمال، شرق الرياض، الرياض"/>
    <x v="0"/>
    <s v="حي الرمال"/>
    <s v="الرياض"/>
    <s v="إسكان سلمان للتسويق العقاري"/>
  </r>
  <r>
    <s v="I059721170"/>
    <x v="0"/>
    <n v="3"/>
    <n v="3"/>
    <n v="100"/>
    <n v="1350000"/>
    <n v="13500"/>
    <n v="1350000"/>
    <s v="شقة فاخرة للبيع في الياسمين، شمال الرياض"/>
    <s v="الياسمين، شمال الرياض، الرياض"/>
    <x v="4"/>
    <s v="حي الياسمين"/>
    <s v="الرياض"/>
    <s v="​فردي / مالك"/>
  </r>
  <r>
    <s v="O072972509"/>
    <x v="3"/>
    <n v="3"/>
    <n v="3"/>
    <n v="188"/>
    <n v="1350000"/>
    <n v="7180.8510638297876"/>
    <n v="1350000"/>
    <s v="دور للبيع في المونسية، شرق الرياض"/>
    <s v="المونسية، شرق الرياض، الرياض"/>
    <x v="0"/>
    <s v="حي المونسية"/>
    <s v="الرياض"/>
    <s v="سكن المعالي للعقارات"/>
  </r>
  <r>
    <s v="I514829571"/>
    <x v="0"/>
    <n v="3"/>
    <n v="3"/>
    <n v="3150"/>
    <n v="1365000"/>
    <n v="433.33333333333331"/>
    <n v="1365000"/>
    <s v="شقة للبيع في العارض, شمال الرياض"/>
    <s v="العارض، شمال الرياض، الرياض"/>
    <x v="4"/>
    <s v="حي العارض"/>
    <s v="الرياض"/>
    <s v="شركة رفاه العقارية"/>
  </r>
  <r>
    <s v="A405087401"/>
    <x v="4"/>
    <n v="0"/>
    <n v="0"/>
    <n v="750"/>
    <n v="1369000"/>
    <n v="1825.3333333333333"/>
    <n v="1369000"/>
    <s v="شقة للبيع في حي الملك فيصل، الرياض"/>
    <s v="الملك فيصل، شرق الرياض، الرياض"/>
    <x v="0"/>
    <s v="حي الملك فيصل"/>
    <s v="الرياض"/>
    <s v="​فردي / مالك"/>
  </r>
  <r>
    <s v="J790222674"/>
    <x v="0"/>
    <n v="3"/>
    <n v="3"/>
    <n v="141"/>
    <n v="1370000"/>
    <n v="9716.3120567375881"/>
    <n v="1370000"/>
    <s v="شقة للبيع في الحمراء، شرق الرياض"/>
    <s v="الحمراء، شرق الرياض، الرياض"/>
    <x v="0"/>
    <s v="حي الحمراء"/>
    <s v="الرياض"/>
    <s v="مكتب مسفر سفر مسفر بعيه للعقارات"/>
  </r>
  <r>
    <s v="K600054376"/>
    <x v="0"/>
    <n v="4"/>
    <n v="5"/>
    <n v="216"/>
    <n v="1373000"/>
    <n v="6356.4814814814818"/>
    <n v="1373000"/>
    <s v="شقة للبيع في العارض, شمال الرياض"/>
    <s v="العارض، شمال الرياض، الرياض"/>
    <x v="4"/>
    <s v="حي العارض"/>
    <s v="الرياض"/>
    <s v="مؤسسة وسام المساكن العقارية"/>
  </r>
  <r>
    <s v="H361283961"/>
    <x v="0"/>
    <n v="3"/>
    <n v="4"/>
    <n v="216"/>
    <n v="1373000"/>
    <n v="6356.4814814814818"/>
    <n v="1373000"/>
    <s v="شقة للبيع في العارض، شمال الرياض"/>
    <s v="العارض، شمال الرياض، الرياض"/>
    <x v="4"/>
    <s v="حي العارض"/>
    <s v="الرياض"/>
    <s v="مؤسسة وسام المساكن العقارية"/>
  </r>
  <r>
    <s v="O772531484"/>
    <x v="0"/>
    <n v="4"/>
    <n v="4"/>
    <n v="212"/>
    <n v="1380000"/>
    <n v="6509.433962264151"/>
    <n v="1380000"/>
    <s v="شقة للبيع في شارع اسطنبول، الفيحاء، الرياض"/>
    <s v="الفيحاء، شرق الرياض، الرياض"/>
    <x v="0"/>
    <s v="حي الفيحاء"/>
    <s v="الرياض"/>
    <s v="​فردي / مالك"/>
  </r>
  <r>
    <s v="H313021702"/>
    <x v="0"/>
    <n v="3"/>
    <n v="2"/>
    <n v="96"/>
    <n v="1389000"/>
    <n v="14468.75"/>
    <n v="1389000"/>
    <s v="شقة للبيع في المغرزات، شمال الرياض"/>
    <s v="المغرزات، شمال الرياض، الرياض"/>
    <x v="4"/>
    <s v="حي المغرزات"/>
    <s v="الرياض"/>
    <s v="شركة مسكن الين العقارية"/>
  </r>
  <r>
    <s v="Q663791159"/>
    <x v="0"/>
    <n v="2"/>
    <n v="2"/>
    <n v="100"/>
    <n v="1395000"/>
    <n v="13950"/>
    <n v="1395000"/>
    <s v="شقة للبيع في النخيل، شمال الرياض"/>
    <s v="النخيل، شمال الرياض، الرياض"/>
    <x v="4"/>
    <s v="حي النخيل"/>
    <s v="الرياض"/>
    <s v="​فردي / مالك"/>
  </r>
  <r>
    <s v="X929687146"/>
    <x v="0"/>
    <n v="3"/>
    <n v="2"/>
    <n v="96"/>
    <n v="1399000"/>
    <n v="14572.916666666666"/>
    <n v="1399000"/>
    <s v="شقة للبيع في المغرزات، شمال الرياض"/>
    <s v="المغرزات، شمال الرياض، الرياض"/>
    <x v="4"/>
    <s v="حي المغرزات"/>
    <s v="الرياض"/>
    <s v="شركة مسكن الين العقارية"/>
  </r>
  <r>
    <s v="Y929687146"/>
    <x v="0"/>
    <n v="3"/>
    <n v="2"/>
    <n v="96"/>
    <n v="1399000"/>
    <n v="14572.916666666666"/>
    <n v="1399000"/>
    <s v="شقة للبيع في المغرزات، شمال الرياض"/>
    <s v="المغرزات، شمال الرياض، الرياض"/>
    <x v="4"/>
    <s v="حي المغرزات"/>
    <s v="الرياض"/>
    <s v="شركة مسكن الين العقارية"/>
  </r>
  <r>
    <s v="S544792154"/>
    <x v="0"/>
    <n v="4"/>
    <n v="2"/>
    <n v="116"/>
    <n v="1399000"/>
    <n v="12060.344827586207"/>
    <n v="1399000"/>
    <s v=" مشروع شقق فاخرة في حي الإزدهار - الرياض "/>
    <s v="الازدهار، شرق الرياض، الرياض"/>
    <x v="0"/>
    <s v="حي الازدهار"/>
    <s v="الرياض"/>
    <s v="​فردي / مالك"/>
  </r>
  <r>
    <s v="V461137668"/>
    <x v="1"/>
    <n v="0"/>
    <n v="0"/>
    <n v="410"/>
    <n v="1400000"/>
    <n v="3414.6341463414633"/>
    <n v="1400000"/>
    <s v="أرض للبيع في العمل, وسط الرياض"/>
    <s v="العمل، وسط الرياض، الرياض"/>
    <x v="2"/>
    <s v="حي العمل"/>
    <s v="الرياض"/>
    <s v="مكتب صالح بن علي بن عبدالله النجيدي للعقارات"/>
  </r>
  <r>
    <s v="J999964920"/>
    <x v="2"/>
    <n v="3"/>
    <n v="2"/>
    <n v="440"/>
    <n v="1400000"/>
    <n v="3181.818181818182"/>
    <n v="1400000"/>
    <s v=" فيلا درج داخلي رائعة للبيع "/>
    <s v="الجنادرية، شرق الرياض، الرياض"/>
    <x v="0"/>
    <s v="حي الجنادرية"/>
    <s v="الرياض"/>
    <s v="​فردي / مالك"/>
  </r>
  <r>
    <s v="Q872661811"/>
    <x v="5"/>
    <n v="2"/>
    <n v="1"/>
    <n v="449"/>
    <n v="1400000"/>
    <n v="3118.0400890868596"/>
    <n v="1400000"/>
    <s v="استراحة للبيع في شارع حوصاء, حي نمار, مدينة الرياض, منطقة الرياض"/>
    <s v="نمار، غرب الرياض، الرياض"/>
    <x v="3"/>
    <s v="حي نمار"/>
    <s v="الرياض"/>
    <s v="مكتب خالد صالح عبدالله العيد للتطوير والاستثمار العقاري"/>
  </r>
  <r>
    <s v="L640495261"/>
    <x v="3"/>
    <n v="6"/>
    <n v="5"/>
    <n v="185"/>
    <n v="1400000"/>
    <n v="7567.5675675675675"/>
    <n v="1400000"/>
    <s v="دور للبيع في المونسية، شرق الرياض"/>
    <s v="المونسية، شرق الرياض، الرياض"/>
    <x v="0"/>
    <s v="حي المونسية"/>
    <s v="الرياض"/>
    <s v="سكن المعالي للعقارات"/>
  </r>
  <r>
    <s v="Z426924247"/>
    <x v="3"/>
    <n v="5"/>
    <n v="4"/>
    <n v="305"/>
    <n v="1400000"/>
    <n v="4590.1639344262294"/>
    <n v="1400000"/>
    <s v="دو أرضي للبيع في القادسية، شرق الرياض"/>
    <s v="القادسية، شرق الرياض، الرياض"/>
    <x v="0"/>
    <s v="حي القادسية"/>
    <s v="الرياض"/>
    <s v="سكن المعالي للعقارات"/>
  </r>
  <r>
    <s v="Q455701869"/>
    <x v="3"/>
    <n v="3"/>
    <n v="5"/>
    <n v="186"/>
    <n v="1400000"/>
    <n v="7526.8817204301076"/>
    <n v="1400000"/>
    <s v="دور للبيع في النرجس, شمال الرياض"/>
    <s v="النرجس، شمال الرياض، الرياض"/>
    <x v="4"/>
    <s v="حي النرجس"/>
    <s v="الرياض"/>
    <s v="​فردي / مالك"/>
  </r>
  <r>
    <s v="Z640314352"/>
    <x v="3"/>
    <n v="4"/>
    <n v="3"/>
    <n v="550"/>
    <n v="1400000"/>
    <n v="2545.4545454545455"/>
    <n v="1400000"/>
    <s v="دور للبيع في العارض، شمال الرياض"/>
    <s v="العارض، شمال الرياض، الرياض"/>
    <x v="4"/>
    <s v="حي العارض"/>
    <s v="الرياض"/>
    <s v="​فردي / مالك"/>
  </r>
  <r>
    <s v="Q898506068"/>
    <x v="3"/>
    <n v="4"/>
    <n v="4"/>
    <n v="305"/>
    <n v="1400000"/>
    <n v="4590.1639344262294"/>
    <n v="1400000"/>
    <s v="دور أرضي مودرن للبيع في القادسية، شرق الرياض"/>
    <s v="القادسية، شرق الرياض، الرياض"/>
    <x v="0"/>
    <s v="حي القادسية"/>
    <s v="الرياض"/>
    <s v="سكن المعالي للعقارات"/>
  </r>
  <r>
    <s v="I030523459"/>
    <x v="3"/>
    <n v="4"/>
    <n v="3"/>
    <n v="305"/>
    <n v="1400000"/>
    <n v="4590.1639344262294"/>
    <n v="1400000"/>
    <s v="دور للبيع في القادسية, شرق الرياض"/>
    <s v="القادسية، شرق الرياض، الرياض"/>
    <x v="0"/>
    <s v="حي القادسية"/>
    <s v="الرياض"/>
    <s v="​فردي / مالك"/>
  </r>
  <r>
    <s v="L352608984"/>
    <x v="0"/>
    <n v="3"/>
    <n v="3"/>
    <n v="134"/>
    <n v="1400000"/>
    <n v="10447.76119402985"/>
    <n v="1400000"/>
    <s v="شقة للبيع في الملقا، شمال الرياض"/>
    <s v="الملقا، شمال الرياض، الرياض"/>
    <x v="4"/>
    <s v="حي الملقا"/>
    <s v="الرياض"/>
    <s v="​فردي / مالك"/>
  </r>
  <r>
    <s v="P147925273"/>
    <x v="3"/>
    <n v="5"/>
    <n v="6"/>
    <n v="305"/>
    <n v="1400000"/>
    <n v="4590.1639344262294"/>
    <n v="1400000"/>
    <s v="دور أرضي للبيع في القادسية، شرق الرياض"/>
    <s v="القادسية، شرق الرياض، الرياض"/>
    <x v="0"/>
    <s v="حي القادسية"/>
    <s v="الرياض"/>
    <s v="سكن المعالي للعقارات"/>
  </r>
  <r>
    <s v="C265882765"/>
    <x v="0"/>
    <n v="3"/>
    <n v="3"/>
    <n v="140"/>
    <n v="1420000"/>
    <n v="10142.857142857143"/>
    <n v="1420000"/>
    <s v="شقة للبيع في عرقة، غرب الرياض"/>
    <s v="عرقة، غرب الرياض، الرياض"/>
    <x v="3"/>
    <s v="حي عرقة"/>
    <s v="الرياض"/>
    <s v="شركة دياري للتطوير العقاري"/>
  </r>
  <r>
    <s v="Z498314412"/>
    <x v="1"/>
    <n v="0"/>
    <n v="0"/>
    <n v="756"/>
    <n v="1879"/>
    <n v="1879"/>
    <n v="1420524"/>
    <s v="ارض للبيع في شمال الرياض"/>
    <s v="الرياض"/>
    <x v="4"/>
    <s v="حي الرياض"/>
    <s v="الرياض"/>
    <s v="​فردي / مالك"/>
  </r>
  <r>
    <s v="O424839322"/>
    <x v="3"/>
    <n v="4"/>
    <n v="4"/>
    <n v="214"/>
    <n v="1430000"/>
    <n v="6682.2429906542056"/>
    <n v="1430000"/>
    <s v="دور للبيع في العارض، شمال الرياض"/>
    <s v="العارض، شمال الرياض، الرياض"/>
    <x v="4"/>
    <s v="حي العارض"/>
    <s v="الرياض"/>
    <s v="مؤسسة منازل النرجس للتطوير العقاري"/>
  </r>
  <r>
    <s v="Y661799468"/>
    <x v="2"/>
    <n v="3"/>
    <n v="4"/>
    <n v="300"/>
    <n v="1440000"/>
    <n v="4800"/>
    <n v="1440000"/>
    <s v="فيلا للبيع في الحزم، غرب الرياض"/>
    <s v="الحزم، غرب الرياض، الرياض"/>
    <x v="3"/>
    <s v="حي الحزم"/>
    <s v="الرياض"/>
    <s v="السليمان للعقارات"/>
  </r>
  <r>
    <s v="L680464272"/>
    <x v="3"/>
    <n v="4"/>
    <n v="6"/>
    <n v="540"/>
    <n v="1450000"/>
    <n v="2685.1851851851852"/>
    <n v="1450000"/>
    <s v="دور للبيع في المونسية، شرق الرياض"/>
    <s v="المونسية، شرق الرياض، الرياض"/>
    <x v="0"/>
    <s v="حي المونسية"/>
    <s v="الرياض"/>
    <s v="مؤسسة وسام المساكن العقارية"/>
  </r>
  <r>
    <s v="D089444658"/>
    <x v="3"/>
    <n v="4"/>
    <n v="4"/>
    <n v="3098"/>
    <n v="1450000"/>
    <n v="468.04389928986444"/>
    <n v="1450000"/>
    <s v="الطابق الأرضي للبيع في حي ربوة، الرياض"/>
    <s v="الربوة، وسط الرياض، الرياض"/>
    <x v="2"/>
    <s v="حي الربوة"/>
    <s v="الرياض"/>
    <s v="مساكن ركاز للعقارات"/>
  </r>
  <r>
    <s v="W778427702"/>
    <x v="3"/>
    <n v="3"/>
    <n v="4"/>
    <n v="540"/>
    <n v="1450000"/>
    <n v="2685.1851851851852"/>
    <n v="1450000"/>
    <s v="دور للبيع في المونسية، شرق الرياض"/>
    <s v="المونسية، شرق الرياض، الرياض"/>
    <x v="0"/>
    <s v="حي المونسية"/>
    <s v="الرياض"/>
    <s v="مؤسسة وسام المساكن العقارية"/>
  </r>
  <r>
    <s v="Z584436597"/>
    <x v="3"/>
    <n v="4"/>
    <n v="5"/>
    <n v="305"/>
    <n v="1450000"/>
    <n v="4754.0983606557375"/>
    <n v="1450000"/>
    <s v="للبيع دور علوي تاون هاوس ممتاز القادسيه"/>
    <s v="القادسية، شرق الرياض، الرياض"/>
    <x v="0"/>
    <s v="حي القادسية"/>
    <s v="الرياض"/>
    <s v="سكن المعالي للعقارات"/>
  </r>
  <r>
    <s v="N362550709"/>
    <x v="0"/>
    <n v="3"/>
    <n v="4"/>
    <n v="137"/>
    <n v="1450000"/>
    <n v="10583.941605839416"/>
    <n v="1450000"/>
    <s v="شقة للبيع في الملقا، شمال الرياض"/>
    <s v="الملقا، شمال الرياض، الرياض"/>
    <x v="4"/>
    <s v="حي الملقا"/>
    <s v="الرياض"/>
    <s v="مؤسسة موطن العاصمة للخدمات التجارية"/>
  </r>
  <r>
    <s v="X434800588"/>
    <x v="2"/>
    <n v="4"/>
    <n v="4"/>
    <n v="252"/>
    <n v="1450000"/>
    <n v="5753.9682539682535"/>
    <n v="1450000"/>
    <s v="فيلا للبيع في  الرمال، شرق الرياض"/>
    <s v="الرمال، شرق الرياض، الرياض"/>
    <x v="0"/>
    <s v="حي الرمال"/>
    <s v="الرياض"/>
    <s v="​فردي / مالك"/>
  </r>
  <r>
    <s v="S687444572"/>
    <x v="3"/>
    <n v="6"/>
    <n v="6"/>
    <n v="260"/>
    <n v="1450000"/>
    <n v="5576.9230769230771"/>
    <n v="1450000"/>
    <s v="6 غرف نوم دور للبيع في الرمال، الرياض"/>
    <s v="الرمال، شرق الرياض، الرياض"/>
    <x v="0"/>
    <s v="حي الرمال"/>
    <s v="الرياض"/>
    <s v="شركة قصر الرقي العقارية"/>
  </r>
  <r>
    <s v="H708646319"/>
    <x v="3"/>
    <n v="3"/>
    <n v="3"/>
    <n v="260"/>
    <n v="1450000"/>
    <n v="5576.9230769230771"/>
    <n v="1450000"/>
    <s v="دور للبيع في حي الرمال، شرق الرياض"/>
    <s v="الرمال، شرق الرياض، الرياض"/>
    <x v="0"/>
    <s v="حي الرمال"/>
    <s v="الرياض"/>
    <s v="شركة قصر الرقي العقارية"/>
  </r>
  <r>
    <s v="Z423786566"/>
    <x v="3"/>
    <n v="3"/>
    <n v="3"/>
    <n v="260"/>
    <n v="1450000"/>
    <n v="5576.9230769230771"/>
    <n v="1450000"/>
    <s v="دور للبيع في الرمال، شرق الرياض"/>
    <s v="الرمال، شرق الرياض، الرياض"/>
    <x v="0"/>
    <s v="حي الرمال"/>
    <s v="الرياض"/>
    <s v="شركة قصر الرقي العقارية"/>
  </r>
  <r>
    <s v="R253138888"/>
    <x v="1"/>
    <n v="0"/>
    <n v="0"/>
    <n v="1123"/>
    <n v="1459900"/>
    <n v="1300"/>
    <n v="1459900"/>
    <s v="أرض سكنية للبيع في المصفاة، جنوب الرياض"/>
    <s v="المصفاة، جنوب الرياض، الرياض"/>
    <x v="1"/>
    <s v="حي المصفاة"/>
    <s v="الرياض"/>
    <s v="​فردي / مالك"/>
  </r>
  <r>
    <s v="T760159708"/>
    <x v="2"/>
    <n v="4"/>
    <n v="3"/>
    <n v="179"/>
    <n v="1460625"/>
    <n v="8159.9162011173185"/>
    <n v="1460625"/>
    <s v="فيلا للبيع في النرجس, شمال الرياض"/>
    <s v="النرجس، شمال الرياض، الرياض"/>
    <x v="4"/>
    <s v="حي النرجس"/>
    <s v="الرياض"/>
    <s v="شركة راكز العقارية"/>
  </r>
  <r>
    <s v="N703783545"/>
    <x v="2"/>
    <n v="5"/>
    <n v="3"/>
    <n v="289"/>
    <n v="1470000"/>
    <n v="5086.505190311419"/>
    <n v="1470000"/>
    <s v="  للبيع فيلا الأحلام مع شقة مستقلة في مخطط بوابة الشرق  "/>
    <s v="الجنادرية، شرق الرياض، الرياض"/>
    <x v="0"/>
    <s v="حي الجنادرية"/>
    <s v="الرياض"/>
    <s v="شركة قمة الوطن العقارية"/>
  </r>
  <r>
    <s v="J267358506"/>
    <x v="3"/>
    <n v="3"/>
    <n v="3"/>
    <n v="750"/>
    <n v="1499000"/>
    <n v="1998.6666666666667"/>
    <n v="1499000"/>
    <s v="دور للبيع في التعاون، شمال الرياض"/>
    <s v="التعاون، شمال الرياض، الرياض"/>
    <x v="4"/>
    <s v="حي التعاون"/>
    <s v="الرياض"/>
    <s v="شركة مسكن الين العقارية"/>
  </r>
  <r>
    <s v="U316526741"/>
    <x v="3"/>
    <n v="3"/>
    <n v="3"/>
    <n v="143"/>
    <n v="1499000"/>
    <n v="10482.517482517482"/>
    <n v="1499000"/>
    <s v="دور للبيع في حي الازدهار، شرق الرياض"/>
    <s v="الازدهار، شرق الرياض، الرياض"/>
    <x v="0"/>
    <s v="حي الازدهار"/>
    <s v="الرياض"/>
    <s v="شركة مسكن الين العقارية"/>
  </r>
  <r>
    <s v="E422920763"/>
    <x v="0"/>
    <n v="1"/>
    <n v="1"/>
    <n v="93"/>
    <n v="1500000"/>
    <n v="16129.032258064517"/>
    <n v="1500000"/>
    <s v="شقة استوديو للبيع في العليا، الرياض"/>
    <s v="العليا، شمال الرياض، الرياض"/>
    <x v="4"/>
    <s v="حي العليا"/>
    <s v="الرياض"/>
    <s v="صلة العقارية"/>
  </r>
  <r>
    <s v="W758051952"/>
    <x v="3"/>
    <n v="3"/>
    <n v="3"/>
    <n v="550"/>
    <n v="1500000"/>
    <n v="2727.2727272727275"/>
    <n v="1500000"/>
    <s v="دور للبيع في العارض، شمال الرياض"/>
    <s v="العارض، شمال الرياض، الرياض"/>
    <x v="4"/>
    <s v="حي العارض"/>
    <s v="الرياض"/>
    <s v="​فردي / مالك"/>
  </r>
  <r>
    <s v="F654941294"/>
    <x v="0"/>
    <n v="3"/>
    <n v="2"/>
    <n v="132"/>
    <n v="1500000"/>
    <n v="11363.636363636364"/>
    <n v="1500000"/>
    <s v="شقة للبيع في العارض, شمال الرياض"/>
    <s v="العارض، شمال الرياض، الرياض"/>
    <x v="4"/>
    <s v="حي العارض"/>
    <s v="الرياض"/>
    <s v="شركة أسوار العقار للعقارات"/>
  </r>
  <r>
    <s v="Y272555791"/>
    <x v="2"/>
    <n v="5"/>
    <n v="6"/>
    <n v="274"/>
    <n v="1500000"/>
    <n v="5474.4525547445255"/>
    <n v="1500000"/>
    <s v="فيلا للبيع في الرمال، شرق الرياض"/>
    <s v="الرمال، شرق الرياض، الرياض"/>
    <x v="0"/>
    <s v="حي الرمال"/>
    <s v="الرياض"/>
    <s v="شركة أسس المسكن للعقارات"/>
  </r>
  <r>
    <s v="V473330130"/>
    <x v="0"/>
    <n v="4"/>
    <n v="3"/>
    <n v="216"/>
    <n v="1500000"/>
    <n v="6944.4444444444443"/>
    <n v="1500000"/>
    <s v="للبيع بنتهاوس في  حي المونسية شرق الرياض"/>
    <s v="المونسية، شرق الرياض، الرياض"/>
    <x v="0"/>
    <s v="حي المونسية"/>
    <s v="الرياض"/>
    <s v="​فردي / مالك"/>
  </r>
  <r>
    <s v="Z360408682"/>
    <x v="4"/>
    <n v="11"/>
    <n v="11"/>
    <n v="150"/>
    <n v="1500000"/>
    <n v="10000"/>
    <n v="1500000"/>
    <s v="عمارة سكنية للبيع في المعذر, غرب الرياض"/>
    <s v="المعذر، غرب الرياض، الرياض"/>
    <x v="3"/>
    <s v="حي المعذر"/>
    <s v="الرياض"/>
    <s v="شركة الوديان العربيه للتطوير العقاري"/>
  </r>
  <r>
    <s v="A488911087"/>
    <x v="0"/>
    <n v="5"/>
    <n v="3"/>
    <n v="5408"/>
    <n v="1500000"/>
    <n v="277.36686390532543"/>
    <n v="1500000"/>
    <s v="شقة 5 غرف نوم للبيع في المونسية ، الرياض"/>
    <s v="المونسية، شرق الرياض، الرياض"/>
    <x v="0"/>
    <s v="حي المونسية"/>
    <s v="الرياض"/>
    <s v="​فردي / مالك"/>
  </r>
  <r>
    <s v="F039171964"/>
    <x v="2"/>
    <n v="8"/>
    <n v="4"/>
    <n v="342"/>
    <n v="1500000"/>
    <n v="4385.9649122807014"/>
    <n v="1500000"/>
    <s v="فيلا للبيع في نسيم الشرقي، الرياض"/>
    <s v="النسيم الشرقي، شرق الرياض، الرياض"/>
    <x v="0"/>
    <s v="حي النسيم الشرقي"/>
    <s v="الرياض"/>
    <s v="​فردي / مالك"/>
  </r>
  <r>
    <s v="D951853338"/>
    <x v="2"/>
    <n v="7"/>
    <n v="7"/>
    <n v="375"/>
    <n v="1500000"/>
    <n v="4000"/>
    <n v="1500000"/>
    <s v="فيلا للبيع في حي العزيزية، جنوب الرياض"/>
    <s v="العزيزية، جنوب الرياض، الرياض"/>
    <x v="1"/>
    <s v="حي العزيزية"/>
    <s v="الرياض"/>
    <s v="مكتب الاحمدي للعقارات"/>
  </r>
  <r>
    <s v="O938392991"/>
    <x v="3"/>
    <n v="3"/>
    <n v="3"/>
    <n v="186"/>
    <n v="1500000"/>
    <n v="8064.5161290322585"/>
    <n v="1500000"/>
    <s v="دور للبيع في النرجس, شمال الرياض"/>
    <s v="النرجس، شمال الرياض، الرياض"/>
    <x v="4"/>
    <s v="حي النرجس"/>
    <s v="الرياض"/>
    <s v="​فردي / مالك"/>
  </r>
  <r>
    <s v="V776890403"/>
    <x v="2"/>
    <n v="7"/>
    <n v="7"/>
    <n v="360"/>
    <n v="1500000"/>
    <n v="4166.666666666667"/>
    <n v="1500000"/>
    <s v="فله للبيع في نمار، الرياض"/>
    <s v="نمار، غرب الرياض، الرياض"/>
    <x v="3"/>
    <s v="حي نمار"/>
    <s v="الرياض"/>
    <s v="مكتب الاحمدي للعقارات"/>
  </r>
  <r>
    <s v="Y556014754"/>
    <x v="2"/>
    <n v="7"/>
    <n v="5"/>
    <n v="625"/>
    <n v="1500000"/>
    <n v="2400"/>
    <n v="1500000"/>
    <s v="فيلا للبيع في العريجاء الوسطى، غرب الرياض"/>
    <s v="العريجاء الوسطى، غرب الرياض، الرياض"/>
    <x v="3"/>
    <s v="حي العريجاء الوسطى"/>
    <s v="الرياض"/>
    <s v="مسكن ومغنم العقارية"/>
  </r>
  <r>
    <s v="A369090922"/>
    <x v="3"/>
    <n v="3"/>
    <n v="3"/>
    <n v="241"/>
    <n v="1500000"/>
    <n v="6224.0663900414938"/>
    <n v="1500000"/>
    <s v="دور للبيع في الرمال، شرق الرياض"/>
    <s v="الرمال، شرق الرياض، الرياض"/>
    <x v="0"/>
    <s v="حي الرمال"/>
    <s v="الرياض"/>
    <s v="مؤسسة وسام المساكن العقارية"/>
  </r>
  <r>
    <s v="Q810378960"/>
    <x v="3"/>
    <n v="3"/>
    <n v="3"/>
    <n v="242"/>
    <n v="1500000"/>
    <n v="6198.3471074380168"/>
    <n v="1500000"/>
    <s v="تاون هاوس علوي فاخر للبيع في الرمال، شرق الرياض"/>
    <s v="الرمال، شرق الرياض، الرياض"/>
    <x v="0"/>
    <s v="حي الرمال"/>
    <s v="الرياض"/>
    <s v="​فردي / مالك"/>
  </r>
  <r>
    <s v="Y154750132"/>
    <x v="3"/>
    <n v="4"/>
    <n v="4"/>
    <n v="621"/>
    <n v="1500000"/>
    <n v="2415.4589371980678"/>
    <n v="1500000"/>
    <s v="دور للبيع في المونسية، شرق الرياض"/>
    <s v="المونسية، شرق الرياض، الرياض"/>
    <x v="0"/>
    <s v="حي المونسية"/>
    <s v="الرياض"/>
    <s v="مؤسسة وسام المساكن العقارية"/>
  </r>
  <r>
    <s v="N481293421"/>
    <x v="3"/>
    <n v="4"/>
    <n v="4"/>
    <n v="621"/>
    <n v="1500000"/>
    <n v="2415.4589371980678"/>
    <n v="1500000"/>
    <s v="دور أرضي فاخر للبيع في المونسية، شرق الرياض"/>
    <s v="المونسية، شرق الرياض، الرياض"/>
    <x v="0"/>
    <s v="حي المونسية"/>
    <s v="الرياض"/>
    <s v="مؤسسة وسام المساكن العقارية"/>
  </r>
  <r>
    <s v="D355129692"/>
    <x v="3"/>
    <n v="3"/>
    <n v="2"/>
    <n v="621"/>
    <n v="1500000"/>
    <n v="2415.4589371980678"/>
    <n v="1500000"/>
    <s v="دور للبيع في المونسية، شرق الرياض"/>
    <s v="المونسية، شرق الرياض، الرياض"/>
    <x v="0"/>
    <s v="حي المونسية"/>
    <s v="الرياض"/>
    <s v="مؤسسة وسام المساكن العقارية"/>
  </r>
  <r>
    <s v="Y491885118"/>
    <x v="1"/>
    <n v="0"/>
    <n v="0"/>
    <n v="480"/>
    <n v="1512000"/>
    <n v="3150"/>
    <n v="1512000"/>
    <s v="أرض للبيع في  القادسية، شرق الرياض"/>
    <s v="القادسية، شرق الرياض، الرياض"/>
    <x v="0"/>
    <s v="حي القادسية"/>
    <s v="الرياض"/>
    <s v="شركة قمم نجد العقارية"/>
  </r>
  <r>
    <s v="I082104540"/>
    <x v="1"/>
    <n v="0"/>
    <n v="0"/>
    <n v="480"/>
    <n v="1512000"/>
    <n v="3150"/>
    <n v="1512000"/>
    <s v="أرض للبيع في القادسية ،شرق الرياض"/>
    <s v="القادسية، شرق الرياض، الرياض"/>
    <x v="0"/>
    <s v="حي القادسية"/>
    <s v="الرياض"/>
    <s v="​فردي / مالك"/>
  </r>
  <r>
    <s v="P709111323"/>
    <x v="0"/>
    <n v="3"/>
    <n v="3"/>
    <n v="119"/>
    <n v="1519000"/>
    <n v="12764.705882352941"/>
    <n v="1519000"/>
    <s v="شقة للبيع في المروج، شمال الرياض"/>
    <s v="المروج، شمال الرياض، الرياض"/>
    <x v="4"/>
    <s v="حي المروج"/>
    <s v="الرياض"/>
    <s v="​فردي / مالك"/>
  </r>
  <r>
    <s v="J853464113"/>
    <x v="0"/>
    <n v="3"/>
    <n v="3"/>
    <n v="157"/>
    <n v="1540000"/>
    <n v="9808.9171974522287"/>
    <n v="1540000"/>
    <s v="شقق فاخرة للبيع في  الملقا، شمال الرياض"/>
    <s v="الملقا، شمال الرياض، الرياض"/>
    <x v="4"/>
    <s v="حي الملقا"/>
    <s v="الرياض"/>
    <s v="لمسة ترف العقارية"/>
  </r>
  <r>
    <s v="Y952424837"/>
    <x v="3"/>
    <n v="3"/>
    <n v="4"/>
    <n v="171"/>
    <n v="1540000"/>
    <n v="9005.8479532163747"/>
    <n v="1540000"/>
    <s v="دور للبيع في العارض، شمال الرياض"/>
    <s v="العارض، شمال الرياض، الرياض"/>
    <x v="4"/>
    <s v="حي العارض"/>
    <s v="الرياض"/>
    <s v="شركة راكز العقارية"/>
  </r>
  <r>
    <s v="L262783085"/>
    <x v="3"/>
    <n v="2"/>
    <n v="3"/>
    <n v="296"/>
    <n v="1550000"/>
    <n v="5236.4864864864867"/>
    <n v="1550000"/>
    <s v="دور للبيع في الرمال، شرق الرياض"/>
    <s v="الرمال، شرق الرياض، الرياض"/>
    <x v="0"/>
    <s v="حي الرمال"/>
    <s v="الرياض"/>
    <s v="مؤسسة وسام المساكن العقارية"/>
  </r>
  <r>
    <s v="Q943434509"/>
    <x v="3"/>
    <n v="3"/>
    <n v="3"/>
    <n v="296"/>
    <n v="1550000"/>
    <n v="5236.4864864864867"/>
    <n v="1550000"/>
    <s v="دور للبيع في الرمال، شرق الرياض"/>
    <s v="الرمال، شرق الرياض، الرياض"/>
    <x v="0"/>
    <s v="حي الرمال"/>
    <s v="الرياض"/>
    <s v="مؤسسة وسام المساكن العقارية"/>
  </r>
  <r>
    <s v="L943434509"/>
    <x v="3"/>
    <n v="3"/>
    <n v="3"/>
    <n v="296"/>
    <n v="1550000"/>
    <n v="5236.4864864864867"/>
    <n v="1550000"/>
    <s v="دور للبيع في الرمال، شرق الرياض"/>
    <s v="الرمال، شرق الرياض، الرياض"/>
    <x v="0"/>
    <s v="حي الرمال"/>
    <s v="الرياض"/>
    <s v="مؤسسة وسام المساكن العقارية"/>
  </r>
  <r>
    <s v="L002411957"/>
    <x v="3"/>
    <n v="3"/>
    <n v="3"/>
    <n v="216"/>
    <n v="1550000"/>
    <n v="7175.9259259259261"/>
    <n v="1550000"/>
    <s v="دور للبيع في المونسية، شرق الرياض"/>
    <s v="المونسية، شرق الرياض، الرياض"/>
    <x v="0"/>
    <s v="حي المونسية"/>
    <s v="الرياض"/>
    <s v="مؤسسة وسام المساكن العقارية"/>
  </r>
  <r>
    <s v="K395176046"/>
    <x v="3"/>
    <n v="4"/>
    <n v="4"/>
    <n v="126"/>
    <n v="1560000"/>
    <n v="12380.952380952382"/>
    <n v="1560000"/>
    <s v="دور للبيع في العليا, شمال الرياض"/>
    <s v="العليا، شمال الرياض، الرياض"/>
    <x v="4"/>
    <s v="حي العليا"/>
    <s v="الرياض"/>
    <s v="شركة مباشر للعقارات للتسويق العقاري"/>
  </r>
  <r>
    <s v="L631334296"/>
    <x v="0"/>
    <n v="3"/>
    <n v="3"/>
    <n v="120"/>
    <n v="1588000"/>
    <n v="13233.333333333334"/>
    <n v="1588000"/>
    <s v="شقة فاخرة للبيع في الياسمين, شمال الرياض"/>
    <s v="الياسمين، شمال الرياض، الرياض"/>
    <x v="4"/>
    <s v="حي الياسمين"/>
    <s v="الرياض"/>
    <s v="​فردي / مالك"/>
  </r>
  <r>
    <s v="L048647177"/>
    <x v="2"/>
    <n v="9"/>
    <n v="6"/>
    <n v="312"/>
    <n v="1600000"/>
    <n v="5128.2051282051279"/>
    <n v="1600000"/>
    <s v="فيلا للبيع في طويق, غرب الرياض"/>
    <s v="طويق، غرب الرياض، الرياض"/>
    <x v="3"/>
    <s v="حي طويق"/>
    <s v="الرياض"/>
    <s v="​فردي / مالك"/>
  </r>
  <r>
    <s v="J613405667"/>
    <x v="2"/>
    <n v="5"/>
    <n v="4"/>
    <n v="560"/>
    <n v="1600000"/>
    <n v="2857.1428571428573"/>
    <n v="1600000"/>
    <s v="فيلا للبيع في  بدر، جنوب الرياض"/>
    <s v="بدر، جنوب الرياض، الرياض"/>
    <x v="1"/>
    <s v="حي بدر"/>
    <s v="الرياض"/>
    <s v="​فردي / مالك"/>
  </r>
  <r>
    <s v="P282234862"/>
    <x v="3"/>
    <n v="3"/>
    <n v="4"/>
    <n v="600"/>
    <n v="1600000"/>
    <n v="2666.6666666666665"/>
    <n v="1600000"/>
    <s v="دور للبيع في شارع عبدالوهاب عزام, حي الروابي, مدينة الرياض"/>
    <s v="الروابي، شرق الرياض، الرياض"/>
    <x v="0"/>
    <s v="حي الروابي"/>
    <s v="الرياض"/>
    <s v="مساكن ركاز للعقارات"/>
  </r>
  <r>
    <s v="H929989620"/>
    <x v="2"/>
    <n v="4"/>
    <n v="4"/>
    <n v="234"/>
    <n v="1600000"/>
    <n v="6837.6068376068379"/>
    <n v="1600000"/>
    <s v="فيلا للبيع في القادسية، شرق الرياض"/>
    <s v="القادسية، شرق الرياض، الرياض"/>
    <x v="0"/>
    <s v="حي القادسية"/>
    <s v="الرياض"/>
    <s v="​فردي / مالك"/>
  </r>
  <r>
    <s v="L738541094"/>
    <x v="2"/>
    <n v="6"/>
    <n v="4"/>
    <n v="600"/>
    <n v="1600000"/>
    <n v="2666.6666666666665"/>
    <n v="1600000"/>
    <s v="دوبليكس درج داخلي وشقة بحي الجنادرية"/>
    <s v="الجنادرية، شرق الرياض، الرياض"/>
    <x v="0"/>
    <s v="حي الجنادرية"/>
    <s v="الرياض"/>
    <s v="شركة قمة الوطن العقارية"/>
  </r>
  <r>
    <s v="M371420028"/>
    <x v="2"/>
    <n v="5"/>
    <n v="5"/>
    <n v="337"/>
    <n v="1600000"/>
    <n v="4747.7744807121662"/>
    <n v="1600000"/>
    <s v="فيلا للبيع في النظيم، شرق الرياض"/>
    <s v="النظيم، شرق الرياض، الرياض"/>
    <x v="0"/>
    <s v="حي النظيم"/>
    <s v="الرياض"/>
    <s v="​فردي / مالك"/>
  </r>
  <r>
    <s v="J532891007"/>
    <x v="0"/>
    <n v="2"/>
    <n v="3"/>
    <n v="118"/>
    <n v="1600000"/>
    <n v="13559.322033898305"/>
    <n v="1600000"/>
    <s v="شقه للبيع في النخيل، شمال الرياض"/>
    <s v="النخيل، شمال الرياض، الرياض"/>
    <x v="4"/>
    <s v="حي النخيل"/>
    <s v="الرياض"/>
    <s v="​فردي / مالك"/>
  </r>
  <r>
    <s v="J644586460"/>
    <x v="3"/>
    <n v="3"/>
    <n v="3"/>
    <n v="448"/>
    <n v="1600000"/>
    <n v="3571.4285714285716"/>
    <n v="1600000"/>
    <s v="دور علوي للبيع في العارض، شمال الرياض"/>
    <s v="العارض، شمال الرياض، الرياض"/>
    <x v="4"/>
    <s v="حي العارض"/>
    <s v="الرياض"/>
    <s v="مكتب الاحمدي للعقارات"/>
  </r>
  <r>
    <s v="L507087020"/>
    <x v="3"/>
    <n v="3"/>
    <n v="3"/>
    <n v="157"/>
    <n v="1600000"/>
    <n v="10191.082802547771"/>
    <n v="1600000"/>
    <s v="شقة 3 غرف نوم للبيع في النرجس، الرياض"/>
    <s v="النرجس، شمال الرياض، الرياض"/>
    <x v="4"/>
    <s v="حي النرجس"/>
    <s v="الرياض"/>
    <s v="​فردي / مالك"/>
  </r>
  <r>
    <s v="X639217259"/>
    <x v="2"/>
    <n v="3"/>
    <n v="5"/>
    <n v="312"/>
    <n v="1600000"/>
    <n v="5128.2051282051279"/>
    <n v="1600000"/>
    <s v="فيلا للبيع في الحزم، غرب الرياض"/>
    <s v="الحزم، غرب الرياض، الرياض"/>
    <x v="3"/>
    <s v="حي الحزم"/>
    <s v="الرياض"/>
    <s v="مؤسسة أبراج الرياض للعقارات"/>
  </r>
  <r>
    <s v="G625634690"/>
    <x v="0"/>
    <n v="4"/>
    <n v="3"/>
    <n v="222"/>
    <n v="1600000"/>
    <n v="7207.2072072072069"/>
    <n v="1600000"/>
    <s v="شقة للبيع في  الملقا، شمال الرياض"/>
    <s v="الملقا، شمال الرياض، الرياض"/>
    <x v="4"/>
    <s v="حي الملقا"/>
    <s v="الرياض"/>
    <s v="​فردي / مالك"/>
  </r>
  <r>
    <s v="L472435811"/>
    <x v="3"/>
    <n v="5"/>
    <n v="4"/>
    <n v="523"/>
    <n v="1650000"/>
    <n v="3154.8757170172084"/>
    <n v="1650000"/>
    <s v="للبيع أدوار في الريان، شرق الرياض"/>
    <s v="الريان، شرق الرياض، الرياض"/>
    <x v="0"/>
    <s v="حي الريان"/>
    <s v="الرياض"/>
    <s v="شركة سياد للاستثمار"/>
  </r>
  <r>
    <s v="Q544486555"/>
    <x v="3"/>
    <n v="3"/>
    <n v="4"/>
    <n v="155"/>
    <n v="1650000"/>
    <n v="10645.161290322581"/>
    <n v="1650000"/>
    <s v="دور أرضي للبيع في قرطبة، شرق الرياض"/>
    <s v="قرطبة، شرق الرياض، الرياض"/>
    <x v="0"/>
    <s v="حي قرطبة"/>
    <s v="الرياض"/>
    <s v="الأول للشركة المحدودة"/>
  </r>
  <r>
    <s v="M448394207"/>
    <x v="2"/>
    <n v="4"/>
    <n v="5"/>
    <n v="219"/>
    <n v="1650000"/>
    <n v="7534.2465753424658"/>
    <n v="1650000"/>
    <s v="فيلا للبيع في الرمال، شرق الرياض"/>
    <s v="الرمال، شرق الرياض، الرياض"/>
    <x v="0"/>
    <s v="حي الرمال"/>
    <s v="الرياض"/>
    <s v="​فردي / مالك"/>
  </r>
  <r>
    <s v="V022019688"/>
    <x v="3"/>
    <n v="4"/>
    <n v="3"/>
    <n v="506"/>
    <n v="1650000"/>
    <n v="3260.8695652173915"/>
    <n v="1650000"/>
    <s v="دور للبيع في القادسية، شرق الرياض"/>
    <s v="القادسية، شرق الرياض، الرياض"/>
    <x v="0"/>
    <s v="حي القادسية"/>
    <s v="الرياض"/>
    <s v="مؤسسة وسام المساكن العقارية"/>
  </r>
  <r>
    <s v="Q174447223"/>
    <x v="3"/>
    <n v="4"/>
    <n v="4"/>
    <n v="505"/>
    <n v="1650000"/>
    <n v="3267.3267326732675"/>
    <n v="1650000"/>
    <s v="دور أرضي للبيع في القادسية، شرق الرياض"/>
    <s v="القادسية، شرق الرياض، الرياض"/>
    <x v="0"/>
    <s v="حي القادسية"/>
    <s v="الرياض"/>
    <s v="مؤسسة وسام المساكن العقارية"/>
  </r>
  <r>
    <s v="I260227324"/>
    <x v="1"/>
    <n v="0"/>
    <n v="0"/>
    <n v="375"/>
    <n v="1650000"/>
    <n v="4400"/>
    <n v="1650000"/>
    <s v="أرض للبيع في المهدية، غرب الرياض"/>
    <s v="المهدية، غرب الرياض، الرياض"/>
    <x v="3"/>
    <s v="حي المهدية"/>
    <s v="الرياض"/>
    <s v="مكتب دليل المسوقين للعقارات"/>
  </r>
  <r>
    <s v="E526674161"/>
    <x v="2"/>
    <n v="3"/>
    <n v="4"/>
    <n v="360"/>
    <n v="1680000"/>
    <n v="4666.666666666667"/>
    <n v="1680000"/>
    <s v="تاون هاوس وشقق وادوار للبيع في الجنادرية، الرياض"/>
    <s v="المونسية، شرق الرياض، الرياض"/>
    <x v="0"/>
    <s v="حي المونسية"/>
    <s v="الرياض"/>
    <s v="شركة مباشر للعقارات للتسويق العقاري"/>
  </r>
  <r>
    <s v="C324114034"/>
    <x v="3"/>
    <n v="3"/>
    <n v="3"/>
    <n v="503"/>
    <n v="1680000"/>
    <n v="3339.9602385685885"/>
    <n v="1680000"/>
    <s v="دور للبيع في المونسية, شرق الرياض"/>
    <s v="المونسية، شرق الرياض، الرياض"/>
    <x v="0"/>
    <s v="حي المونسية"/>
    <s v="الرياض"/>
    <s v="شركة مباشر للعقارات للتسويق العقاري"/>
  </r>
  <r>
    <s v="K034635933"/>
    <x v="2"/>
    <n v="3"/>
    <n v="4"/>
    <n v="1600"/>
    <n v="1690000"/>
    <n v="1056.25"/>
    <n v="1690000"/>
    <s v="فيلا للبيع في العارض، شمال الرياض"/>
    <s v="العارض، شمال الرياض، الرياض"/>
    <x v="4"/>
    <s v="حي العارض"/>
    <s v="الرياض"/>
    <s v="​فردي / مالك"/>
  </r>
  <r>
    <s v="N465075130"/>
    <x v="2"/>
    <n v="3"/>
    <n v="4"/>
    <n v="1600"/>
    <n v="1690000"/>
    <n v="1056.25"/>
    <n v="1690000"/>
    <s v="فيلا للبيع في العارض، شمال الرياض"/>
    <s v="العارض، شمال الرياض، الرياض"/>
    <x v="4"/>
    <s v="حي العارض"/>
    <s v="الرياض"/>
    <s v="شركة راكز العقارية"/>
  </r>
  <r>
    <s v="D145802374"/>
    <x v="1"/>
    <n v="0"/>
    <n v="0"/>
    <n v="792"/>
    <n v="1700000"/>
    <n v="2146.4646464646466"/>
    <n v="1700000"/>
    <s v="أرض للبيع في ضاحية نمار, غرب الرياض"/>
    <s v="ضاحية نمار، غرب الرياض، الرياض"/>
    <x v="3"/>
    <s v="حي ضاحية نمار"/>
    <s v="الرياض"/>
    <s v="شركة رواد التغيير للتطوير العقاري"/>
  </r>
  <r>
    <s v="N992629350"/>
    <x v="2"/>
    <n v="6"/>
    <n v="7"/>
    <n v="200"/>
    <n v="1700000"/>
    <n v="8500"/>
    <n v="1700000"/>
    <s v="فيلا دبلوكس للبيع في حي الفاروق الرياض"/>
    <s v="الفاروق، وسط الرياض، الرياض"/>
    <x v="2"/>
    <s v="حي الفاروق"/>
    <s v="الرياض"/>
    <s v="بيت النائف للتطوير العقاري"/>
  </r>
  <r>
    <s v="Q063023035"/>
    <x v="2"/>
    <n v="4"/>
    <n v="5"/>
    <n v="249"/>
    <n v="1700000"/>
    <n v="6827.3092369477909"/>
    <n v="1700000"/>
    <s v="فيلا للبيع في الرمال, شرق الرياض"/>
    <s v="الرمال، شرق الرياض، الرياض"/>
    <x v="0"/>
    <s v="حي الرمال"/>
    <s v="الرياض"/>
    <s v="شركة مدى الاعصار العقارية"/>
  </r>
  <r>
    <s v="L139734439"/>
    <x v="4"/>
    <n v="11"/>
    <n v="7"/>
    <n v="316"/>
    <n v="1700000"/>
    <n v="5379.7468354430375"/>
    <n v="1700000"/>
    <s v="مبنى سكني للبيع في شارع سعيد بن عامر، حي منفوحة، الرياض"/>
    <s v="منفوحة، وسط الرياض، الرياض"/>
    <x v="2"/>
    <s v="حي منفوحة"/>
    <s v="الرياض"/>
    <s v="مكتب اضداد للعقارات"/>
  </r>
  <r>
    <s v="A941488347"/>
    <x v="2"/>
    <n v="6"/>
    <n v="6"/>
    <n v="276"/>
    <n v="1700000"/>
    <n v="6159.420289855072"/>
    <n v="1700000"/>
    <s v="فيلا مودرن للبيع في حي البيان، شرق الرياض"/>
    <s v="حي البيان، شرق الرياض، الرياض"/>
    <x v="0"/>
    <s v="حي حي البيان"/>
    <s v="الرياض"/>
    <s v="سكن المعالي للعقارات"/>
  </r>
  <r>
    <s v="Y746464108"/>
    <x v="2"/>
    <n v="4"/>
    <n v="5"/>
    <n v="276"/>
    <n v="1700000"/>
    <n v="6159.420289855072"/>
    <n v="1700000"/>
    <s v="للبيع فلل دوبلكس في حي البيان، شرق الرياض"/>
    <s v="حي البيان، شرق الرياض، الرياض"/>
    <x v="0"/>
    <s v="حي حي البيان"/>
    <s v="الرياض"/>
    <s v="سكن المعالي للعقارات"/>
  </r>
  <r>
    <s v="P417879759"/>
    <x v="2"/>
    <n v="5"/>
    <n v="6"/>
    <n v="276"/>
    <n v="1700000"/>
    <n v="6159.420289855072"/>
    <n v="1700000"/>
    <s v="فيلا فاخرة للبيع في حي البيان، شرق الرياض"/>
    <s v="حي البيان، شرق الرياض، الرياض"/>
    <x v="0"/>
    <s v="حي حي البيان"/>
    <s v="الرياض"/>
    <s v="سكن المعالي للعقارات"/>
  </r>
  <r>
    <s v="B827572344"/>
    <x v="3"/>
    <n v="4"/>
    <n v="5"/>
    <n v="621"/>
    <n v="1700000"/>
    <n v="2737.5201288244766"/>
    <n v="1700000"/>
    <s v="للبيع دور في المونسية، شرق الرياض"/>
    <s v="المونسية، شرق الرياض، الرياض"/>
    <x v="0"/>
    <s v="حي المونسية"/>
    <s v="الرياض"/>
    <s v="مؤسسة وسام المساكن العقارية"/>
  </r>
  <r>
    <s v="E076587430"/>
    <x v="3"/>
    <n v="4"/>
    <n v="4"/>
    <n v="621"/>
    <n v="1700000"/>
    <n v="2737.5201288244766"/>
    <n v="1700000"/>
    <s v="تاون هاوس علوي فاخر للبيع في المونسية، شرق الرياض"/>
    <s v="المونسية، شرق الرياض، الرياض"/>
    <x v="0"/>
    <s v="حي المونسية"/>
    <s v="الرياض"/>
    <s v="مؤسسة وسام المساكن العقارية"/>
  </r>
  <r>
    <s v="U470446128"/>
    <x v="3"/>
    <n v="4"/>
    <n v="4"/>
    <n v="621"/>
    <n v="1700000"/>
    <n v="2737.5201288244766"/>
    <n v="1700000"/>
    <s v="دور للبيع في المونسية، شرق الرياض"/>
    <s v="المونسية، شرق الرياض، الرياض"/>
    <x v="0"/>
    <s v="حي المونسية"/>
    <s v="الرياض"/>
    <s v="مكتب البلط للعقارات"/>
  </r>
  <r>
    <s v="E727594817"/>
    <x v="3"/>
    <n v="3"/>
    <n v="5"/>
    <n v="301"/>
    <n v="1700000"/>
    <n v="5647.8405315614618"/>
    <n v="1700000"/>
    <s v="دور للبيع في المونسية، شرق الرياض"/>
    <s v="المونسية، شرق الرياض، الرياض"/>
    <x v="0"/>
    <s v="حي المونسية"/>
    <s v="الرياض"/>
    <s v="مؤسسة وسام المساكن العقارية"/>
  </r>
  <r>
    <s v="D995550694"/>
    <x v="2"/>
    <n v="4"/>
    <n v="3"/>
    <n v="198"/>
    <n v="1748875"/>
    <n v="8832.7020202020194"/>
    <n v="1748875"/>
    <s v="فيلا للبيع في النرجس، شمال الرياض"/>
    <s v="النرجس، شمال الرياض، الرياض"/>
    <x v="4"/>
    <s v="حي النرجس"/>
    <s v="الرياض"/>
    <s v="شركة راكز العقارية"/>
  </r>
  <r>
    <s v="B506920439"/>
    <x v="3"/>
    <n v="4"/>
    <n v="3"/>
    <n v="390"/>
    <n v="1750000"/>
    <n v="4487.1794871794873"/>
    <n v="1750000"/>
    <s v="  وحدات برواز النرجس - تجربة السكن الفاخر في قلب الرياض"/>
    <s v="النرجس، شمال الرياض، الرياض"/>
    <x v="4"/>
    <s v="حي النرجس"/>
    <s v="الرياض"/>
    <s v="شركة إثراء الأولى العقارية"/>
  </r>
  <r>
    <s v="Z128591552"/>
    <x v="2"/>
    <n v="4"/>
    <n v="4"/>
    <n v="900"/>
    <n v="1750000"/>
    <n v="1944.4444444444443"/>
    <n v="1750000"/>
    <s v="للبيع أدوار وملاحق في النزهة، شمال الرياض"/>
    <s v="النزهة، شمال الرياض، الرياض"/>
    <x v="4"/>
    <s v="حي النزهة"/>
    <s v="الرياض"/>
    <s v="اللحيدان للعقارات"/>
  </r>
  <r>
    <s v="C914349973"/>
    <x v="3"/>
    <n v="4"/>
    <n v="5"/>
    <n v="621"/>
    <n v="1750000"/>
    <n v="2818.035426731079"/>
    <n v="1750000"/>
    <s v="أدوار للبيع في المونسية، شرق الرياض"/>
    <s v="المونسية، شرق الرياض، الرياض"/>
    <x v="0"/>
    <s v="حي المونسية"/>
    <s v="الرياض"/>
    <s v="سكن المعالي للعقارات"/>
  </r>
  <r>
    <s v="Q073560916"/>
    <x v="3"/>
    <n v="3"/>
    <n v="2"/>
    <n v="79"/>
    <n v="1750000"/>
    <n v="22151.898734177215"/>
    <n v="1750000"/>
    <s v="دور للبيع في النرجس, شمال الرياض"/>
    <s v="النرجس، شمال الرياض، الرياض"/>
    <x v="4"/>
    <s v="حي النرجس"/>
    <s v="الرياض"/>
    <s v="شركة راكز العقارية"/>
  </r>
  <r>
    <s v="X707770754"/>
    <x v="2"/>
    <n v="4"/>
    <n v="5"/>
    <n v="225"/>
    <n v="1750000"/>
    <n v="7777.7777777777774"/>
    <n v="1750000"/>
    <s v="فيلا دوبلكس للبيع في الرمال، شرق الرياض"/>
    <s v="الرمال، شرق الرياض، الرياض"/>
    <x v="0"/>
    <s v="حي الرمال"/>
    <s v="الرياض"/>
    <s v="مؤسسة الفا البواني العقارية"/>
  </r>
  <r>
    <s v="H314470051"/>
    <x v="2"/>
    <n v="3"/>
    <n v="3"/>
    <n v="232"/>
    <n v="1750000"/>
    <n v="7543.1034482758623"/>
    <n v="1750000"/>
    <s v="فيلا للبيع في المهدية، غرب الرياض"/>
    <s v="المهدية، غرب الرياض، الرياض"/>
    <x v="3"/>
    <s v="حي المهدية"/>
    <s v="الرياض"/>
    <s v="مكتب وسيط المسعد للعقارات"/>
  </r>
  <r>
    <s v="N658068409"/>
    <x v="3"/>
    <n v="3"/>
    <n v="4"/>
    <n v="360"/>
    <n v="1750000"/>
    <n v="4861.1111111111113"/>
    <n v="1750000"/>
    <s v="دور للبيع في النرجس، شمال الرياض"/>
    <s v="النرجس، شمال الرياض، الرياض"/>
    <x v="4"/>
    <s v="حي النرجس"/>
    <s v="الرياض"/>
    <s v="​فردي / مالك"/>
  </r>
  <r>
    <s v="J976517749"/>
    <x v="0"/>
    <n v="2"/>
    <n v="3"/>
    <n v="2594"/>
    <n v="1750000"/>
    <n v="674.63377023901307"/>
    <n v="1750000"/>
    <s v="شقة للبيع في شارع رايه, حي قرطبة, مدينة الرياض, منطقة الرياض"/>
    <s v="قرطبة، شرق الرياض، الرياض"/>
    <x v="0"/>
    <s v="حي قرطبة"/>
    <s v="الرياض"/>
    <s v="​فردي / مالك"/>
  </r>
  <r>
    <s v="Q869780397"/>
    <x v="2"/>
    <n v="7"/>
    <n v="6"/>
    <n v="225"/>
    <n v="1750000"/>
    <n v="7777.7777777777774"/>
    <n v="1750000"/>
    <s v="فيلا للبيع في الرمال، شرق الرياض"/>
    <s v="الرمال، شرق الرياض، الرياض"/>
    <x v="0"/>
    <s v="حي الرمال"/>
    <s v="الرياض"/>
    <s v="إسكان سلمان للتسويق العقاري"/>
  </r>
  <r>
    <s v="N999398956"/>
    <x v="2"/>
    <n v="7"/>
    <n v="6"/>
    <n v="225"/>
    <n v="1750000"/>
    <n v="7777.7777777777774"/>
    <n v="1750000"/>
    <s v="فيلا - الرياض - الرمال"/>
    <s v="الرمال، شرق الرياض، الرياض"/>
    <x v="0"/>
    <s v="حي الرمال"/>
    <s v="الرياض"/>
    <s v="إسكان سلمان للتسويق العقاري"/>
  </r>
  <r>
    <s v="R268693820"/>
    <x v="3"/>
    <n v="3"/>
    <n v="3"/>
    <n v="79"/>
    <n v="1750000"/>
    <n v="22151.898734177215"/>
    <n v="1750000"/>
    <s v="دور للبيع في النرجس، شمال الرياض"/>
    <s v="النرجس، شمال الرياض، الرياض"/>
    <x v="4"/>
    <s v="حي النرجس"/>
    <s v="الرياض"/>
    <s v="شركة راكز العقارية"/>
  </r>
  <r>
    <s v="P142706324"/>
    <x v="0"/>
    <n v="3"/>
    <n v="3"/>
    <n v="163"/>
    <n v="1770000"/>
    <n v="10858.895705521472"/>
    <n v="1770000"/>
    <s v="  شقة فاخرة للبيع في حي حطين - شمال الرياض  "/>
    <s v="حطين، شمال الرياض، الرياض"/>
    <x v="4"/>
    <s v="حي حطين"/>
    <s v="الرياض"/>
    <s v="شركة إثراء الأولى العقارية"/>
  </r>
  <r>
    <s v="O642055663"/>
    <x v="3"/>
    <n v="4"/>
    <n v="3"/>
    <n v="115"/>
    <n v="1799000"/>
    <n v="15643.478260869566"/>
    <n v="1799000"/>
    <s v="دور للبيع في الازدهار, شرق الرياض"/>
    <s v="الازدهار، شرق الرياض، الرياض"/>
    <x v="0"/>
    <s v="حي الازدهار"/>
    <s v="الرياض"/>
    <s v="شركة مسكن الين العقارية"/>
  </r>
  <r>
    <s v="M782203632"/>
    <x v="2"/>
    <n v="7"/>
    <n v="6"/>
    <n v="250"/>
    <n v="1799999"/>
    <n v="7199.9960000000001"/>
    <n v="1799999"/>
    <s v="فيلا للبيع في ظهرة لبن، غرب الرياض"/>
    <s v="ظهرة لبن، غرب الرياض، الرياض"/>
    <x v="3"/>
    <s v="حي ظهرة لبن"/>
    <s v="الرياض"/>
    <s v="مكتب الاحمدي للعقارات"/>
  </r>
  <r>
    <s v="P978826675"/>
    <x v="3"/>
    <n v="3"/>
    <n v="4"/>
    <n v="362"/>
    <n v="1800000"/>
    <n v="4972.3756906077351"/>
    <n v="1800000"/>
    <s v="دور للبيع في العارض، شمال الرياض"/>
    <s v="العارض، شمال الرياض، الرياض"/>
    <x v="4"/>
    <s v="حي العارض"/>
    <s v="الرياض"/>
    <s v="​فردي / مالك"/>
  </r>
  <r>
    <s v="A763958248"/>
    <x v="3"/>
    <n v="3"/>
    <n v="5"/>
    <n v="211"/>
    <n v="1800000"/>
    <n v="8530.8056872037923"/>
    <n v="1800000"/>
    <s v="دور للبيع في الريان, شرق الرياض"/>
    <s v="الريان، شرق الرياض، الرياض"/>
    <x v="0"/>
    <s v="حي الريان"/>
    <s v="الرياض"/>
    <s v="​فردي / مالك"/>
  </r>
  <r>
    <s v="W292605016"/>
    <x v="2"/>
    <n v="3"/>
    <n v="3"/>
    <n v="300"/>
    <n v="1800000"/>
    <n v="6000"/>
    <n v="1800000"/>
    <s v="ادوار 3 غرف نوم للبيع في النرجس، الرياض"/>
    <s v="النرجس، شمال الرياض، الرياض"/>
    <x v="4"/>
    <s v="حي النرجس"/>
    <s v="الرياض"/>
    <s v="​فردي / مالك"/>
  </r>
  <r>
    <s v="K975489499"/>
    <x v="2"/>
    <n v="5"/>
    <n v="5"/>
    <n v="562"/>
    <n v="1800000"/>
    <n v="3202.8469750889681"/>
    <n v="1800000"/>
    <s v="للبيع فيلا في بدر، جنوب الرياض"/>
    <s v="بدر، جنوب الرياض، الرياض"/>
    <x v="1"/>
    <s v="حي بدر"/>
    <s v="الرياض"/>
    <s v="شركة حلول دارك العقارية"/>
  </r>
  <r>
    <s v="Z364227129"/>
    <x v="2"/>
    <n v="6"/>
    <n v="6"/>
    <n v="359"/>
    <n v="1800000"/>
    <n v="5013.9275766016717"/>
    <n v="1800000"/>
    <s v="فيلا 6 غرف نوم للبيع في الجنادرية، الرياض"/>
    <s v="الجنادرية، شرق الرياض، الرياض"/>
    <x v="0"/>
    <s v="حي الجنادرية"/>
    <s v="الرياض"/>
    <s v="شركة مدى الاعصار العقارية"/>
  </r>
  <r>
    <s v="C170865092"/>
    <x v="0"/>
    <n v="4"/>
    <n v="3"/>
    <n v="181"/>
    <n v="1800000"/>
    <n v="9944.7513812154702"/>
    <n v="1800000"/>
    <s v="شقة للبيع في النرجس، شمال الرياض"/>
    <s v="النرجس، شمال الرياض، الرياض"/>
    <x v="4"/>
    <s v="حي النرجس"/>
    <s v="الرياض"/>
    <s v="​فردي / مالك"/>
  </r>
  <r>
    <s v="Z800742693"/>
    <x v="2"/>
    <n v="9"/>
    <n v="6"/>
    <n v="334"/>
    <n v="1800000"/>
    <n v="5389.2215568862275"/>
    <n v="1800000"/>
    <s v="فيلا درج صالة للبيع في  الفيحاء، شرق الرياض"/>
    <s v="الفيحاء، شرق الرياض، الرياض"/>
    <x v="0"/>
    <s v="حي الفيحاء"/>
    <s v="الرياض"/>
    <s v="مساكن ركاز للعقارات"/>
  </r>
  <r>
    <s v="B839686779"/>
    <x v="3"/>
    <n v="3"/>
    <n v="3"/>
    <n v="174"/>
    <n v="1800000"/>
    <n v="10344.827586206897"/>
    <n v="1800000"/>
    <s v="دور للبيع في العليا، شمال الرياض"/>
    <s v="العليا، شمال الرياض، الرياض"/>
    <x v="4"/>
    <s v="حي العليا"/>
    <s v="الرياض"/>
    <s v="​فردي / مالك"/>
  </r>
  <r>
    <s v="S210550421"/>
    <x v="0"/>
    <n v="3"/>
    <n v="3"/>
    <n v="141"/>
    <n v="1800000"/>
    <n v="12765.95744680851"/>
    <n v="1800000"/>
    <s v="شقة - الرياض - حي الملقا"/>
    <s v="الملقا، شمال الرياض، الرياض"/>
    <x v="4"/>
    <s v="حي الملقا"/>
    <s v="الرياض"/>
    <s v="إسكان سلمان للتسويق العقاري"/>
  </r>
  <r>
    <s v="L782736729"/>
    <x v="2"/>
    <n v="3"/>
    <n v="4"/>
    <n v="375"/>
    <n v="1800000"/>
    <n v="4800"/>
    <n v="1800000"/>
    <s v="فيلا للبيع في  المهدية، غرب الرياض"/>
    <s v="المهدية، غرب الرياض، الرياض"/>
    <x v="3"/>
    <s v="حي المهدية"/>
    <s v="الرياض"/>
    <s v="​فردي / مالك"/>
  </r>
  <r>
    <s v="G354005143"/>
    <x v="2"/>
    <n v="7"/>
    <n v="8"/>
    <n v="250"/>
    <n v="1800000"/>
    <n v="7200"/>
    <n v="1800000"/>
    <s v="فيلا دوبلكس للبيع في ظهرة لبن، غرب الرياض"/>
    <s v="ظهرة لبن، غرب الرياض، الرياض"/>
    <x v="3"/>
    <s v="حي ظهرة لبن"/>
    <s v="الرياض"/>
    <s v="​فردي / مالك"/>
  </r>
  <r>
    <s v="V440039170"/>
    <x v="2"/>
    <n v="6"/>
    <n v="7"/>
    <n v="250"/>
    <n v="1800000"/>
    <n v="7200"/>
    <n v="1800000"/>
    <s v="فيلا للبيع في مطار الملك خالد الدولي، شمال الرياض"/>
    <s v="مطار الملك خالد الدولي، شمال الرياض، الرياض"/>
    <x v="4"/>
    <s v="حي مطار الملك خالد الدولي"/>
    <s v="الرياض"/>
    <s v="مكتب الاحمدي للعقارات"/>
  </r>
  <r>
    <s v="E856572429"/>
    <x v="2"/>
    <n v="6"/>
    <n v="3"/>
    <n v="400"/>
    <n v="1800000"/>
    <n v="4500"/>
    <n v="1800000"/>
    <s v="فيلا للبيع في الخليج، شرق الرياض"/>
    <s v="الخليج، شرق الرياض، الرياض"/>
    <x v="0"/>
    <s v="حي الخليج"/>
    <s v="الرياض"/>
    <s v="شركة مهم العقارية"/>
  </r>
  <r>
    <s v="T660184938"/>
    <x v="4"/>
    <n v="11"/>
    <n v="7"/>
    <n v="190"/>
    <n v="1800000"/>
    <n v="9473.6842105263149"/>
    <n v="1800000"/>
    <s v="مبنى سكني وتجاري متعدد الاستخدامات معروض للبيع في شارع أجادير، حي سلطانة، الرياض"/>
    <s v="سلطانة، غرب الرياض، الرياض"/>
    <x v="3"/>
    <s v="حي سلطانة"/>
    <s v="الرياض"/>
    <s v="مكتب اضداد للعقارات"/>
  </r>
  <r>
    <s v="M394763935"/>
    <x v="2"/>
    <n v="5"/>
    <n v="5"/>
    <n v="630"/>
    <n v="1800000"/>
    <n v="2857.1428571428573"/>
    <n v="1800000"/>
    <s v="فيلا للبيع في العزيزية, جنوب الرياض"/>
    <s v="العزيزية، جنوب الرياض، الرياض"/>
    <x v="1"/>
    <s v="حي العزيزية"/>
    <s v="الرياض"/>
    <s v="​فردي / مالك"/>
  </r>
  <r>
    <s v="H321018365"/>
    <x v="2"/>
    <n v="8"/>
    <n v="7"/>
    <n v="200"/>
    <n v="1800000"/>
    <n v="9000"/>
    <n v="1800000"/>
    <s v="فيلا للبيع في المهدية، غرب الرياض"/>
    <s v="المهدية، غرب الرياض، الرياض"/>
    <x v="3"/>
    <s v="حي المهدية"/>
    <s v="الرياض"/>
    <s v="​فردي / مالك"/>
  </r>
  <r>
    <s v="C035736981"/>
    <x v="3"/>
    <n v="4"/>
    <n v="5"/>
    <n v="246"/>
    <n v="1800000"/>
    <n v="7317.0731707317073"/>
    <n v="1800000"/>
    <s v="دور للبيع في العارض، شمال الرياض"/>
    <s v="العارض، شمال الرياض، الرياض"/>
    <x v="4"/>
    <s v="حي العارض"/>
    <s v="الرياض"/>
    <s v="مؤسسة منازل النرجس للتطوير العقاري"/>
  </r>
  <r>
    <s v="R470231911"/>
    <x v="2"/>
    <n v="5"/>
    <n v="5"/>
    <n v="312"/>
    <n v="1800000"/>
    <n v="5769.2307692307695"/>
    <n v="1800000"/>
    <s v="فيلا للبيع في المهدية، غرب الرياض"/>
    <s v="المهدية، غرب الرياض، الرياض"/>
    <x v="3"/>
    <s v="حي المهدية"/>
    <s v="الرياض"/>
    <s v="بيت النائف للتطوير العقاري"/>
  </r>
  <r>
    <s v="C879445825"/>
    <x v="2"/>
    <n v="7"/>
    <n v="5"/>
    <n v="250"/>
    <n v="1800000"/>
    <n v="7200"/>
    <n v="1800000"/>
    <s v="فيلا للبيع في ظهرة لبن، غرب الرياض"/>
    <s v="ظهرة لبن، غرب الرياض، الرياض"/>
    <x v="3"/>
    <s v="حي ظهرة لبن"/>
    <s v="الرياض"/>
    <s v="مكتب الاحمدي للعقارات"/>
  </r>
  <r>
    <s v="E951828197"/>
    <x v="3"/>
    <n v="3"/>
    <n v="3"/>
    <n v="174"/>
    <n v="1800000"/>
    <n v="10344.827586206897"/>
    <n v="1800000"/>
    <s v="دور للبيع في العليا، شمال الرياض"/>
    <s v="العليا، شمال الرياض، الرياض"/>
    <x v="4"/>
    <s v="حي العليا"/>
    <s v="الرياض"/>
    <s v="شركة راكز العقارية"/>
  </r>
  <r>
    <s v="N625059224"/>
    <x v="2"/>
    <n v="8"/>
    <n v="6"/>
    <n v="285"/>
    <n v="1800000"/>
    <n v="6315.7894736842109"/>
    <n v="1800000"/>
    <s v="فيلا - الرياض - حي القادسية"/>
    <s v="القادسية، شرق الرياض، الرياض"/>
    <x v="0"/>
    <s v="حي القادسية"/>
    <s v="الرياض"/>
    <s v="إسكان سلمان للتسويق العقاري"/>
  </r>
  <r>
    <s v="V178171560"/>
    <x v="0"/>
    <n v="3"/>
    <n v="3"/>
    <n v="141"/>
    <n v="1850000"/>
    <n v="13120.567375886525"/>
    <n v="1850000"/>
    <s v="شقة سكنية فاخرة تجمع بين الراحة، الفخامة، والأمان"/>
    <s v="حطين، شمال الرياض، الرياض"/>
    <x v="4"/>
    <s v="حي حطين"/>
    <s v="الرياض"/>
    <s v="​فردي / مالك"/>
  </r>
  <r>
    <s v="L798902323"/>
    <x v="3"/>
    <n v="3"/>
    <n v="4"/>
    <n v="195"/>
    <n v="1850000"/>
    <n v="9487.1794871794864"/>
    <n v="1850000"/>
    <s v="دور للبيع في قرطبة، شرق الرياض"/>
    <s v="قرطبة، شرق الرياض، الرياض"/>
    <x v="0"/>
    <s v="حي قرطبة"/>
    <s v="الرياض"/>
    <s v="سكن المعالي للعقارات"/>
  </r>
  <r>
    <s v="V004642312"/>
    <x v="2"/>
    <n v="4"/>
    <n v="5"/>
    <n v="273"/>
    <n v="1850000"/>
    <n v="6776.5567765567766"/>
    <n v="1850000"/>
    <s v="فيلا للبيع في الرمال، شرق الرياض"/>
    <s v="الرمال، شرق الرياض، الرياض"/>
    <x v="0"/>
    <s v="حي الرمال"/>
    <s v="الرياض"/>
    <s v="مؤسسة وسام المساكن العقارية"/>
  </r>
  <r>
    <s v="Q837162721"/>
    <x v="2"/>
    <n v="5"/>
    <n v="5"/>
    <n v="400"/>
    <n v="1850000"/>
    <n v="4625"/>
    <n v="1850000"/>
    <s v="فيلا 200 م للبيع في المهدية، الرياض"/>
    <s v="المهدية، غرب الرياض، الرياض"/>
    <x v="3"/>
    <s v="حي المهدية"/>
    <s v="الرياض"/>
    <s v="​فردي / مالك"/>
  </r>
  <r>
    <s v="W219796645"/>
    <x v="2"/>
    <n v="8"/>
    <n v="6"/>
    <n v="285"/>
    <n v="1850000"/>
    <n v="6491.2280701754389"/>
    <n v="1850000"/>
    <s v="فيلا - الرياض - حي القادسية"/>
    <s v="القادسية، شرق الرياض، الرياض"/>
    <x v="0"/>
    <s v="حي القادسية"/>
    <s v="الرياض"/>
    <s v="إسكان سلمان للتسويق العقاري"/>
  </r>
  <r>
    <s v="Y058444275"/>
    <x v="3"/>
    <n v="3"/>
    <n v="4"/>
    <n v="200"/>
    <n v="1850000"/>
    <n v="9250"/>
    <n v="1850000"/>
    <s v="دور للبيع في قرطبة, شرق الرياض"/>
    <s v="قرطبة، شرق الرياض، الرياض"/>
    <x v="0"/>
    <s v="حي قرطبة"/>
    <s v="الرياض"/>
    <s v="سكن المعالي للعقارات"/>
  </r>
  <r>
    <s v="Q292210373"/>
    <x v="3"/>
    <n v="3"/>
    <n v="3"/>
    <n v="126"/>
    <n v="1899000"/>
    <n v="15071.428571428571"/>
    <n v="1899000"/>
    <s v="للبيع دور في الازدهار، شرق الرياض"/>
    <s v="الازدهار، شرق الرياض، الرياض"/>
    <x v="0"/>
    <s v="حي الازدهار"/>
    <s v="الرياض"/>
    <s v="شركة مسكن الين العقارية"/>
  </r>
  <r>
    <s v="Y631740910"/>
    <x v="0"/>
    <n v="3"/>
    <n v="3"/>
    <n v="182"/>
    <n v="1900000"/>
    <n v="10439.560439560439"/>
    <n v="1900000"/>
    <s v="شقة للبيع في حي حطين ، شمال الرياض"/>
    <s v="حطين، شمال الرياض، الرياض"/>
    <x v="4"/>
    <s v="حي حطين"/>
    <s v="الرياض"/>
    <s v="مكتب آعالي للخدمات العقارية"/>
  </r>
  <r>
    <s v="I157505499"/>
    <x v="1"/>
    <n v="0"/>
    <n v="0"/>
    <n v="928"/>
    <n v="1900000"/>
    <n v="2047.4137931034484"/>
    <n v="1900000"/>
    <s v="ارض سكنية للبيع في حي المشرق, شرق الرياض"/>
    <s v="المشرق، الرياض"/>
    <x v="0"/>
    <s v="حي المشرق"/>
    <s v="الرياض"/>
    <s v="​فردي / مالك"/>
  </r>
  <r>
    <s v="P012499282"/>
    <x v="3"/>
    <n v="3"/>
    <n v="3"/>
    <n v="600"/>
    <n v="1950000"/>
    <n v="3250"/>
    <n v="1950000"/>
    <s v="دور للبيع في قرطبة, شرق الرياض"/>
    <s v="قرطبة، شرق الرياض، الرياض"/>
    <x v="0"/>
    <s v="حي قرطبة"/>
    <s v="الرياض"/>
    <s v="سكن المعالي للعقارات"/>
  </r>
  <r>
    <s v="Q999556137"/>
    <x v="2"/>
    <n v="3"/>
    <n v="3"/>
    <n v="200"/>
    <n v="1950000"/>
    <n v="9750"/>
    <n v="1950000"/>
    <s v="فيلا للبيع في حي سدرة بالرياض"/>
    <s v="حي السدره، شمال الرياض، الرياض"/>
    <x v="4"/>
    <s v="حي حي السدره"/>
    <s v="الرياض"/>
    <s v="شركة أعمال المدائن للتطوير والاستثمار العقاري"/>
  </r>
  <r>
    <s v="I646838519"/>
    <x v="2"/>
    <n v="18"/>
    <n v="14"/>
    <n v="443"/>
    <n v="1950000"/>
    <n v="4401.805869074492"/>
    <n v="1950000"/>
    <s v="فيلا - الرياض - حي الجنادرية"/>
    <s v="الجنادرية، شرق الرياض، الرياض"/>
    <x v="0"/>
    <s v="حي الجنادرية"/>
    <s v="الرياض"/>
    <s v="إسكان سلمان للتسويق العقاري"/>
  </r>
  <r>
    <s v="Y539987170"/>
    <x v="2"/>
    <n v="9"/>
    <n v="5"/>
    <n v="379"/>
    <n v="2000000"/>
    <n v="5277.0448548812665"/>
    <n v="2000000"/>
    <s v="فيلا للبيع في السعادة, شرق الرياض"/>
    <s v="السعادة، شرق الرياض، الرياض"/>
    <x v="0"/>
    <s v="حي السعادة"/>
    <s v="الرياض"/>
    <s v="​فردي / مالك"/>
  </r>
  <r>
    <s v="N942053353"/>
    <x v="2"/>
    <n v="6"/>
    <n v="4"/>
    <n v="500"/>
    <n v="2000000"/>
    <n v="4000"/>
    <n v="2000000"/>
    <s v="فيلا معروضة للبيع في مدينة الرياض"/>
    <s v="البديعة، غرب الرياض، الرياض"/>
    <x v="3"/>
    <s v="حي البديعة"/>
    <s v="الرياض"/>
    <s v="​فردي / مالك"/>
  </r>
  <r>
    <s v="B414172549"/>
    <x v="1"/>
    <n v="0"/>
    <n v="0"/>
    <n v="750"/>
    <n v="2000000"/>
    <n v="2666.6666666666665"/>
    <n v="2000000"/>
    <s v="أرض سكنية للبيع في ظهرة لبن، غرب الرياض"/>
    <s v="ظهرة لبن، غرب الرياض، الرياض"/>
    <x v="3"/>
    <s v="حي ظهرة لبن"/>
    <s v="الرياض"/>
    <s v="​فردي / مالك"/>
  </r>
  <r>
    <s v="T764102320"/>
    <x v="2"/>
    <n v="1"/>
    <n v="3"/>
    <n v="420"/>
    <n v="2000000"/>
    <n v="4761.9047619047615"/>
    <n v="2000000"/>
    <s v="فيلا للبيع في مخطط الخير، شمال الرياض"/>
    <s v="مخطط الخير، شمال الرياض، الرياض"/>
    <x v="4"/>
    <s v="حي مخطط الخير"/>
    <s v="الرياض"/>
    <s v="شركة نهر للعقارات"/>
  </r>
  <r>
    <s v="L874638825"/>
    <x v="2"/>
    <n v="12"/>
    <n v="9"/>
    <n v="261"/>
    <n v="2000000"/>
    <n v="7662.8352490421457"/>
    <n v="2000000"/>
    <s v="فيلا للبيع في الرمال، شرق الرياض"/>
    <s v="الرمال، شرق الرياض، الرياض"/>
    <x v="0"/>
    <s v="حي الرمال"/>
    <s v="الرياض"/>
    <s v="إسكان سلمان للتسويق العقاري"/>
  </r>
  <r>
    <s v="S277935983"/>
    <x v="2"/>
    <n v="12"/>
    <n v="9"/>
    <n v="261"/>
    <n v="2000000"/>
    <n v="7662.8352490421457"/>
    <n v="2000000"/>
    <s v="فيلا للبيع في  الرمال، شرق الرياض"/>
    <s v="الرمال، شرق الرياض، الرياض"/>
    <x v="0"/>
    <s v="حي الرمال"/>
    <s v="الرياض"/>
    <s v="إسكان سلمان للتسويق العقاري"/>
  </r>
  <r>
    <s v="C147846479"/>
    <x v="2"/>
    <n v="5"/>
    <n v="8"/>
    <n v="213"/>
    <n v="2000000"/>
    <n v="9389.6713615023473"/>
    <n v="2000000"/>
    <s v="فيلا للبيع في المهدية، غرب الرياض"/>
    <s v="المهدية، غرب الرياض، الرياض"/>
    <x v="3"/>
    <s v="حي المهدية"/>
    <s v="الرياض"/>
    <s v="​فردي / مالك"/>
  </r>
  <r>
    <s v="Z617344814"/>
    <x v="1"/>
    <n v="0"/>
    <n v="0"/>
    <n v="1799"/>
    <n v="2000000"/>
    <n v="1111.7287381878821"/>
    <n v="2000000"/>
    <s v="أرض سكنية للبيع في المصفاة، جنوب الرياض"/>
    <s v="المصفاة، جنوب الرياض، الرياض"/>
    <x v="1"/>
    <s v="حي المصفاة"/>
    <s v="الرياض"/>
    <s v="شركة رواد التغيير للتطوير العقاري"/>
  </r>
  <r>
    <s v="G825786929"/>
    <x v="1"/>
    <n v="0"/>
    <n v="0"/>
    <n v="777"/>
    <n v="2000000"/>
    <n v="2574.002574002574"/>
    <n v="2000000"/>
    <s v="أرض للبيع في الخير"/>
    <s v="الرياض"/>
    <x v="4"/>
    <s v="حي الرياض"/>
    <s v="الرياض"/>
    <s v="مجموعة عبدالعزيز بن حسن الصميعي وسالم بن محمد الشثري"/>
  </r>
  <r>
    <s v="A901754391"/>
    <x v="2"/>
    <n v="4"/>
    <n v="5"/>
    <n v="267"/>
    <n v="2000000"/>
    <n v="7490.63670411985"/>
    <n v="2000000"/>
    <s v="فيلا للبيع في الرمال، شرق الرياض"/>
    <s v="الرمال، شرق الرياض، الرياض"/>
    <x v="0"/>
    <s v="حي الرمال"/>
    <s v="الرياض"/>
    <s v="مكتب الاحمدي للعقارات"/>
  </r>
  <r>
    <s v="M023797587"/>
    <x v="1"/>
    <n v="0"/>
    <n v="0"/>
    <n v="800"/>
    <n v="2050000"/>
    <n v="2562.5"/>
    <n v="2050000"/>
    <s v="أرض سكنية للبيع في حي الخير، شمال الرياض"/>
    <s v="مخطط الخير، شمال الرياض، الرياض"/>
    <x v="4"/>
    <s v="حي مخطط الخير"/>
    <s v="الرياض"/>
    <s v="شركة العمار العقارية"/>
  </r>
  <r>
    <s v="W524274354"/>
    <x v="0"/>
    <n v="4"/>
    <n v="4"/>
    <n v="163"/>
    <n v="2100000"/>
    <n v="12883.435582822085"/>
    <n v="2100000"/>
    <s v="شقة للبيع في حطين، شمال الرياض"/>
    <s v="حطين، شمال الرياض، الرياض"/>
    <x v="4"/>
    <s v="حي حطين"/>
    <s v="الرياض"/>
    <s v="مكتب محترفون للعقارات"/>
  </r>
  <r>
    <s v="O868944545"/>
    <x v="2"/>
    <n v="3"/>
    <n v="5"/>
    <n v="217"/>
    <n v="2100000"/>
    <n v="9677.4193548387102"/>
    <n v="2100000"/>
    <s v=" دور للبيع في شارع عبدالله بن عتيك    في حي النفل - مفهوم جديد للتملك"/>
    <s v="النفل، شمال الرياض، الرياض"/>
    <x v="4"/>
    <s v="حي النفل"/>
    <s v="الرياض"/>
    <s v="مؤسسة بارج للتطوير العقاري"/>
  </r>
  <r>
    <s v="I176248817"/>
    <x v="2"/>
    <n v="6"/>
    <n v="4"/>
    <n v="307"/>
    <n v="2100000"/>
    <n v="6840.3908794788276"/>
    <n v="2100000"/>
    <s v="للبيع فيلا درج داخلي وشقة في حي الرمال تنال شرق الرياض"/>
    <s v="الرمال، شرق الرياض، الرياض"/>
    <x v="0"/>
    <s v="حي الرمال"/>
    <s v="الرياض"/>
    <s v="شركة قمة الوطن العقارية"/>
  </r>
  <r>
    <s v="Y807571316"/>
    <x v="2"/>
    <n v="10"/>
    <n v="10"/>
    <n v="600"/>
    <n v="2100000"/>
    <n v="3500"/>
    <n v="2100000"/>
    <s v="فيلا مميزة جدا للبيع في النظيم، الرياض"/>
    <s v="النظيم، شرق الرياض، الرياض"/>
    <x v="0"/>
    <s v="حي النظيم"/>
    <s v="الرياض"/>
    <s v="​فردي / مالك"/>
  </r>
  <r>
    <s v="H873706738"/>
    <x v="3"/>
    <n v="3"/>
    <n v="4"/>
    <n v="625"/>
    <n v="2139000"/>
    <n v="3422.4"/>
    <n v="2139000"/>
    <s v="دور للبيع في الياسمين، شمال الرياض"/>
    <s v="الياسمين، شمال الرياض، الرياض"/>
    <x v="4"/>
    <s v="حي الياسمين"/>
    <s v="الرياض"/>
    <s v="شركة راكز العقارية"/>
  </r>
  <r>
    <s v="Q672444822"/>
    <x v="2"/>
    <n v="4"/>
    <n v="5"/>
    <n v="400"/>
    <n v="2150000"/>
    <n v="5375"/>
    <n v="2150000"/>
    <s v="فيلا فاخرة للبيع في المهدية، غرب الرياض"/>
    <s v="المهدية، غرب الرياض، الرياض"/>
    <x v="3"/>
    <s v="حي المهدية"/>
    <s v="الرياض"/>
    <s v="​فردي / مالك"/>
  </r>
  <r>
    <s v="Y458240444"/>
    <x v="2"/>
    <n v="4"/>
    <n v="7"/>
    <n v="400"/>
    <n v="2150000"/>
    <n v="5375"/>
    <n v="2150000"/>
    <s v="فيلا مودرن بحي المهدية"/>
    <s v="المهدية، غرب الرياض، الرياض"/>
    <x v="3"/>
    <s v="حي المهدية"/>
    <s v="الرياض"/>
    <s v="​فردي / مالك"/>
  </r>
  <r>
    <s v="O791505083"/>
    <x v="2"/>
    <n v="4"/>
    <n v="4"/>
    <n v="2480"/>
    <n v="2199000"/>
    <n v="886.69354838709683"/>
    <n v="2199000"/>
    <s v="فيلا للبيع في الصفا, شرق الرياض"/>
    <s v="الصفا، شرق الرياض، الرياض"/>
    <x v="0"/>
    <s v="حي الصفا"/>
    <s v="الرياض"/>
    <s v="شركة راكز العقارية"/>
  </r>
  <r>
    <s v="E824489022"/>
    <x v="2"/>
    <n v="4"/>
    <n v="5"/>
    <n v="370"/>
    <n v="2200000"/>
    <n v="5945.9459459459458"/>
    <n v="2200000"/>
    <s v="فلل للبيع في المهدية، غرب الرياض"/>
    <s v="المهدية، غرب الرياض، الرياض"/>
    <x v="3"/>
    <s v="حي المهدية"/>
    <s v="الرياض"/>
    <s v="لمسة ترف العقارية"/>
  </r>
  <r>
    <s v="Q371587538"/>
    <x v="2"/>
    <n v="10"/>
    <n v="6"/>
    <n v="455"/>
    <n v="2200000"/>
    <n v="4835.1648351648355"/>
    <n v="2200000"/>
    <s v="فيلا للبيع في  الخليج، شرق الرياض"/>
    <s v="الخليج، شرق الرياض، الرياض"/>
    <x v="0"/>
    <s v="حي الخليج"/>
    <s v="الرياض"/>
    <s v="مؤسسة الحوراء للخدمات العقارية"/>
  </r>
  <r>
    <s v="D725008669"/>
    <x v="2"/>
    <n v="7"/>
    <n v="5"/>
    <n v="625"/>
    <n v="2200000"/>
    <n v="3520"/>
    <n v="2200000"/>
    <s v="فيلا للبيع في  العريجاء الوسطى، غرب الرياض"/>
    <s v="العريجاء الوسطى، غرب الرياض، الرياض"/>
    <x v="3"/>
    <s v="حي العريجاء الوسطى"/>
    <s v="الرياض"/>
    <s v="​فردي / مالك"/>
  </r>
  <r>
    <s v="Z663498097"/>
    <x v="2"/>
    <n v="5"/>
    <n v="5"/>
    <n v="370"/>
    <n v="2200000"/>
    <n v="5945.9459459459458"/>
    <n v="2200000"/>
    <s v="فيلا للبيع في المهدية، غرب الرياض"/>
    <s v="المهدية، غرب الرياض، الرياض"/>
    <x v="3"/>
    <s v="حي المهدية"/>
    <s v="الرياض"/>
    <s v="​فردي / مالك"/>
  </r>
  <r>
    <s v="Z112586077"/>
    <x v="2"/>
    <n v="7"/>
    <n v="5"/>
    <n v="307"/>
    <n v="2200000"/>
    <n v="7166.1237785016283"/>
    <n v="2200000"/>
    <s v="فيلا - الرياض - السعادة"/>
    <s v="السعادة، شرق الرياض، الرياض"/>
    <x v="0"/>
    <s v="حي السعادة"/>
    <s v="الرياض"/>
    <s v="إسكان سلمان للتسويق العقاري"/>
  </r>
  <r>
    <s v="B710699273"/>
    <x v="2"/>
    <n v="6"/>
    <n v="6"/>
    <n v="300"/>
    <n v="2200000"/>
    <n v="7333.333333333333"/>
    <n v="2200000"/>
    <s v="فيلا للبيع في القادسية, شرق الرياض"/>
    <s v="القادسية، شرق الرياض، الرياض"/>
    <x v="0"/>
    <s v="حي القادسية"/>
    <s v="الرياض"/>
    <s v="سكن المعالي للعقارات"/>
  </r>
  <r>
    <s v="Z762940697"/>
    <x v="3"/>
    <n v="4"/>
    <n v="4"/>
    <n v="245"/>
    <n v="2200000"/>
    <n v="8979.5918367346931"/>
    <n v="2200000"/>
    <s v="للبيع دور في العقيق، شمال الرياض"/>
    <s v="العقيق، شمال الرياض، الرياض"/>
    <x v="4"/>
    <s v="حي العقيق"/>
    <s v="الرياض"/>
    <s v="​فردي / مالك"/>
  </r>
  <r>
    <s v="G524051367"/>
    <x v="2"/>
    <n v="6"/>
    <n v="4"/>
    <n v="450"/>
    <n v="2200000"/>
    <n v="4888.8888888888887"/>
    <n v="2200000"/>
    <s v="للبيع فيلا في ظهرة لبن، غرب الرياض"/>
    <s v="ظهرة لبن، غرب الرياض، الرياض"/>
    <x v="3"/>
    <s v="حي ظهرة لبن"/>
    <s v="الرياض"/>
    <s v="مكتب علمنا للعقارات"/>
  </r>
  <r>
    <s v="X160148806"/>
    <x v="2"/>
    <n v="8"/>
    <n v="6"/>
    <n v="400"/>
    <n v="2250000"/>
    <n v="5625"/>
    <n v="2250000"/>
    <s v="فيلا دبلوكس للبيع في المهدية، غرب الرياض"/>
    <s v="المهدية، غرب الرياض، الرياض"/>
    <x v="3"/>
    <s v="حي المهدية"/>
    <s v="الرياض"/>
    <s v="إسكان سلمان للتسويق العقاري"/>
  </r>
  <r>
    <s v="R101887753"/>
    <x v="2"/>
    <n v="8"/>
    <n v="6"/>
    <n v="400"/>
    <n v="2250000"/>
    <n v="5625"/>
    <n v="2250000"/>
    <s v="فيلا دوبلكس للبيع في المهدية، غرب الرياض"/>
    <s v="المهدية، غرب الرياض، الرياض"/>
    <x v="3"/>
    <s v="حي المهدية"/>
    <s v="الرياض"/>
    <s v="إسكان سلمان للتسويق العقاري"/>
  </r>
  <r>
    <s v="H274669939"/>
    <x v="2"/>
    <n v="7"/>
    <n v="5"/>
    <n v="330"/>
    <n v="2300000"/>
    <n v="6969.69696969697"/>
    <n v="2300000"/>
    <s v="فيلا للبيع في المعيزيلة، شرق الرياض"/>
    <s v="المعيزلة، شرق الرياض، الرياض"/>
    <x v="0"/>
    <s v="حي المعيزلة"/>
    <s v="الرياض"/>
    <s v="​فردي / مالك"/>
  </r>
  <r>
    <s v="X619502156"/>
    <x v="2"/>
    <n v="4"/>
    <n v="3"/>
    <n v="455"/>
    <n v="2300000"/>
    <n v="5054.9450549450548"/>
    <n v="2300000"/>
    <s v=" للبيع فيلا درج داخلي وشقتين"/>
    <s v="الجنادرية، شرق الرياض، الرياض"/>
    <x v="0"/>
    <s v="حي الجنادرية"/>
    <s v="الرياض"/>
    <s v="​فردي / مالك"/>
  </r>
  <r>
    <s v="P876759574"/>
    <x v="2"/>
    <n v="6"/>
    <n v="5"/>
    <n v="225"/>
    <n v="2300000"/>
    <n v="10222.222222222223"/>
    <n v="2300000"/>
    <s v="فيلا للبيع في المهدية, غرب الرياض"/>
    <s v="المهدية، غرب الرياض، الرياض"/>
    <x v="3"/>
    <s v="حي المهدية"/>
    <s v="الرياض"/>
    <s v="بنيان العاصمة للعقارات"/>
  </r>
  <r>
    <s v="C779564906"/>
    <x v="2"/>
    <n v="11"/>
    <n v="11"/>
    <n v="750"/>
    <n v="2300000"/>
    <n v="3066.6666666666665"/>
    <n v="2300000"/>
    <s v="فيلا للبيع في الدار البيضاء، جنوب الرياض"/>
    <s v="الدار البيضاء، جنوب الرياض، الرياض"/>
    <x v="1"/>
    <s v="حي الدار البيضاء"/>
    <s v="الرياض"/>
    <s v="مكتب اساتذة العقار للعقارات"/>
  </r>
  <r>
    <s v="I799303141"/>
    <x v="2"/>
    <n v="6"/>
    <n v="6"/>
    <n v="400"/>
    <n v="2300000"/>
    <n v="5750"/>
    <n v="2300000"/>
    <s v="فيلا دبلوكس للبيع في المهدية، غرب الرياض"/>
    <s v="المهدية، غرب الرياض، الرياض"/>
    <x v="3"/>
    <s v="حي المهدية"/>
    <s v="الرياض"/>
    <s v="إسكان سلمان للتسويق العقاري"/>
  </r>
  <r>
    <s v="Z172376486"/>
    <x v="2"/>
    <n v="13"/>
    <n v="6"/>
    <n v="420"/>
    <n v="2300000"/>
    <n v="5476.1904761904761"/>
    <n v="2300000"/>
    <s v="فيلا 13 غرفة للبيع في قرى سورة، الرياض"/>
    <s v="الرمال، شرق الرياض، الرياض"/>
    <x v="0"/>
    <s v="حي الرمال"/>
    <s v="الرياض"/>
    <s v="شركة همم الخليج العقاريه"/>
  </r>
  <r>
    <s v="R560721710"/>
    <x v="1"/>
    <n v="0"/>
    <n v="0"/>
    <n v="312"/>
    <n v="7500"/>
    <n v="7500"/>
    <n v="2340000"/>
    <s v="ارض للبيع في النرجس, شمال الرياض"/>
    <s v="النرجس، شمال الرياض، الرياض"/>
    <x v="4"/>
    <s v="حي النرجس"/>
    <s v="الرياض"/>
    <s v="​فردي / مالك"/>
  </r>
  <r>
    <s v="A258985150"/>
    <x v="2"/>
    <n v="6"/>
    <n v="3"/>
    <n v="450"/>
    <n v="2350000"/>
    <n v="5222.2222222222226"/>
    <n v="2350000"/>
    <s v="فيلا للبيع في ظهرة لبن، غرب الرياض"/>
    <s v="ظهرة لبن، غرب الرياض، الرياض"/>
    <x v="3"/>
    <s v="حي ظهرة لبن"/>
    <s v="الرياض"/>
    <s v="​فردي / مالك"/>
  </r>
  <r>
    <s v="R081499938"/>
    <x v="2"/>
    <n v="4"/>
    <n v="4"/>
    <n v="240"/>
    <n v="2350000"/>
    <n v="9791.6666666666661"/>
    <n v="2350000"/>
    <s v="فيلا للبيع في  سدرة، الرياض"/>
    <s v="سدرة، الرياض"/>
    <x v="4"/>
    <s v="حي سدرة"/>
    <s v="الرياض"/>
    <s v="​فردي / مالك"/>
  </r>
  <r>
    <s v="W003366919"/>
    <x v="2"/>
    <n v="5"/>
    <n v="7"/>
    <n v="250"/>
    <n v="2350000"/>
    <n v="9400"/>
    <n v="2350000"/>
    <s v="فيلا دوبلكس للبيع بحي اليرموك"/>
    <s v="اليرموك، شرق الرياض، الرياض"/>
    <x v="0"/>
    <s v="حي اليرموك"/>
    <s v="الرياض"/>
    <s v="سكن المعالي للعقارات"/>
  </r>
  <r>
    <s v="M031337968"/>
    <x v="2"/>
    <n v="5"/>
    <n v="7"/>
    <n v="250"/>
    <n v="2350000"/>
    <n v="9400"/>
    <n v="2350000"/>
    <s v="فيلا للبيع في اليرموك, شرق الرياض"/>
    <s v="اليرموك، شرق الرياض، الرياض"/>
    <x v="0"/>
    <s v="حي اليرموك"/>
    <s v="الرياض"/>
    <s v="سكن المعالي للعقارات"/>
  </r>
  <r>
    <s v="S001619488"/>
    <x v="2"/>
    <n v="5"/>
    <n v="3"/>
    <n v="359"/>
    <n v="2400000"/>
    <n v="6685.2367688022287"/>
    <n v="2400000"/>
    <s v="فيلا للبيع في المهدية، غرب الرياض"/>
    <s v="المهدية، غرب الرياض، الرياض"/>
    <x v="3"/>
    <s v="حي المهدية"/>
    <s v="الرياض"/>
    <s v="مكتب وسيط المسعد للعقارات"/>
  </r>
  <r>
    <s v="J782901906"/>
    <x v="2"/>
    <n v="6"/>
    <n v="6"/>
    <n v="250"/>
    <n v="2400000"/>
    <n v="9600"/>
    <n v="2400000"/>
    <s v="فيلا للبيع في المونسية, شرق الرياض"/>
    <s v="المونسية، شرق الرياض، الرياض"/>
    <x v="0"/>
    <s v="حي المونسية"/>
    <s v="الرياض"/>
    <s v="سكن المعالي للعقارات"/>
  </r>
  <r>
    <s v="H710635730"/>
    <x v="2"/>
    <n v="8"/>
    <n v="5"/>
    <n v="796"/>
    <n v="2400000"/>
    <n v="3015.075376884422"/>
    <n v="2400000"/>
    <s v="فيلا للبيع في طويق، غرب الرياض"/>
    <s v="طويق، غرب الرياض، الرياض"/>
    <x v="3"/>
    <s v="حي طويق"/>
    <s v="الرياض"/>
    <s v="شركة تركي ابراهيم المحيسن للعقارات"/>
  </r>
  <r>
    <s v="A431295026"/>
    <x v="2"/>
    <n v="6"/>
    <n v="4"/>
    <n v="260"/>
    <n v="2400000"/>
    <n v="9230.7692307692305"/>
    <n v="2400000"/>
    <s v="فيلا للبيع في المونسية, شرق الرياض"/>
    <s v="المونسية، شرق الرياض، الرياض"/>
    <x v="0"/>
    <s v="حي المونسية"/>
    <s v="الرياض"/>
    <s v="​فردي / مالك"/>
  </r>
  <r>
    <s v="U960229704"/>
    <x v="3"/>
    <n v="3"/>
    <n v="3"/>
    <n v="625"/>
    <n v="2400000"/>
    <n v="3840"/>
    <n v="2400000"/>
    <s v="دور للبيع في الياسمين، شمال الرياض"/>
    <s v="الياسمين، شمال الرياض، الرياض"/>
    <x v="4"/>
    <s v="حي الياسمين"/>
    <s v="الرياض"/>
    <s v="شركة راكز العقارية"/>
  </r>
  <r>
    <s v="S738734364"/>
    <x v="2"/>
    <n v="4"/>
    <n v="4"/>
    <n v="250"/>
    <n v="2400000"/>
    <n v="9600"/>
    <n v="2400000"/>
    <s v="فيلا للبيع في حي اليرموك، شرق الرياض"/>
    <s v="اليرموك، شرق الرياض، الرياض"/>
    <x v="0"/>
    <s v="حي اليرموك"/>
    <s v="الرياض"/>
    <s v="سكن المعالي للعقارات"/>
  </r>
  <r>
    <s v="N785395709"/>
    <x v="2"/>
    <n v="5"/>
    <n v="5"/>
    <n v="250"/>
    <n v="2400000"/>
    <n v="9600"/>
    <n v="2400000"/>
    <s v="لليع فيلا درج داخلي في اليرموك، شرق الرياض"/>
    <s v="اليرموك، شرق الرياض، الرياض"/>
    <x v="0"/>
    <s v="حي اليرموك"/>
    <s v="الرياض"/>
    <s v="سكن المعالي للعقارات"/>
  </r>
  <r>
    <s v="K278513716"/>
    <x v="3"/>
    <n v="3"/>
    <n v="4"/>
    <n v="625"/>
    <n v="2400000"/>
    <n v="3840"/>
    <n v="2400000"/>
    <s v="دور للبيع في الياسمين، شمال الرياض"/>
    <s v="الياسمين، شمال الرياض، الرياض"/>
    <x v="4"/>
    <s v="حي الياسمين"/>
    <s v="الرياض"/>
    <s v="شركة راكز العقارية"/>
  </r>
  <r>
    <s v="D506667389"/>
    <x v="0"/>
    <n v="1"/>
    <n v="1"/>
    <n v="91"/>
    <n v="2425150"/>
    <n v="26650"/>
    <n v="2425150"/>
    <s v="للبيع شقة فاخرة ببرج داماك في العليا، شمال الرياض"/>
    <s v="العليا، شمال الرياض، الرياض"/>
    <x v="4"/>
    <s v="حي العليا"/>
    <s v="الرياض"/>
    <s v="عبدالله صالح عبدالله بن صليح"/>
  </r>
  <r>
    <s v="U672335567"/>
    <x v="2"/>
    <n v="8"/>
    <n v="7"/>
    <n v="250"/>
    <n v="2500000"/>
    <n v="10000"/>
    <n v="2500000"/>
    <s v="فيلا 8 غرف نوم للبيع في العارض، الرياض"/>
    <s v="العارض، شمال الرياض، الرياض"/>
    <x v="4"/>
    <s v="حي العارض"/>
    <s v="الرياض"/>
    <s v="​فردي / مالك"/>
  </r>
  <r>
    <s v="K318349462"/>
    <x v="2"/>
    <n v="5"/>
    <n v="5"/>
    <n v="300"/>
    <n v="2500000"/>
    <n v="8333.3333333333339"/>
    <n v="2500000"/>
    <s v="فيلا للبيع في المونسية, شرق الرياض"/>
    <s v="المونسية، شرق الرياض، الرياض"/>
    <x v="0"/>
    <s v="حي المونسية"/>
    <s v="الرياض"/>
    <s v="​فردي / مالك"/>
  </r>
  <r>
    <s v="Y172762403"/>
    <x v="2"/>
    <n v="5"/>
    <n v="5"/>
    <n v="256"/>
    <n v="2500000"/>
    <n v="9765.625"/>
    <n v="2500000"/>
    <s v="فيلا للبيع في القرطبة، الرياض"/>
    <s v="قرطبة، شرق الرياض، الرياض"/>
    <x v="0"/>
    <s v="حي قرطبة"/>
    <s v="الرياض"/>
    <s v="​فردي / مالك"/>
  </r>
  <r>
    <s v="Y613069109"/>
    <x v="2"/>
    <n v="5"/>
    <n v="8"/>
    <n v="280"/>
    <n v="2600000"/>
    <n v="9285.7142857142862"/>
    <n v="2600000"/>
    <s v="للبيع فله مستقله بحي النرجس سلمان"/>
    <s v="النرجس، شمال الرياض، الرياض"/>
    <x v="4"/>
    <s v="حي النرجس"/>
    <s v="الرياض"/>
    <s v="​فردي / مالك"/>
  </r>
  <r>
    <s v="U665480542"/>
    <x v="2"/>
    <n v="7"/>
    <n v="5"/>
    <n v="600"/>
    <n v="2600000"/>
    <n v="4333.333333333333"/>
    <n v="2600000"/>
    <s v="فيلا للبيع طويق، غرب الرياض"/>
    <s v="طويق، غرب الرياض، الرياض"/>
    <x v="3"/>
    <s v="حي طويق"/>
    <s v="الرياض"/>
    <s v="مكتب الاحمدي للعقارات"/>
  </r>
  <r>
    <s v="X013231624"/>
    <x v="2"/>
    <n v="4"/>
    <n v="4"/>
    <n v="343"/>
    <n v="2600000"/>
    <n v="7580.1749271137023"/>
    <n v="2600000"/>
    <s v="فيلا  للبيع في الفيحاء، الرياض"/>
    <s v="الفيحاء، شرق الرياض، الرياض"/>
    <x v="0"/>
    <s v="حي الفيحاء"/>
    <s v="الرياض"/>
    <s v="​فردي / مالك"/>
  </r>
  <r>
    <s v="N320678583"/>
    <x v="2"/>
    <n v="9"/>
    <n v="6"/>
    <n v="420"/>
    <n v="2600000"/>
    <n v="6190.4761904761908"/>
    <n v="2600000"/>
    <s v="فيلا للبيع في عكاظ، جنوب الرياض"/>
    <s v="عكاظ، جنوب الرياض، الرياض"/>
    <x v="1"/>
    <s v="حي عكاظ"/>
    <s v="الرياض"/>
    <s v="مؤسسة ركيز العقارية"/>
  </r>
  <r>
    <s v="B393659446"/>
    <x v="2"/>
    <n v="8"/>
    <n v="7"/>
    <n v="260"/>
    <n v="2600000"/>
    <n v="10000"/>
    <n v="2600000"/>
    <s v="فيلا - الرياض - حي المونسية"/>
    <s v="المونسية، شرق الرياض، الرياض"/>
    <x v="0"/>
    <s v="حي المونسية"/>
    <s v="الرياض"/>
    <s v="إسكان سلمان للتسويق العقاري"/>
  </r>
  <r>
    <s v="J819851701"/>
    <x v="2"/>
    <n v="5"/>
    <n v="4"/>
    <n v="352"/>
    <n v="2600000"/>
    <n v="7386.363636363636"/>
    <n v="2600000"/>
    <s v="فيلا للبيع في الرمال، شرق الرياض"/>
    <s v="الرمال، شرق الرياض، الرياض"/>
    <x v="0"/>
    <s v="حي الرمال"/>
    <s v="الرياض"/>
    <s v="​فردي / مالك"/>
  </r>
  <r>
    <s v="M209238695"/>
    <x v="2"/>
    <n v="5"/>
    <n v="6"/>
    <n v="525"/>
    <n v="2625000"/>
    <n v="5000"/>
    <n v="2625000"/>
    <s v="فيلا للبيع في الخليج, شرق الرياض"/>
    <s v="الخليج، شرق الرياض، الرياض"/>
    <x v="0"/>
    <s v="حي الخليج"/>
    <s v="الرياض"/>
    <s v="شركة عقارات النابغة للتجارة"/>
  </r>
  <r>
    <s v="C629910830"/>
    <x v="1"/>
    <n v="0"/>
    <n v="0"/>
    <n v="377"/>
    <n v="2639000"/>
    <n v="7000"/>
    <n v="2639000"/>
    <s v="أرض للبيع في العارض، شمال الرياض"/>
    <s v="العارض، شمال الرياض، الرياض"/>
    <x v="4"/>
    <s v="حي العارض"/>
    <s v="الرياض"/>
    <s v="مكتب جوهرة العارض للخدمات العقارية"/>
  </r>
  <r>
    <s v="D184845127"/>
    <x v="2"/>
    <n v="4"/>
    <n v="5"/>
    <n v="324"/>
    <n v="2650000"/>
    <n v="8179.0123456790125"/>
    <n v="2650000"/>
    <s v="فيلا للبيع في المونسية، شرق الرياض"/>
    <s v="المونسية، شرق الرياض، الرياض"/>
    <x v="0"/>
    <s v="حي المونسية"/>
    <s v="الرياض"/>
    <s v="مؤسسة وسام المساكن العقارية"/>
  </r>
  <r>
    <s v="B060602790"/>
    <x v="1"/>
    <n v="0"/>
    <n v="0"/>
    <n v="442"/>
    <n v="6000"/>
    <n v="6000"/>
    <n v="2652000"/>
    <s v="أرض سكنية للبيع في العارض، شمال الرياض"/>
    <s v="العارض، شمال الرياض، الرياض"/>
    <x v="4"/>
    <s v="حي العارض"/>
    <s v="الرياض"/>
    <s v="مكتب الاحمدي للعقارات"/>
  </r>
  <r>
    <s v="U008630173"/>
    <x v="1"/>
    <n v="0"/>
    <n v="0"/>
    <n v="450"/>
    <n v="2700000"/>
    <n v="6000"/>
    <n v="2700000"/>
    <s v="أرض سكنية للبيع في العارض، شمال الرياض"/>
    <s v="العارض، شمال الرياض، الرياض"/>
    <x v="4"/>
    <s v="حي العارض"/>
    <s v="الرياض"/>
    <s v="​فردي / مالك"/>
  </r>
  <r>
    <s v="H815954149"/>
    <x v="2"/>
    <n v="4"/>
    <n v="4"/>
    <n v="216"/>
    <n v="2700000"/>
    <n v="12500"/>
    <n v="2700000"/>
    <s v="فيلا للبيع في النرجس، شمال الرياض"/>
    <s v="النرجس، شمال الرياض، الرياض"/>
    <x v="4"/>
    <s v="حي النرجس"/>
    <s v="الرياض"/>
    <s v="مكتب الوان البصمة للعقارات"/>
  </r>
  <r>
    <s v="Q498738208"/>
    <x v="0"/>
    <n v="2"/>
    <n v="2"/>
    <n v="141"/>
    <n v="2700000"/>
    <n v="19148.936170212764"/>
    <n v="2700000"/>
    <s v="شقة للبيع في حي العليا، الرياض"/>
    <s v="العليا، شمال الرياض، الرياض"/>
    <x v="4"/>
    <s v="حي العليا"/>
    <s v="الرياض"/>
    <s v="مؤسسة سعود علي عبدالعزيز السقامي للعقارات"/>
  </r>
  <r>
    <s v="G665595468"/>
    <x v="2"/>
    <n v="4"/>
    <n v="5"/>
    <n v="3960"/>
    <n v="2799000"/>
    <n v="706.81818181818187"/>
    <n v="2799000"/>
    <s v="فلل للبيع في الروضة، شرق الرياض"/>
    <s v="الروضة، شرق الرياض، الرياض"/>
    <x v="0"/>
    <s v="حي الروضة"/>
    <s v="الرياض"/>
    <s v="شركة وكن للتطوير واالستثمار العقاري"/>
  </r>
  <r>
    <s v="W549549320"/>
    <x v="2"/>
    <n v="9"/>
    <n v="7"/>
    <n v="450"/>
    <n v="2800000"/>
    <n v="6222.2222222222226"/>
    <n v="2800000"/>
    <s v="فيلا 11 غرفة نوم للبيع في ظهرة لبن، الرياض"/>
    <s v="ظهرة لبن، غرب الرياض، الرياض"/>
    <x v="3"/>
    <s v="حي ظهرة لبن"/>
    <s v="الرياض"/>
    <s v="​فردي / مالك"/>
  </r>
  <r>
    <s v="J028136760"/>
    <x v="2"/>
    <n v="10"/>
    <n v="5"/>
    <n v="268"/>
    <n v="2800000"/>
    <n v="10447.76119402985"/>
    <n v="2800000"/>
    <s v="فيلا ١٠ غرف نوم للبيع في النرجس، الرياض"/>
    <s v="النرجس، شمال الرياض، الرياض"/>
    <x v="4"/>
    <s v="حي النرجس"/>
    <s v="الرياض"/>
    <s v="مؤسسة الحوراء للخدمات العقارية"/>
  </r>
  <r>
    <s v="X990398517"/>
    <x v="2"/>
    <n v="4"/>
    <n v="3"/>
    <n v="323"/>
    <n v="2800000"/>
    <n v="8668.7306501547992"/>
    <n v="2800000"/>
    <s v="فيلا للبيع في العارض, شمال الرياض"/>
    <s v="العارض، شمال الرياض، الرياض"/>
    <x v="4"/>
    <s v="حي العارض"/>
    <s v="الرياض"/>
    <s v="​فردي / مالك"/>
  </r>
  <r>
    <s v="I995927391"/>
    <x v="2"/>
    <n v="6"/>
    <n v="4"/>
    <n v="230"/>
    <n v="2800000"/>
    <n v="12173.91304347826"/>
    <n v="2800000"/>
    <s v="فيلا للبيع العارض، شمال الرياض"/>
    <s v="العارض، شمال الرياض، الرياض"/>
    <x v="4"/>
    <s v="حي العارض"/>
    <s v="الرياض"/>
    <s v="مكتب الاحمدي للعقارات"/>
  </r>
  <r>
    <s v="Y749215692"/>
    <x v="2"/>
    <n v="5"/>
    <n v="7"/>
    <n v="400"/>
    <n v="2800000"/>
    <n v="7000"/>
    <n v="2800000"/>
    <s v="فيلا للبيع في إشبيلية، شرق الرياض"/>
    <s v="اشبيلية، شرق الرياض، الرياض"/>
    <x v="0"/>
    <s v="حي اشبيلية"/>
    <s v="الرياض"/>
    <s v="شركة عقارات النابغة للتجارة"/>
  </r>
  <r>
    <s v="T032696786"/>
    <x v="2"/>
    <n v="6"/>
    <n v="6"/>
    <n v="324"/>
    <n v="2800000"/>
    <n v="8641.9753086419751"/>
    <n v="2800000"/>
    <s v="فيلا للبيع في العارض, شمال الرياض"/>
    <s v="العارض، شمال الرياض، الرياض"/>
    <x v="4"/>
    <s v="حي العارض"/>
    <s v="الرياض"/>
    <s v="اكناف العاصمة العقارية"/>
  </r>
  <r>
    <s v="Q350504757"/>
    <x v="2"/>
    <n v="5"/>
    <n v="5"/>
    <n v="270"/>
    <n v="2800000"/>
    <n v="10370.37037037037"/>
    <n v="2800000"/>
    <s v="فيلا للبيع في النرجس، الرياض"/>
    <s v="النرجس، شمال الرياض، الرياض"/>
    <x v="4"/>
    <s v="حي النرجس"/>
    <s v="الرياض"/>
    <s v="شركة همم الخليج العقاريه"/>
  </r>
  <r>
    <s v="H169903054"/>
    <x v="2"/>
    <n v="5"/>
    <n v="5"/>
    <n v="240"/>
    <n v="2800000"/>
    <n v="11666.666666666666"/>
    <n v="2800000"/>
    <s v="فيلا للبيع في العارض، الرياض"/>
    <s v="العارض، شمال الرياض، الرياض"/>
    <x v="4"/>
    <s v="حي العارض"/>
    <s v="الرياض"/>
    <s v="مؤسسة مراة المشاريع العقارية"/>
  </r>
  <r>
    <s v="O065063995"/>
    <x v="2"/>
    <n v="8"/>
    <n v="6"/>
    <n v="437"/>
    <n v="2800000"/>
    <n v="6407.322654462243"/>
    <n v="2800000"/>
    <s v="فيلا للبيع في المونسية , شرق الرياض"/>
    <s v="المونسية، شرق الرياض، الرياض"/>
    <x v="0"/>
    <s v="حي المونسية"/>
    <s v="الرياض"/>
    <s v="مكتب الهمم العالية للعقارات"/>
  </r>
  <r>
    <s v="U883268093"/>
    <x v="2"/>
    <n v="5"/>
    <n v="3"/>
    <n v="300"/>
    <n v="2850000"/>
    <n v="9500"/>
    <n v="2850000"/>
    <s v="فيلا - الرياض - النرجس"/>
    <s v="النرجس، شمال الرياض، الرياض"/>
    <x v="4"/>
    <s v="حي النرجس"/>
    <s v="الرياض"/>
    <s v="إسكان سلمان للتسويق العقاري"/>
  </r>
  <r>
    <s v="K335786059"/>
    <x v="2"/>
    <n v="5"/>
    <n v="5"/>
    <n v="400"/>
    <n v="2850000"/>
    <n v="7125"/>
    <n v="2850000"/>
    <s v="للبيع فيلا في المونسية، شرق الرياض"/>
    <s v="المونسية، شرق الرياض، الرياض"/>
    <x v="0"/>
    <s v="حي المونسية"/>
    <s v="الرياض"/>
    <s v="مسكن ومغنم العقارية"/>
  </r>
  <r>
    <s v="X145977240"/>
    <x v="2"/>
    <n v="5"/>
    <n v="6"/>
    <n v="250"/>
    <n v="2875000"/>
    <n v="11500"/>
    <n v="2875000"/>
    <s v="فيلا للبيع في اليرموك، شرق الرياض"/>
    <s v="اليرموك، شرق الرياض، الرياض"/>
    <x v="0"/>
    <s v="حي اليرموك"/>
    <s v="الرياض"/>
    <s v="سكن المعالي للعقارات"/>
  </r>
  <r>
    <s v="R322741564"/>
    <x v="2"/>
    <n v="3"/>
    <n v="5"/>
    <n v="250"/>
    <n v="2900000"/>
    <n v="11600"/>
    <n v="2900000"/>
    <s v="فيلا للبيع في الياسمين، الرياض"/>
    <s v="الياسمين، شمال الرياض، الرياض"/>
    <x v="4"/>
    <s v="حي الياسمين"/>
    <s v="الرياض"/>
    <s v="​فردي / مالك"/>
  </r>
  <r>
    <s v="L732633766"/>
    <x v="0"/>
    <n v="4"/>
    <n v="3"/>
    <n v="141"/>
    <n v="2912000"/>
    <n v="20652.482269503547"/>
    <n v="2912000"/>
    <s v="شقة للبيع في برج داماك العليا, شمال الرياض"/>
    <s v="العليا، شمال الرياض، الرياض"/>
    <x v="4"/>
    <s v="حي العليا"/>
    <s v="الرياض"/>
    <s v="عبدالله صالح عبدالله بن صليح"/>
  </r>
  <r>
    <s v="F021216354"/>
    <x v="2"/>
    <n v="5"/>
    <n v="6"/>
    <n v="780"/>
    <n v="2964000"/>
    <n v="3800"/>
    <n v="2964000"/>
    <s v="فيلا للبيع في النهضة، شرق الرياض"/>
    <s v="النهضة، شرق الرياض، الرياض"/>
    <x v="0"/>
    <s v="حي النهضة"/>
    <s v="الرياض"/>
    <s v="مؤسسة نجمة الشرق للخدمات العقارية"/>
  </r>
  <r>
    <s v="L533951000"/>
    <x v="2"/>
    <n v="8"/>
    <n v="6"/>
    <n v="309"/>
    <n v="2999986"/>
    <n v="9708.6925566343034"/>
    <n v="2999986"/>
    <s v="فيلا للبيع في المونسية, شرق الرياض"/>
    <s v="المونسية، شرق الرياض، الرياض"/>
    <x v="0"/>
    <s v="حي المونسية"/>
    <s v="الرياض"/>
    <s v="مكتب عبدالله بن فيحان بن محمد العتيبي للعقارات"/>
  </r>
  <r>
    <s v="K648420020"/>
    <x v="2"/>
    <n v="5"/>
    <n v="7"/>
    <n v="595"/>
    <n v="3000000"/>
    <n v="5042.0168067226887"/>
    <n v="3000000"/>
    <s v="فيلا حي المعيزيله -درج داخلي - مستخدمة"/>
    <s v="المعيزلة، شرق الرياض، الرياض"/>
    <x v="0"/>
    <s v="حي المعيزلة"/>
    <s v="الرياض"/>
    <s v="شركة قمة الوطن العقارية"/>
  </r>
  <r>
    <s v="C281283121"/>
    <x v="2"/>
    <n v="5"/>
    <n v="4"/>
    <n v="400"/>
    <n v="3000000"/>
    <n v="7500"/>
    <n v="3000000"/>
    <s v="فيلا للبيع في  المهدية، غرب الرياض"/>
    <s v="المهدية، غرب الرياض، الرياض"/>
    <x v="3"/>
    <s v="حي المهدية"/>
    <s v="الرياض"/>
    <s v="مكتب دليل المهدية للعقارات"/>
  </r>
  <r>
    <s v="T962875223"/>
    <x v="2"/>
    <n v="3"/>
    <n v="2"/>
    <n v="500"/>
    <n v="3000000"/>
    <n v="6000"/>
    <n v="3000000"/>
    <s v="فيلا للبيع في الملك فيصل, شرق الرياض"/>
    <s v="الملك فيصل، شرق الرياض، الرياض"/>
    <x v="0"/>
    <s v="حي الملك فيصل"/>
    <s v="الرياض"/>
    <s v="​فردي / مالك"/>
  </r>
  <r>
    <s v="R491880034"/>
    <x v="2"/>
    <n v="6"/>
    <n v="5"/>
    <n v="336"/>
    <n v="3000000"/>
    <n v="8928.5714285714294"/>
    <n v="3000000"/>
    <s v="فيلا 6 غرف نوم للبيع في العارض، الرياض"/>
    <s v="العارض، شمال الرياض، الرياض"/>
    <x v="4"/>
    <s v="حي العارض"/>
    <s v="الرياض"/>
    <s v="مؤسسة واجهة العارض للعقارات"/>
  </r>
  <r>
    <s v="Y781755664"/>
    <x v="2"/>
    <n v="7"/>
    <n v="5"/>
    <n v="600"/>
    <n v="3000000"/>
    <n v="5000"/>
    <n v="3000000"/>
    <s v="فيلا للبيع في الحزم، غرب الرياض"/>
    <s v="الحزم، غرب الرياض، الرياض"/>
    <x v="3"/>
    <s v="حي الحزم"/>
    <s v="الرياض"/>
    <s v="مكتب الاحمدي للعقارات"/>
  </r>
  <r>
    <s v="E528246184"/>
    <x v="2"/>
    <n v="5"/>
    <n v="5"/>
    <n v="810"/>
    <n v="3000000"/>
    <n v="3703.7037037037039"/>
    <n v="3000000"/>
    <s v="فيلا للبيع في النهضة، شرق الرياض"/>
    <s v="النهضة، شرق الرياض، الرياض"/>
    <x v="0"/>
    <s v="حي النهضة"/>
    <s v="الرياض"/>
    <s v="مكتب الاحمدي للعقارات"/>
  </r>
  <r>
    <s v="B291009880"/>
    <x v="2"/>
    <n v="11"/>
    <n v="6"/>
    <n v="306"/>
    <n v="3000000"/>
    <n v="9803.9215686274511"/>
    <n v="3000000"/>
    <s v="فيلا في حي الندى للبيع، الرياض"/>
    <s v="الندى، شمال الرياض، الرياض"/>
    <x v="4"/>
    <s v="حي الندى"/>
    <s v="الرياض"/>
    <s v="مؤسسة سعود علي عبدالعزيز السقامي للعقارات"/>
  </r>
  <r>
    <s v="O735931138"/>
    <x v="2"/>
    <n v="5"/>
    <n v="3"/>
    <n v="300"/>
    <n v="3000000"/>
    <n v="10000"/>
    <n v="3000000"/>
    <s v="فيلا للبيع في  المونسية، شرق الرياض"/>
    <s v="المونسية، شرق الرياض، الرياض"/>
    <x v="0"/>
    <s v="حي المونسية"/>
    <s v="الرياض"/>
    <s v="​فردي / مالك"/>
  </r>
  <r>
    <s v="E987144297"/>
    <x v="1"/>
    <n v="0"/>
    <n v="0"/>
    <n v="432"/>
    <n v="7000"/>
    <n v="7000"/>
    <n v="3024000"/>
    <s v="  أرض مميزة للبيع في حي العارض – الرياض  |  فرصة استثمارية لا تعوّض"/>
    <s v="العارض، شمال الرياض، الرياض"/>
    <x v="4"/>
    <s v="حي العارض"/>
    <s v="الرياض"/>
    <s v="​فردي / مالك"/>
  </r>
  <r>
    <s v="D326035255"/>
    <x v="1"/>
    <n v="0"/>
    <n v="0"/>
    <n v="608"/>
    <n v="3040000"/>
    <n v="5000"/>
    <n v="3040000"/>
    <s v="أرض سكنية للبيع في العارض، الرياض"/>
    <s v="العارض، شمال الرياض، الرياض"/>
    <x v="4"/>
    <s v="حي العارض"/>
    <s v="الرياض"/>
    <s v="شركة أفعال العقارية"/>
  </r>
  <r>
    <s v="P519507295"/>
    <x v="2"/>
    <n v="4"/>
    <n v="6"/>
    <n v="206"/>
    <n v="3100000"/>
    <n v="15048.543689320388"/>
    <n v="3100000"/>
    <s v="فلل للبيع حي العارض، الرياض"/>
    <s v="العارض، شمال الرياض، الرياض"/>
    <x v="4"/>
    <s v="حي العارض"/>
    <s v="الرياض"/>
    <s v="​فردي / مالك"/>
  </r>
  <r>
    <s v="I660559469"/>
    <x v="2"/>
    <n v="5"/>
    <n v="5"/>
    <n v="312"/>
    <n v="3100000"/>
    <n v="9935.8974358974356"/>
    <n v="3100000"/>
    <s v="فيلا للبيع في العارض، الرياض"/>
    <s v="العارض، شمال الرياض، الرياض"/>
    <x v="4"/>
    <s v="حي العارض"/>
    <s v="الرياض"/>
    <s v="مؤسسة مراة المشاريع العقارية"/>
  </r>
  <r>
    <s v="E019389809"/>
    <x v="1"/>
    <n v="0"/>
    <n v="0"/>
    <n v="523"/>
    <n v="6000"/>
    <n v="6000"/>
    <n v="3138000"/>
    <s v="أرض للبيع في العارض، شمال الرياض"/>
    <s v="العارض، شمال الرياض، الرياض"/>
    <x v="4"/>
    <s v="حي العارض"/>
    <s v="الرياض"/>
    <s v="مكتب دار باجد للعقارات"/>
  </r>
  <r>
    <s v="V401348601"/>
    <x v="2"/>
    <n v="8"/>
    <n v="4"/>
    <n v="250"/>
    <n v="3150000"/>
    <n v="12600"/>
    <n v="3150000"/>
    <s v="فيلا للبيع في النرجس, شمال الرياض"/>
    <s v="النرجس، شمال الرياض، الرياض"/>
    <x v="4"/>
    <s v="حي النرجس"/>
    <s v="الرياض"/>
    <s v="​فردي / مالك"/>
  </r>
  <r>
    <s v="P963642425"/>
    <x v="2"/>
    <n v="8"/>
    <n v="7"/>
    <n v="312"/>
    <n v="3200000"/>
    <n v="10256.410256410256"/>
    <n v="3200000"/>
    <s v="فيلا للبيع في شارع أحمد بن زياد, حي العارض, مدينة الرياض, منطقة الرياض"/>
    <s v="العارض، شمال الرياض، الرياض"/>
    <x v="4"/>
    <s v="حي العارض"/>
    <s v="الرياض"/>
    <s v="مكتب طريق الاسكان"/>
  </r>
  <r>
    <s v="F310688824"/>
    <x v="2"/>
    <n v="6"/>
    <n v="5"/>
    <n v="375"/>
    <n v="3200000"/>
    <n v="8533.3333333333339"/>
    <n v="3200000"/>
    <s v="فيلا للبيع في العارض، شمال الرياض"/>
    <s v="العارض، شمال الرياض، الرياض"/>
    <x v="4"/>
    <s v="حي العارض"/>
    <s v="الرياض"/>
    <s v="​فردي / مالك"/>
  </r>
  <r>
    <s v="H923672707"/>
    <x v="2"/>
    <n v="10"/>
    <n v="8"/>
    <n v="450"/>
    <n v="3200000"/>
    <n v="7111.1111111111113"/>
    <n v="3200000"/>
    <s v="للبيع فيلا مودرن بالمهديه المربع الذهبي مع شقه بمدخل خاص"/>
    <s v="المهدية، غرب الرياض، الرياض"/>
    <x v="3"/>
    <s v="حي المهدية"/>
    <s v="الرياض"/>
    <s v="​فردي / مالك"/>
  </r>
  <r>
    <s v="J423200288"/>
    <x v="5"/>
    <n v="8"/>
    <n v="4"/>
    <n v="405"/>
    <n v="3240000"/>
    <n v="8000"/>
    <n v="3240000"/>
    <s v="استراحة للبيع في العارض، شمال الرياض"/>
    <s v="العارض، شمال الرياض، الرياض"/>
    <x v="4"/>
    <s v="حي العارض"/>
    <s v="الرياض"/>
    <s v="مكتب الاحمدي للعقارات"/>
  </r>
  <r>
    <s v="G459105891"/>
    <x v="2"/>
    <n v="9"/>
    <n v="5"/>
    <n v="450"/>
    <n v="3250000"/>
    <n v="7222.2222222222226"/>
    <n v="3250000"/>
    <s v="فيلا للبيع في  المهدية، غرب الرياض"/>
    <s v="المهدية، غرب الرياض، الرياض"/>
    <x v="3"/>
    <s v="حي المهدية"/>
    <s v="الرياض"/>
    <s v="​فردي / مالك"/>
  </r>
  <r>
    <s v="J823235116"/>
    <x v="2"/>
    <n v="5"/>
    <n v="5"/>
    <n v="450"/>
    <n v="3250000"/>
    <n v="7222.2222222222226"/>
    <n v="3250000"/>
    <s v="فيلا مودرن للبيع في المهدية, غرب الرياض"/>
    <s v="المهدية، غرب الرياض، الرياض"/>
    <x v="3"/>
    <s v="حي المهدية"/>
    <s v="الرياض"/>
    <s v="مكتب دليل المهدية للعقارات"/>
  </r>
  <r>
    <s v="N349421005"/>
    <x v="2"/>
    <n v="3"/>
    <n v="5"/>
    <n v="250"/>
    <n v="3300000"/>
    <n v="13200"/>
    <n v="3300000"/>
    <s v="فيلا للبيع في الياسمين, شمال الرياض"/>
    <s v="الياسمين، شمال الرياض، الرياض"/>
    <x v="4"/>
    <s v="حي الياسمين"/>
    <s v="الرياض"/>
    <s v="​فردي / مالك"/>
  </r>
  <r>
    <s v="J789678175"/>
    <x v="2"/>
    <n v="10"/>
    <n v="10"/>
    <n v="385"/>
    <n v="3300000"/>
    <n v="8571.4285714285706"/>
    <n v="3300000"/>
    <s v="فيلا للبيع في قرطبة, شرق الرياض"/>
    <s v="قرطبة، شرق الرياض، الرياض"/>
    <x v="0"/>
    <s v="حي قرطبة"/>
    <s v="الرياض"/>
    <s v="​فردي / مالك"/>
  </r>
  <r>
    <s v="T913695990"/>
    <x v="2"/>
    <n v="6"/>
    <n v="5"/>
    <n v="288"/>
    <n v="3300000"/>
    <n v="11458.333333333334"/>
    <n v="3300000"/>
    <s v="فيلا للبيع في حي النرجس، الرياض"/>
    <s v="النرجس، شمال الرياض، الرياض"/>
    <x v="4"/>
    <s v="حي النرجس"/>
    <s v="الرياض"/>
    <s v="مشارف الشمال للعقارات"/>
  </r>
  <r>
    <s v="H213544844"/>
    <x v="2"/>
    <n v="10"/>
    <n v="9"/>
    <n v="432"/>
    <n v="3300000"/>
    <n v="7638.8888888888887"/>
    <n v="3300000"/>
    <s v="فيلا للبيع في  المهدية، غرب الرياض"/>
    <s v="المهدية، غرب الرياض، الرياض"/>
    <x v="3"/>
    <s v="حي المهدية"/>
    <s v="الرياض"/>
    <s v="​فردي / مالك"/>
  </r>
  <r>
    <s v="Q932514259"/>
    <x v="2"/>
    <n v="4"/>
    <n v="4"/>
    <n v="270"/>
    <n v="3350000"/>
    <n v="12407.407407407407"/>
    <n v="3350000"/>
    <s v="فيلا 4 غرف نوم للبيع في شارع أربل، الرياض"/>
    <s v="الصحافة، شمال الرياض، الرياض"/>
    <x v="4"/>
    <s v="حي الصحافة"/>
    <s v="الرياض"/>
    <s v="​فردي / مالك"/>
  </r>
  <r>
    <s v="S110691384"/>
    <x v="2"/>
    <n v="5"/>
    <n v="3"/>
    <n v="300"/>
    <n v="3357000"/>
    <n v="11190"/>
    <n v="3357000"/>
    <s v="فيلا للبيع في النرجس، شمال الرياض"/>
    <s v="النرجس، شمال الرياض، الرياض"/>
    <x v="4"/>
    <s v="حي النرجس"/>
    <s v="الرياض"/>
    <s v="شركة راكز العقارية"/>
  </r>
  <r>
    <s v="S963886086"/>
    <x v="2"/>
    <n v="4"/>
    <n v="3"/>
    <n v="300"/>
    <n v="3357000"/>
    <n v="11190"/>
    <n v="3357000"/>
    <s v="للبيع فيلا في النرجس، شمال الرياض"/>
    <s v="النرجس، شمال الرياض، الرياض"/>
    <x v="4"/>
    <s v="حي النرجس"/>
    <s v="الرياض"/>
    <s v="​فردي / مالك"/>
  </r>
  <r>
    <s v="Q239655379"/>
    <x v="2"/>
    <n v="3"/>
    <n v="5"/>
    <n v="250"/>
    <n v="3400000"/>
    <n v="13600"/>
    <n v="3400000"/>
    <s v="مشروع أبادي - 1 بحي ‫الياسمين"/>
    <s v="الياسمين، شمال الرياض، الرياض"/>
    <x v="4"/>
    <s v="حي الياسمين"/>
    <s v="الرياض"/>
    <s v="​فردي / مالك"/>
  </r>
  <r>
    <s v="A114096741"/>
    <x v="2"/>
    <n v="3"/>
    <n v="5"/>
    <n v="200"/>
    <n v="3400000"/>
    <n v="17000"/>
    <n v="3400000"/>
    <s v="وريف هاوس 39 بحي النرجس"/>
    <s v="النرجس، شمال الرياض، الرياض"/>
    <x v="4"/>
    <s v="حي النرجس"/>
    <s v="الرياض"/>
    <s v="​فردي / مالك"/>
  </r>
  <r>
    <s v="B001521619"/>
    <x v="2"/>
    <n v="10"/>
    <n v="7"/>
    <n v="434"/>
    <n v="3400000"/>
    <n v="7834.1013824884794"/>
    <n v="3400000"/>
    <s v="فيلا للبيع في العارض, شمال الرياض"/>
    <s v="العارض، شمال الرياض، الرياض"/>
    <x v="4"/>
    <s v="حي العارض"/>
    <s v="الرياض"/>
    <s v="شركة نهضة التطور العقارية"/>
  </r>
  <r>
    <s v="O329973034"/>
    <x v="2"/>
    <n v="5"/>
    <n v="5"/>
    <n v="300"/>
    <n v="3400000"/>
    <n v="11333.333333333334"/>
    <n v="3400000"/>
    <s v="فيلا للبيع في الصحافة، شمال الرياض"/>
    <s v="الصحافة، شمال الرياض، الرياض"/>
    <x v="4"/>
    <s v="حي الصحافة"/>
    <s v="الرياض"/>
    <s v="​فردي / مالك"/>
  </r>
  <r>
    <s v="A357685465"/>
    <x v="2"/>
    <n v="5"/>
    <n v="5"/>
    <n v="300"/>
    <n v="3400000"/>
    <n v="11333.333333333334"/>
    <n v="3400000"/>
    <s v="فيلا للبيع في الصحافة، شمال الرياض"/>
    <s v="الصحافة، شمال الرياض، الرياض"/>
    <x v="4"/>
    <s v="حي الصحافة"/>
    <s v="الرياض"/>
    <s v="شركة راكز العقارية"/>
  </r>
  <r>
    <s v="S404506846"/>
    <x v="2"/>
    <n v="5"/>
    <n v="6"/>
    <n v="252"/>
    <n v="3400000"/>
    <n v="13492.063492063493"/>
    <n v="3400000"/>
    <s v="فيلا درج داخلي للبيع في النرجس، شمال الرياض"/>
    <s v="النرجس، شمال الرياض، الرياض"/>
    <x v="4"/>
    <s v="حي النرجس"/>
    <s v="الرياض"/>
    <s v="​فردي / مالك"/>
  </r>
  <r>
    <s v="L074971415"/>
    <x v="2"/>
    <n v="9"/>
    <n v="6"/>
    <n v="375"/>
    <n v="3400000"/>
    <n v="9066.6666666666661"/>
    <n v="3400000"/>
    <s v="فيلا للبيع في اليرموك، شرق الرياض"/>
    <s v="اليرموك، شرق الرياض، الرياض"/>
    <x v="0"/>
    <s v="حي اليرموك"/>
    <s v="الرياض"/>
    <s v="إسكان سلمان للتسويق العقاري"/>
  </r>
  <r>
    <s v="C463004890"/>
    <x v="2"/>
    <n v="4"/>
    <n v="3"/>
    <n v="375"/>
    <n v="3400000"/>
    <n v="9066.6666666666661"/>
    <n v="3400000"/>
    <s v="فيلا للبيع في اليرموك، شرق الرياض"/>
    <s v="اليرموك، شرق الرياض، الرياض"/>
    <x v="0"/>
    <s v="حي اليرموك"/>
    <s v="الرياض"/>
    <s v="إسكان سلمان للتسويق العقاري"/>
  </r>
  <r>
    <s v="H074971415"/>
    <x v="2"/>
    <n v="9"/>
    <n v="6"/>
    <n v="375"/>
    <n v="3400000"/>
    <n v="9066.6666666666661"/>
    <n v="3400000"/>
    <s v="فيلا للبيع في اليرموك، شرق الرياض"/>
    <s v="اليرموك، شرق الرياض، الرياض"/>
    <x v="0"/>
    <s v="حي اليرموك"/>
    <s v="الرياض"/>
    <s v="إسكان سلمان للتسويق العقاري"/>
  </r>
  <r>
    <s v="O074971415"/>
    <x v="2"/>
    <n v="9"/>
    <n v="6"/>
    <n v="375"/>
    <n v="3400000"/>
    <n v="9066.6666666666661"/>
    <n v="3400000"/>
    <s v="فيلا للبيع في اليرموك، شرق الرياض"/>
    <s v="اليرموك، شرق الرياض، الرياض"/>
    <x v="0"/>
    <s v="حي اليرموك"/>
    <s v="الرياض"/>
    <s v="إسكان سلمان للتسويق العقاري"/>
  </r>
  <r>
    <s v="D357685465"/>
    <x v="2"/>
    <n v="5"/>
    <n v="5"/>
    <n v="300"/>
    <n v="3400000"/>
    <n v="11333.333333333334"/>
    <n v="3400000"/>
    <s v="فيلا للبيع في الصحافة، شمال الرياض"/>
    <s v="الصحافة، شمال الرياض، الرياض"/>
    <x v="4"/>
    <s v="حي الصحافة"/>
    <s v="الرياض"/>
    <s v="شركة راكز العقارية"/>
  </r>
  <r>
    <s v="L203454532"/>
    <x v="2"/>
    <n v="4"/>
    <n v="3"/>
    <n v="600"/>
    <n v="3450000"/>
    <n v="5750"/>
    <n v="3450000"/>
    <s v="فيلا للبيع في قرطبة، شرق الرياض"/>
    <s v="قرطبة، شرق الرياض، الرياض"/>
    <x v="0"/>
    <s v="حي قرطبة"/>
    <s v="الرياض"/>
    <s v="مؤسسة وسام المساكن العقارية"/>
  </r>
  <r>
    <s v="Z593160442"/>
    <x v="2"/>
    <n v="5"/>
    <n v="7"/>
    <n v="600"/>
    <n v="3450000"/>
    <n v="5750"/>
    <n v="3450000"/>
    <s v="فيلا للبيع في قرطبة, شرق الرياض"/>
    <s v="قرطبة، شرق الرياض، الرياض"/>
    <x v="0"/>
    <s v="حي قرطبة"/>
    <s v="الرياض"/>
    <s v="مؤسسة وسام المساكن العقارية"/>
  </r>
  <r>
    <s v="B012472855"/>
    <x v="2"/>
    <n v="5"/>
    <n v="5"/>
    <n v="260"/>
    <n v="3464500"/>
    <n v="13325"/>
    <n v="3464500"/>
    <s v="فيلا للبيع في النرجس, شمال الرياض"/>
    <s v="النرجس، شمال الرياض، الرياض"/>
    <x v="4"/>
    <s v="حي النرجس"/>
    <s v="الرياض"/>
    <s v="​فردي / مالك"/>
  </r>
  <r>
    <s v="O500164168"/>
    <x v="2"/>
    <n v="5"/>
    <n v="5"/>
    <n v="260"/>
    <n v="3464500"/>
    <n v="13325"/>
    <n v="3464500"/>
    <s v="فيلا للبيع في النرجس، شمال الرياض"/>
    <s v="النرجس، شمال الرياض، الرياض"/>
    <x v="4"/>
    <s v="حي النرجس"/>
    <s v="الرياض"/>
    <s v="شركة راكز العقارية"/>
  </r>
  <r>
    <s v="G269500648"/>
    <x v="2"/>
    <n v="4"/>
    <n v="4"/>
    <n v="425"/>
    <n v="3485000"/>
    <n v="8200"/>
    <n v="3485000"/>
    <s v="الرياض حي العارض"/>
    <s v="العارض، شمال الرياض، الرياض"/>
    <x v="4"/>
    <s v="حي العارض"/>
    <s v="الرياض"/>
    <s v="​فردي / مالك"/>
  </r>
  <r>
    <s v="S442527647"/>
    <x v="2"/>
    <n v="5"/>
    <n v="5"/>
    <n v="500"/>
    <n v="3500000"/>
    <n v="7000"/>
    <n v="3500000"/>
    <s v="فيلا للبيع في الملز، شرق الرياض"/>
    <s v="الملز، شرق الرياض، الرياض"/>
    <x v="0"/>
    <s v="حي الملز"/>
    <s v="الرياض"/>
    <s v="مؤسسة سعود علي عبدالعزيز السقامي للعقارات"/>
  </r>
  <r>
    <s v="T346946457"/>
    <x v="2"/>
    <n v="5"/>
    <n v="4"/>
    <n v="400"/>
    <n v="3500000"/>
    <n v="8750"/>
    <n v="3500000"/>
    <s v="فيلا فاخرة للبيع في المهدية، غرب الرياض"/>
    <s v="المهدية، غرب الرياض، الرياض"/>
    <x v="3"/>
    <s v="حي المهدية"/>
    <s v="الرياض"/>
    <s v="عبدالملك بن سليمان بن عبدالله اليوسف"/>
  </r>
  <r>
    <s v="J138392492"/>
    <x v="2"/>
    <n v="5"/>
    <n v="4"/>
    <n v="360"/>
    <n v="3500000"/>
    <n v="9722.2222222222226"/>
    <n v="3500000"/>
    <s v="فيلا للبيع في النرجس، شمال الرياض"/>
    <s v="النرجس، شمال الرياض، الرياض"/>
    <x v="4"/>
    <s v="حي النرجس"/>
    <s v="الرياض"/>
    <s v="​فردي / مالك"/>
  </r>
  <r>
    <s v="N564940755"/>
    <x v="2"/>
    <n v="3"/>
    <n v="3"/>
    <n v="245"/>
    <n v="3500000"/>
    <n v="14285.714285714286"/>
    <n v="3500000"/>
    <s v="فيلة أورورا، مجموعة من الفيلات المميزة المعروضة للبيع في موقع استراتيجي في حي رايان"/>
    <s v="الريان، شرق الرياض، الرياض"/>
    <x v="0"/>
    <s v="حي الريان"/>
    <s v="الرياض"/>
    <s v="​فردي / مالك"/>
  </r>
  <r>
    <s v="O525625941"/>
    <x v="2"/>
    <n v="7"/>
    <n v="6"/>
    <n v="449"/>
    <n v="3500000"/>
    <n v="7795.1002227171493"/>
    <n v="3500000"/>
    <s v="فيلا للبيع في المهدية، غرب الرياض"/>
    <s v="المهدية، غرب الرياض، الرياض"/>
    <x v="3"/>
    <s v="حي المهدية"/>
    <s v="الرياض"/>
    <s v="مكتب دليل المسوقين للعقارات"/>
  </r>
  <r>
    <s v="H980234855"/>
    <x v="2"/>
    <n v="7"/>
    <n v="5"/>
    <n v="238"/>
    <n v="3500000"/>
    <n v="14705.882352941177"/>
    <n v="3500000"/>
    <s v="فيلا فاخرة للبيع في الروضة, شرق الرياض"/>
    <s v="الروضة، شرق الرياض، الرياض"/>
    <x v="0"/>
    <s v="حي الروضة"/>
    <s v="الرياض"/>
    <s v="مكتب عواض شعيفان المطيري للعقارات"/>
  </r>
  <r>
    <s v="Y022450653"/>
    <x v="1"/>
    <n v="0"/>
    <n v="0"/>
    <n v="853"/>
    <n v="3500000"/>
    <n v="4103.1652989449003"/>
    <n v="3500000"/>
    <s v="أرض للبيع في اليرموك, شرق الرياض"/>
    <s v="اليرموك، شرق الرياض، الرياض"/>
    <x v="0"/>
    <s v="حي اليرموك"/>
    <s v="الرياض"/>
    <s v="​فردي / مالك"/>
  </r>
  <r>
    <s v="V038403949"/>
    <x v="2"/>
    <n v="5"/>
    <n v="5"/>
    <n v="800"/>
    <n v="3500000"/>
    <n v="4375"/>
    <n v="3500000"/>
    <s v="فيلا دور واحد في  مخطط الخير، شمال الرياض"/>
    <s v="مخطط الخير، شمال الرياض، الرياض"/>
    <x v="4"/>
    <s v="حي مخطط الخير"/>
    <s v="الرياض"/>
    <s v="شركة نهر للعقارات"/>
  </r>
  <r>
    <s v="U723850964"/>
    <x v="2"/>
    <n v="5"/>
    <n v="7"/>
    <n v="600"/>
    <n v="3500000"/>
    <n v="5833.333333333333"/>
    <n v="3500000"/>
    <s v="فيلا دوبلكس للبيع في قرطبة, شرق الرياض"/>
    <s v="قرطبة، شرق الرياض، الرياض"/>
    <x v="0"/>
    <s v="حي قرطبة"/>
    <s v="الرياض"/>
    <s v="سكن المعالي للعقارات"/>
  </r>
  <r>
    <s v="P070056079"/>
    <x v="2"/>
    <n v="3"/>
    <n v="3"/>
    <n v="418"/>
    <n v="3500000"/>
    <n v="8373.2057416267944"/>
    <n v="3500000"/>
    <s v="فيلا للبيع في المهدية, غرب الرياض"/>
    <s v="المهدية، غرب الرياض، الرياض"/>
    <x v="3"/>
    <s v="حي المهدية"/>
    <s v="الرياض"/>
    <s v="مكتب وسيط المسعد للعقارات"/>
  </r>
  <r>
    <s v="I577041298"/>
    <x v="2"/>
    <n v="8"/>
    <n v="6"/>
    <n v="600"/>
    <n v="3500000"/>
    <n v="5833.333333333333"/>
    <n v="3500000"/>
    <s v="للبيع فيلتين في ظهرة لبن، غرب الرياض"/>
    <s v="ظهرة لبن، غرب الرياض، الرياض"/>
    <x v="3"/>
    <s v="حي ظهرة لبن"/>
    <s v="الرياض"/>
    <s v="شركة تركي ابراهيم المحيسن للعقارات"/>
  </r>
  <r>
    <s v="X321783298"/>
    <x v="2"/>
    <n v="7"/>
    <n v="5"/>
    <n v="309"/>
    <n v="3500000"/>
    <n v="11326.860841423948"/>
    <n v="3500000"/>
    <s v="فيلا للبيع في المونسية, شرق الرياض"/>
    <s v="المونسية، شرق الرياض، الرياض"/>
    <x v="0"/>
    <s v="حي المونسية"/>
    <s v="الرياض"/>
    <s v="​فردي / مالك"/>
  </r>
  <r>
    <s v="X145492737"/>
    <x v="2"/>
    <n v="11"/>
    <n v="7"/>
    <n v="315"/>
    <n v="3500000"/>
    <n v="11111.111111111111"/>
    <n v="3500000"/>
    <s v="فيلا للبيع في حي العارض, مدينة الرياض, منطقة الرياض"/>
    <s v="العارض، شمال الرياض، الرياض"/>
    <x v="4"/>
    <s v="حي العارض"/>
    <s v="الرياض"/>
    <s v="مكتب طريق الاسكان"/>
  </r>
  <r>
    <s v="I120359977"/>
    <x v="2"/>
    <n v="8"/>
    <n v="5"/>
    <n v="625"/>
    <n v="3500000"/>
    <n v="5600"/>
    <n v="3500000"/>
    <s v="فيلا للبيع في الفيحاء، شرق الرياض"/>
    <s v="الفيحاء، شرق الرياض، الرياض"/>
    <x v="0"/>
    <s v="حي الفيحاء"/>
    <s v="الرياض"/>
    <s v="مكتب القرن الحالي للعقارات"/>
  </r>
  <r>
    <s v="O028989648"/>
    <x v="2"/>
    <n v="9"/>
    <n v="7"/>
    <n v="400"/>
    <n v="3500000"/>
    <n v="8750"/>
    <n v="3500000"/>
    <s v="فيلا للبيع في العقيق، شمال الرياض"/>
    <s v="العقيق، شمال الرياض، الرياض"/>
    <x v="4"/>
    <s v="حي العقيق"/>
    <s v="الرياض"/>
    <s v="​فردي / مالك"/>
  </r>
  <r>
    <s v="J730786004"/>
    <x v="2"/>
    <n v="5"/>
    <n v="8"/>
    <n v="300"/>
    <n v="3500000"/>
    <n v="11666.666666666666"/>
    <n v="3500000"/>
    <s v="فيلا للبيع في العارض, شمال الرياض"/>
    <s v="العارض، شمال الرياض، الرياض"/>
    <x v="4"/>
    <s v="حي العارض"/>
    <s v="الرياض"/>
    <s v="​فردي / مالك"/>
  </r>
  <r>
    <s v="T784403056"/>
    <x v="2"/>
    <n v="3"/>
    <n v="4"/>
    <n v="172"/>
    <n v="3500000"/>
    <n v="20348.837209302324"/>
    <n v="3500000"/>
    <s v="فيلا للبيع في عكاظ، جنوب الرياض"/>
    <s v="عكاظ، جنوب الرياض، الرياض"/>
    <x v="1"/>
    <s v="حي عكاظ"/>
    <s v="الرياض"/>
    <s v="شركة القرطبة للعقارات"/>
  </r>
  <r>
    <s v="P821090663"/>
    <x v="2"/>
    <n v="9"/>
    <n v="6"/>
    <n v="420"/>
    <n v="3500000"/>
    <n v="8333.3333333333339"/>
    <n v="3500000"/>
    <s v="فيلا درج داخلي مع شقتين للبيع في العارض، شمال الرياض"/>
    <s v="العارض، شمال الرياض، الرياض"/>
    <x v="4"/>
    <s v="حي العارض"/>
    <s v="الرياض"/>
    <s v="مكتب ابراج العارض للعقارات"/>
  </r>
  <r>
    <s v="O693692376"/>
    <x v="2"/>
    <n v="5"/>
    <n v="7"/>
    <n v="241"/>
    <n v="3600000"/>
    <n v="14937.759336099585"/>
    <n v="3600000"/>
    <s v="فيلا جديدة للبيع في الرمال، شرق الرياض"/>
    <s v="الرمال، شرق الرياض، الرياض"/>
    <x v="0"/>
    <s v="حي الرمال"/>
    <s v="الرياض"/>
    <s v="​فردي / مالك"/>
  </r>
  <r>
    <s v="Z452790258"/>
    <x v="2"/>
    <n v="6"/>
    <n v="6"/>
    <n v="312"/>
    <n v="3600000"/>
    <n v="11538.461538461539"/>
    <n v="3600000"/>
    <s v="للبيع فيلا في  القيروان، شمال الرياض"/>
    <s v="القيروان، شمال الرياض، الرياض"/>
    <x v="4"/>
    <s v="حي القيروان"/>
    <s v="الرياض"/>
    <s v="مؤسسة ركيز العقارية"/>
  </r>
  <r>
    <s v="K341463441"/>
    <x v="4"/>
    <n v="0"/>
    <n v="0"/>
    <n v="312"/>
    <n v="3700000"/>
    <n v="11858.974358974359"/>
    <n v="3700000"/>
    <s v="عمارة للبيع في الضباض، وسط الرياض"/>
    <s v="الضباط، وسط الرياض، الرياض"/>
    <x v="2"/>
    <s v="حي الضباط"/>
    <s v="الرياض"/>
    <s v="​فردي / مالك"/>
  </r>
  <r>
    <s v="S464052926"/>
    <x v="2"/>
    <n v="3"/>
    <n v="4"/>
    <n v="371"/>
    <n v="3700000"/>
    <n v="9973.0458221024255"/>
    <n v="3700000"/>
    <s v="فيلا للبيع في الياسمين, شمال الرياض"/>
    <s v="الياسمين، شمال الرياض، الرياض"/>
    <x v="4"/>
    <s v="حي الياسمين"/>
    <s v="الرياض"/>
    <s v="شركة مدى الاعصار العقارية"/>
  </r>
  <r>
    <s v="S076431395"/>
    <x v="2"/>
    <n v="6"/>
    <n v="6"/>
    <n v="300"/>
    <n v="3700000"/>
    <n v="12333.333333333334"/>
    <n v="3700000"/>
    <s v="فيلا للبيع في قرطبة, شرق الرياض"/>
    <s v="قرطبة، شرق الرياض، الرياض"/>
    <x v="0"/>
    <s v="حي قرطبة"/>
    <s v="الرياض"/>
    <s v="​فردي / مالك"/>
  </r>
  <r>
    <s v="Y263814753"/>
    <x v="2"/>
    <n v="5"/>
    <n v="6"/>
    <n v="288"/>
    <n v="3750000"/>
    <n v="13020.833333333334"/>
    <n v="3750000"/>
    <s v="فيلا زاوية للبيع في النرجس، شمال الرياض"/>
    <s v="النرجس، شمال الرياض، الرياض"/>
    <x v="4"/>
    <s v="حي النرجس"/>
    <s v="الرياض"/>
    <s v="​فردي / مالك"/>
  </r>
  <r>
    <s v="G717011063"/>
    <x v="2"/>
    <n v="3"/>
    <n v="3"/>
    <n v="3283"/>
    <n v="3750000"/>
    <n v="1142.247943953701"/>
    <n v="3750000"/>
    <s v="فيلا للبيع في الإزدهار، شرق الرياض"/>
    <s v="الازدهار، شرق الرياض، الرياض"/>
    <x v="0"/>
    <s v="حي الازدهار"/>
    <s v="الرياض"/>
    <s v="شركة راكز العقارية"/>
  </r>
  <r>
    <s v="O899275444"/>
    <x v="2"/>
    <n v="5"/>
    <n v="9"/>
    <n v="450"/>
    <n v="3800000"/>
    <n v="8444.4444444444453"/>
    <n v="3800000"/>
    <s v="فيلا زاوية درج داخلي وشقة للبيع في اليرموك، شرق الرياض"/>
    <s v="اليرموك، شرق الرياض، الرياض"/>
    <x v="0"/>
    <s v="حي اليرموك"/>
    <s v="الرياض"/>
    <s v="​فردي / مالك"/>
  </r>
  <r>
    <s v="D673704645"/>
    <x v="2"/>
    <n v="4"/>
    <n v="5"/>
    <n v="432"/>
    <n v="3800000"/>
    <n v="8796.2962962962956"/>
    <n v="3800000"/>
    <s v="فيلا للبيع في العارض، الرياض"/>
    <s v="العارض، شمال الرياض، الرياض"/>
    <x v="4"/>
    <s v="حي العارض"/>
    <s v="الرياض"/>
    <s v="مشاورات العقارية"/>
  </r>
  <r>
    <s v="U817780540"/>
    <x v="2"/>
    <n v="8"/>
    <n v="7"/>
    <n v="300"/>
    <n v="3800000"/>
    <n v="12666.666666666666"/>
    <n v="3800000"/>
    <s v="فيلا للبيع في النرجس، الرياض"/>
    <s v="النرجس، شمال الرياض، الرياض"/>
    <x v="4"/>
    <s v="حي النرجس"/>
    <s v="الرياض"/>
    <s v="​فردي / مالك"/>
  </r>
  <r>
    <s v="J117594433"/>
    <x v="2"/>
    <n v="5"/>
    <n v="4"/>
    <n v="400"/>
    <n v="3800000"/>
    <n v="9500"/>
    <n v="3800000"/>
    <s v="فيلا للبيع في المهدية، غرب الرياض"/>
    <s v="المهدية، غرب الرياض، الرياض"/>
    <x v="3"/>
    <s v="حي المهدية"/>
    <s v="الرياض"/>
    <s v="​فردي / مالك"/>
  </r>
  <r>
    <s v="R263543788"/>
    <x v="2"/>
    <n v="5"/>
    <n v="5"/>
    <n v="403"/>
    <n v="3800000"/>
    <n v="9429.2803970223322"/>
    <n v="3800000"/>
    <s v="فيلا للبيع في الصحافة, شمال الرياض"/>
    <s v="الصحافة، شمال الرياض، الرياض"/>
    <x v="4"/>
    <s v="حي الصحافة"/>
    <s v="الرياض"/>
    <s v="​فردي / مالك"/>
  </r>
  <r>
    <s v="N865815090"/>
    <x v="2"/>
    <n v="5"/>
    <n v="5"/>
    <n v="312"/>
    <n v="3800000"/>
    <n v="12179.48717948718"/>
    <n v="3800000"/>
    <s v="فيلا للبيع في القيروان، الرياض"/>
    <s v="القيروان، شمال الرياض، الرياض"/>
    <x v="4"/>
    <s v="حي القيروان"/>
    <s v="الرياض"/>
    <s v="مؤسسة مراة المشاريع العقارية"/>
  </r>
  <r>
    <s v="T374576068"/>
    <x v="2"/>
    <n v="7"/>
    <n v="5"/>
    <n v="300"/>
    <n v="4000000"/>
    <n v="13333.333333333334"/>
    <n v="4000000"/>
    <s v="مشروع أبادي - 1 بحي ‫الياسمين"/>
    <s v="الياسمين، شمال الرياض، الرياض"/>
    <x v="4"/>
    <s v="حي الياسمين"/>
    <s v="الرياض"/>
    <s v="​فردي / مالك"/>
  </r>
  <r>
    <s v="U541688274"/>
    <x v="2"/>
    <n v="7"/>
    <n v="7"/>
    <n v="360"/>
    <n v="4000000"/>
    <n v="11111.111111111111"/>
    <n v="4000000"/>
    <s v="للبيع فيلا في المهدية، غرب الرياض"/>
    <s v="المهدية، غرب الرياض، الرياض"/>
    <x v="3"/>
    <s v="حي المهدية"/>
    <s v="الرياض"/>
    <s v="​فردي / مالك"/>
  </r>
  <r>
    <s v="N972574096"/>
    <x v="2"/>
    <n v="5"/>
    <n v="5"/>
    <n v="1066"/>
    <n v="4000000"/>
    <n v="3752.3452157598499"/>
    <n v="4000000"/>
    <s v="فيلا للبيع في طويق, غرب الرياض"/>
    <s v="طويق، غرب الرياض، الرياض"/>
    <x v="3"/>
    <s v="حي طويق"/>
    <s v="الرياض"/>
    <s v="​فردي / مالك"/>
  </r>
  <r>
    <s v="O865616259"/>
    <x v="2"/>
    <n v="7"/>
    <n v="4"/>
    <n v="200"/>
    <n v="4000000"/>
    <n v="20000"/>
    <n v="4000000"/>
    <s v="فيلا للبيع في مطار الملك خالد الدولي، شمال الرياض"/>
    <s v="مطار الملك خالد الدولي، شمال الرياض، الرياض"/>
    <x v="4"/>
    <s v="حي مطار الملك خالد الدولي"/>
    <s v="الرياض"/>
    <s v="مكتب الاحمدي للعقارات"/>
  </r>
  <r>
    <s v="Y633650846"/>
    <x v="2"/>
    <n v="4"/>
    <n v="5"/>
    <n v="400"/>
    <n v="4000000"/>
    <n v="10000"/>
    <n v="4000000"/>
    <s v="فيلا للبيع بحي المهديه ، الرياض"/>
    <s v="المهدية، غرب الرياض، الرياض"/>
    <x v="3"/>
    <s v="حي المهدية"/>
    <s v="الرياض"/>
    <s v="​فردي / مالك"/>
  </r>
  <r>
    <s v="Z709754554"/>
    <x v="2"/>
    <n v="6"/>
    <n v="6"/>
    <n v="400"/>
    <n v="4000000"/>
    <n v="10000"/>
    <n v="4000000"/>
    <s v="فيلا للبيع في حي المهدية ، الرياض"/>
    <s v="المهدية، غرب الرياض، الرياض"/>
    <x v="3"/>
    <s v="حي المهدية"/>
    <s v="الرياض"/>
    <s v="​فردي / مالك"/>
  </r>
  <r>
    <s v="K746967363"/>
    <x v="2"/>
    <n v="5"/>
    <n v="5"/>
    <n v="735"/>
    <n v="4000000"/>
    <n v="5442.1768707482997"/>
    <n v="4000000"/>
    <s v="فيلا للبيع في المونسية، شرق الرياض"/>
    <s v="المونسية، شرق الرياض، الرياض"/>
    <x v="0"/>
    <s v="حي المونسية"/>
    <s v="الرياض"/>
    <s v="​فردي / مالك"/>
  </r>
  <r>
    <s v="M015306692"/>
    <x v="2"/>
    <n v="5"/>
    <n v="5"/>
    <n v="324"/>
    <n v="4000000"/>
    <n v="12345.679012345679"/>
    <n v="4000000"/>
    <s v="فيلا للبيع في النرجس، شمال الرياض"/>
    <s v="النرجس، شمال الرياض، الرياض"/>
    <x v="4"/>
    <s v="حي النرجس"/>
    <s v="الرياض"/>
    <s v="مكتب الوان البصمة للعقارات"/>
  </r>
  <r>
    <s v="R715150012"/>
    <x v="2"/>
    <n v="7"/>
    <n v="5"/>
    <n v="400"/>
    <n v="4000000"/>
    <n v="10000"/>
    <n v="4000000"/>
    <s v="للبيع فيلا في الياسمين، شمال الرياض"/>
    <s v="الياسمين، شمال الرياض، الرياض"/>
    <x v="4"/>
    <s v="حي الياسمين"/>
    <s v="الرياض"/>
    <s v="مكتب الاحمدي للعقارات"/>
  </r>
  <r>
    <s v="X865616259"/>
    <x v="2"/>
    <n v="7"/>
    <n v="4"/>
    <n v="200"/>
    <n v="4000000"/>
    <n v="20000"/>
    <n v="4000000"/>
    <s v="فيلا للبيع في مطار الملك خالد الدولي، شمال الرياض"/>
    <s v="مطار الملك خالد الدولي، شمال الرياض، الرياض"/>
    <x v="4"/>
    <s v="حي مطار الملك خالد الدولي"/>
    <s v="الرياض"/>
    <s v="مكتب الاحمدي للعقارات"/>
  </r>
  <r>
    <s v="B252728346"/>
    <x v="2"/>
    <n v="7"/>
    <n v="5"/>
    <n v="450"/>
    <n v="4000000"/>
    <n v="8888.8888888888887"/>
    <n v="4000000"/>
    <s v="فيلا دورين منفصلة للبيع في المهدية، الرياض"/>
    <s v="المهدية، غرب الرياض، الرياض"/>
    <x v="3"/>
    <s v="حي المهدية"/>
    <s v="الرياض"/>
    <s v="مكتب خالد عبدالرحمن منيف الدعجاني للعقارات"/>
  </r>
  <r>
    <s v="U076772864"/>
    <x v="2"/>
    <n v="5"/>
    <n v="5"/>
    <n v="360"/>
    <n v="4100000"/>
    <n v="11388.888888888889"/>
    <n v="4100000"/>
    <s v="مشروع إعمار الياسمين بحي الياسمين"/>
    <s v="الياسمين، شمال الرياض، الرياض"/>
    <x v="4"/>
    <s v="حي الياسمين"/>
    <s v="الرياض"/>
    <s v="​فردي / مالك"/>
  </r>
  <r>
    <s v="X341668579"/>
    <x v="2"/>
    <n v="5"/>
    <n v="6"/>
    <n v="440"/>
    <n v="4200000"/>
    <n v="9545.454545454546"/>
    <n v="4200000"/>
    <s v="فيلا زاوية للبيع في الربيع، شمال الرياض"/>
    <s v="الربيع، شمال الرياض، الرياض"/>
    <x v="4"/>
    <s v="حي الربيع"/>
    <s v="الرياض"/>
    <s v="مكتب غربي النخيل للعقارات"/>
  </r>
  <r>
    <s v="R127010331"/>
    <x v="2"/>
    <n v="5"/>
    <n v="5"/>
    <n v="275"/>
    <n v="4200000"/>
    <n v="15272.727272727272"/>
    <n v="4200000"/>
    <s v="فيلا للبيع في حي الياسمين، شمال الرياض"/>
    <s v="الياسمين، شمال الرياض، الرياض"/>
    <x v="4"/>
    <s v="حي الياسمين"/>
    <s v="الرياض"/>
    <s v="شركة قصر الرقي العقارية"/>
  </r>
  <r>
    <s v="L771460315"/>
    <x v="2"/>
    <n v="5"/>
    <n v="7"/>
    <n v="360"/>
    <n v="4200000"/>
    <n v="11666.666666666666"/>
    <n v="4200000"/>
    <s v="فيلا للبيع في النرجس، شمال الرياض"/>
    <s v="النرجس، شمال الرياض، الرياض"/>
    <x v="4"/>
    <s v="حي النرجس"/>
    <s v="الرياض"/>
    <s v="​فردي / مالك"/>
  </r>
  <r>
    <s v="Q392499314"/>
    <x v="2"/>
    <n v="6"/>
    <n v="6"/>
    <n v="385"/>
    <n v="4200000"/>
    <n v="10909.09090909091"/>
    <n v="4200000"/>
    <s v="فيلا للبيع في الياسمين، الرياض"/>
    <s v="الياسمين، شمال الرياض، الرياض"/>
    <x v="4"/>
    <s v="حي الياسمين"/>
    <s v="الرياض"/>
    <s v="شركة قصر الرقي العقارية"/>
  </r>
  <r>
    <s v="R691087251"/>
    <x v="1"/>
    <n v="0"/>
    <n v="0"/>
    <n v="446"/>
    <n v="4200000"/>
    <n v="9417.0403587443943"/>
    <n v="4200000"/>
    <s v="فيلا قديمة للبيع في الورود، شمال الرياض"/>
    <s v="الورود، شمال الرياض، الرياض"/>
    <x v="4"/>
    <s v="حي الورود"/>
    <s v="الرياض"/>
    <s v="مساكن ركاز للعقارات"/>
  </r>
  <r>
    <s v="R657961725"/>
    <x v="2"/>
    <n v="5"/>
    <n v="6"/>
    <n v="417"/>
    <n v="4200000"/>
    <n v="10071.942446043166"/>
    <n v="4200000"/>
    <s v="فيلا للبيع في  الشهداء، شرق الرياض"/>
    <s v="الشهداء، شرق الرياض، الرياض"/>
    <x v="0"/>
    <s v="حي الشهداء"/>
    <s v="الرياض"/>
    <s v="​فردي / مالك"/>
  </r>
  <r>
    <s v="H475856056"/>
    <x v="2"/>
    <n v="4"/>
    <n v="4"/>
    <n v="360"/>
    <n v="4300000"/>
    <n v="11944.444444444445"/>
    <n v="4300000"/>
    <s v="فيلا للبيع في النرجس، شمال الرياض"/>
    <s v="النرجس، شمال الرياض، الرياض"/>
    <x v="4"/>
    <s v="حي النرجس"/>
    <s v="الرياض"/>
    <s v="مكتب الوان البصمة للعقارات"/>
  </r>
  <r>
    <s v="O531226257"/>
    <x v="2"/>
    <n v="8"/>
    <n v="5"/>
    <n v="500"/>
    <n v="4300000"/>
    <n v="8600"/>
    <n v="4300000"/>
    <s v="فيلا للبيع في العارض، شمال الرياض"/>
    <s v="العارض، شمال الرياض، الرياض"/>
    <x v="4"/>
    <s v="حي العارض"/>
    <s v="الرياض"/>
    <s v="​فردي / مالك"/>
  </r>
  <r>
    <s v="Q542824172"/>
    <x v="2"/>
    <n v="5"/>
    <n v="5"/>
    <n v="364"/>
    <n v="4400000"/>
    <n v="12087.912087912087"/>
    <n v="4400000"/>
    <s v="مشروع إعمار الياسمين بحي الياسمين"/>
    <s v="الياسمين، شمال الرياض، الرياض"/>
    <x v="4"/>
    <s v="حي الياسمين"/>
    <s v="الرياض"/>
    <s v="​فردي / مالك"/>
  </r>
  <r>
    <s v="W825079379"/>
    <x v="2"/>
    <n v="6"/>
    <n v="5"/>
    <n v="285"/>
    <n v="4400000"/>
    <n v="15438.596491228071"/>
    <n v="4400000"/>
    <s v="فيلا للبيع في النرجس, شمال الرياض"/>
    <s v="النرجس، شمال الرياض، الرياض"/>
    <x v="4"/>
    <s v="حي النرجس"/>
    <s v="الرياض"/>
    <s v="​فردي / مالك"/>
  </r>
  <r>
    <s v="G454399021"/>
    <x v="2"/>
    <n v="4"/>
    <n v="4"/>
    <n v="900"/>
    <n v="4400000"/>
    <n v="4888.8888888888887"/>
    <n v="4400000"/>
    <s v="فيلا  للبيع في النرجس، الرياض"/>
    <s v="النرجس، شمال الرياض، الرياض"/>
    <x v="4"/>
    <s v="حي النرجس"/>
    <s v="الرياض"/>
    <s v="شركة قصر الرقي العقارية"/>
  </r>
  <r>
    <s v="K874155203"/>
    <x v="2"/>
    <n v="5"/>
    <n v="7"/>
    <n v="900"/>
    <n v="4400000"/>
    <n v="4888.8888888888887"/>
    <n v="4400000"/>
    <s v="فيلا للبيع في النرجس، شمال الرياض"/>
    <s v="النرجس، شمال الرياض، الرياض"/>
    <x v="4"/>
    <s v="حي النرجس"/>
    <s v="الرياض"/>
    <s v="شركة قصر الرقي العقارية"/>
  </r>
  <r>
    <s v="Y925223765"/>
    <x v="2"/>
    <n v="6"/>
    <n v="6"/>
    <n v="300"/>
    <n v="4400000"/>
    <n v="14666.666666666666"/>
    <n v="4400000"/>
    <s v="فيلا للبيع في حي النرجس، شمال الرياض"/>
    <s v="النرجس، شمال الرياض، الرياض"/>
    <x v="4"/>
    <s v="حي النرجس"/>
    <s v="الرياض"/>
    <s v="شركة قصر الرقي العقارية"/>
  </r>
  <r>
    <s v="I067502048"/>
    <x v="2"/>
    <n v="4"/>
    <n v="6"/>
    <n v="496"/>
    <n v="4400000"/>
    <n v="8870.967741935483"/>
    <n v="4400000"/>
    <s v="فيلا للبيع في المونسية, شرق الرياض"/>
    <s v="المونسية، شرق الرياض، الرياض"/>
    <x v="0"/>
    <s v="حي المونسية"/>
    <s v="الرياض"/>
    <s v="مكتب عبدالله بن فيحان بن محمد العتيبي للعقارات"/>
  </r>
  <r>
    <s v="L075155414"/>
    <x v="5"/>
    <n v="3"/>
    <n v="1"/>
    <n v="450"/>
    <n v="4500000"/>
    <n v="10000"/>
    <n v="4500000"/>
    <s v="أستراحة للبيع في بنبان, شمال الرياض"/>
    <s v="بنبان، الرياض"/>
    <x v="4"/>
    <s v="حي بنبان"/>
    <s v="الرياض"/>
    <s v="مكتب آعالي للخدمات العقارية"/>
  </r>
  <r>
    <s v="T668552259"/>
    <x v="2"/>
    <n v="5"/>
    <n v="3"/>
    <n v="504"/>
    <n v="4500000"/>
    <n v="8928.5714285714294"/>
    <n v="4500000"/>
    <s v="فيلا 5 غرف نوم للبيع العريض، الرياض"/>
    <s v="العارض، شمال الرياض، الرياض"/>
    <x v="4"/>
    <s v="حي العارض"/>
    <s v="الرياض"/>
    <s v="مؤسسة المكعب الجديد العقارية"/>
  </r>
  <r>
    <s v="X915816591"/>
    <x v="5"/>
    <n v="2"/>
    <n v="1"/>
    <n v="543"/>
    <n v="4500000"/>
    <n v="8287.2928176795576"/>
    <n v="4500000"/>
    <s v="استراحة للبيع النرجس، الرياض"/>
    <s v="النرجس، شمال الرياض، الرياض"/>
    <x v="4"/>
    <s v="حي النرجس"/>
    <s v="الرياض"/>
    <s v="​فردي / مالك"/>
  </r>
  <r>
    <s v="F811758788"/>
    <x v="2"/>
    <n v="10"/>
    <n v="9"/>
    <n v="390"/>
    <n v="4500000"/>
    <n v="11538.461538461539"/>
    <n v="4500000"/>
    <s v="فيلا للبيع في قرطبة, شرق الرياض"/>
    <s v="قرطبة، شرق الرياض، الرياض"/>
    <x v="0"/>
    <s v="حي قرطبة"/>
    <s v="الرياض"/>
    <s v="​فردي / مالك"/>
  </r>
  <r>
    <s v="B528516548"/>
    <x v="2"/>
    <n v="4"/>
    <n v="6"/>
    <n v="360"/>
    <n v="4500000"/>
    <n v="12500"/>
    <n v="4500000"/>
    <s v="فيلا للبيع في النرجس، شمال الرياض"/>
    <s v="النرجس، شمال الرياض، الرياض"/>
    <x v="4"/>
    <s v="حي النرجس"/>
    <s v="الرياض"/>
    <s v="​فردي / مالك"/>
  </r>
  <r>
    <s v="P065916465"/>
    <x v="2"/>
    <n v="11"/>
    <n v="10"/>
    <n v="634"/>
    <n v="4500000"/>
    <n v="7097.7917981072551"/>
    <n v="4500000"/>
    <s v="فيلا للبيع في حي الورود، شمال الرياض"/>
    <s v="الورود، شمال الرياض، الرياض"/>
    <x v="4"/>
    <s v="حي الورود"/>
    <s v="الرياض"/>
    <s v="​فردي / مالك"/>
  </r>
  <r>
    <s v="V077214143"/>
    <x v="2"/>
    <n v="5"/>
    <n v="5"/>
    <n v="550"/>
    <n v="4500000"/>
    <n v="8181.818181818182"/>
    <n v="4500000"/>
    <s v="فيلا للبيع في حي الياسمين , شمال الرياض"/>
    <s v="الياسمين، شمال الرياض، الرياض"/>
    <x v="4"/>
    <s v="حي الياسمين"/>
    <s v="الرياض"/>
    <s v="اللحيدان للعقارات"/>
  </r>
  <r>
    <s v="C587521909"/>
    <x v="2"/>
    <n v="6"/>
    <n v="6"/>
    <n v="351"/>
    <n v="4600000"/>
    <n v="13105.413105413105"/>
    <n v="4600000"/>
    <s v="فيلا للبيع في النرجس، شمال الرياض"/>
    <s v="النرجس، شمال الرياض، الرياض"/>
    <x v="4"/>
    <s v="حي النرجس"/>
    <s v="الرياض"/>
    <s v="مكتب عبدالله البراك للعقارات"/>
  </r>
  <r>
    <s v="Q944071908"/>
    <x v="2"/>
    <n v="4"/>
    <n v="5"/>
    <n v="475"/>
    <n v="4700000"/>
    <n v="9894.7368421052633"/>
    <n v="4700000"/>
    <s v="فيلا للبيع في الياسمين، شمال الرياض"/>
    <s v="الياسمين، شمال الرياض، الرياض"/>
    <x v="4"/>
    <s v="حي الياسمين"/>
    <s v="الرياض"/>
    <s v="​فردي / مالك"/>
  </r>
  <r>
    <s v="C271342616"/>
    <x v="2"/>
    <n v="4"/>
    <n v="5"/>
    <n v="475"/>
    <n v="4700000"/>
    <n v="9894.7368421052633"/>
    <n v="4700000"/>
    <s v="فيلا للبيع في الياسمين، شمال الرياض"/>
    <s v="الياسمين، شمال الرياض، الرياض"/>
    <x v="4"/>
    <s v="حي الياسمين"/>
    <s v="الرياض"/>
    <s v="شركة راكز العقارية"/>
  </r>
  <r>
    <s v="N068128150"/>
    <x v="2"/>
    <n v="5"/>
    <n v="4"/>
    <n v="358"/>
    <n v="4750000"/>
    <n v="13268.156424581006"/>
    <n v="4750000"/>
    <s v="فيلا 5 غرف نوم للبيع في القريوان، الرياض"/>
    <s v="القيروان، شمال الرياض، الرياض"/>
    <x v="4"/>
    <s v="حي القيروان"/>
    <s v="الرياض"/>
    <s v="مؤسسة مراة المشاريع العقارية"/>
  </r>
  <r>
    <s v="W448904463"/>
    <x v="2"/>
    <n v="5"/>
    <n v="6"/>
    <n v="440"/>
    <n v="4800000"/>
    <n v="10909.09090909091"/>
    <n v="4800000"/>
    <s v="فيلا للبيع في الملك فهد، شمال الرياض"/>
    <s v="الملك فهد، شمال الرياض، الرياض"/>
    <x v="4"/>
    <s v="حي الملك فهد"/>
    <s v="الرياض"/>
    <s v="​فردي / مالك"/>
  </r>
  <r>
    <s v="S389787477"/>
    <x v="2"/>
    <n v="5"/>
    <n v="3"/>
    <n v="375"/>
    <n v="4800000"/>
    <n v="12800"/>
    <n v="4800000"/>
    <s v="فيلا 6 غرف للبيع بحي القيروان، شمال الرياض"/>
    <s v="القيروان، شمال الرياض، الرياض"/>
    <x v="4"/>
    <s v="حي القيروان"/>
    <s v="الرياض"/>
    <s v="مؤسسة أراما للخدمات اللوجستية"/>
  </r>
  <r>
    <s v="Z003758017"/>
    <x v="2"/>
    <n v="7"/>
    <n v="9"/>
    <n v="360"/>
    <n v="4800000"/>
    <n v="13333.333333333334"/>
    <n v="4800000"/>
    <s v="فيلا للبيع في الياسمين, شمال الرياض"/>
    <s v="الياسمين، شمال الرياض، الرياض"/>
    <x v="4"/>
    <s v="حي الياسمين"/>
    <s v="الرياض"/>
    <s v="​فردي / مالك"/>
  </r>
  <r>
    <s v="R356186338"/>
    <x v="1"/>
    <n v="0"/>
    <n v="0"/>
    <n v="450"/>
    <n v="4860000"/>
    <n v="10800"/>
    <n v="4860000"/>
    <s v="أرض سكنية للبيع في حي القيروان، شمال الرياض"/>
    <s v="القيروان، شمال الرياض، الرياض"/>
    <x v="4"/>
    <s v="حي القيروان"/>
    <s v="الرياض"/>
    <s v="​فردي / مالك"/>
  </r>
  <r>
    <s v="M187516680"/>
    <x v="2"/>
    <n v="11"/>
    <n v="6"/>
    <n v="445"/>
    <n v="5000000"/>
    <n v="11235.955056179775"/>
    <n v="5000000"/>
    <s v="فيلا للبيع في الوادي، شمال الرياض"/>
    <s v="الوادي، شمال الرياض، الرياض"/>
    <x v="4"/>
    <s v="حي الوادي"/>
    <s v="الرياض"/>
    <s v="​فردي / مالك"/>
  </r>
  <r>
    <s v="I201441787"/>
    <x v="2"/>
    <n v="6"/>
    <n v="5"/>
    <n v="616"/>
    <n v="5000000"/>
    <n v="8116.8831168831166"/>
    <n v="5000000"/>
    <s v="فيلا درج داخلي للبيع في الرمال، شرق الرياض"/>
    <s v="الرمال، شرق الرياض، الرياض"/>
    <x v="0"/>
    <s v="حي الرمال"/>
    <s v="الرياض"/>
    <s v="مكتب ركن هتان للعقارات"/>
  </r>
  <r>
    <s v="Z315311204"/>
    <x v="2"/>
    <n v="7"/>
    <n v="7"/>
    <n v="600"/>
    <n v="5000000"/>
    <n v="8333.3333333333339"/>
    <n v="5000000"/>
    <s v="للبيع فيلا فاخرة في اليرموك، شرق الرياض"/>
    <s v="اليرموك، شرق الرياض، الرياض"/>
    <x v="0"/>
    <s v="حي اليرموك"/>
    <s v="الرياض"/>
    <s v="مكتب ريم الوادي للعقارات"/>
  </r>
  <r>
    <s v="N189158718"/>
    <x v="4"/>
    <n v="11"/>
    <n v="7"/>
    <n v="1281"/>
    <n v="5000000"/>
    <n v="3903.2006245121001"/>
    <n v="5000000"/>
    <s v="عمارة للبيع في غبيرة، وسط الرياض"/>
    <s v="غبيرة، وسط الرياض، الرياض"/>
    <x v="2"/>
    <s v="حي غبيرة"/>
    <s v="الرياض"/>
    <s v="​فردي / مالك"/>
  </r>
  <r>
    <s v="F392553841"/>
    <x v="4"/>
    <n v="2"/>
    <n v="2"/>
    <n v="500"/>
    <n v="5000000"/>
    <n v="10000"/>
    <n v="5000000"/>
    <s v="عمارة سكنية للبيع بحي جرير، وسط الرياض"/>
    <s v="جرير، وسط الرياض، الرياض"/>
    <x v="2"/>
    <s v="حي جرير"/>
    <s v="الرياض"/>
    <s v="​فردي / مالك"/>
  </r>
  <r>
    <s v="D976202645"/>
    <x v="2"/>
    <n v="6"/>
    <n v="6"/>
    <n v="650"/>
    <n v="5000000"/>
    <n v="7692.3076923076924"/>
    <n v="5000000"/>
    <s v="فيلا للبيع في الياسمين، شمال الرياض"/>
    <s v="الياسمين، شمال الرياض، الرياض"/>
    <x v="4"/>
    <s v="حي الياسمين"/>
    <s v="الرياض"/>
    <s v="شركة العمار العقارية"/>
  </r>
  <r>
    <s v="S207997014"/>
    <x v="2"/>
    <n v="5"/>
    <n v="5"/>
    <n v="508"/>
    <n v="5000000"/>
    <n v="9842.5196850393695"/>
    <n v="5000000"/>
    <s v="قصر للبيع في الملز، شرق الرياض"/>
    <s v="الملز، شرق الرياض، الرياض"/>
    <x v="0"/>
    <s v="حي الملز"/>
    <s v="الرياض"/>
    <s v="​فردي / مالك"/>
  </r>
  <r>
    <s v="P861763332"/>
    <x v="2"/>
    <n v="5"/>
    <n v="4"/>
    <n v="600"/>
    <n v="5000000"/>
    <n v="8333.3333333333339"/>
    <n v="5000000"/>
    <s v="فيلا للبيع في العارض, شمال الرياض"/>
    <s v="العارض، شمال الرياض، الرياض"/>
    <x v="4"/>
    <s v="حي العارض"/>
    <s v="الرياض"/>
    <s v="مكتب طريق الاسكان"/>
  </r>
  <r>
    <s v="O643326830"/>
    <x v="2"/>
    <n v="8"/>
    <n v="6"/>
    <n v="450"/>
    <n v="5200000"/>
    <n v="11555.555555555555"/>
    <n v="5200000"/>
    <s v="فيلا للبيع في النزهة، شمال الرياض"/>
    <s v="النزهة، شمال الرياض، الرياض"/>
    <x v="4"/>
    <s v="حي النزهة"/>
    <s v="الرياض"/>
    <s v="​فردي / مالك"/>
  </r>
  <r>
    <s v="F272684081"/>
    <x v="1"/>
    <n v="0"/>
    <n v="0"/>
    <n v="450"/>
    <n v="5220000"/>
    <n v="11600"/>
    <n v="5220000"/>
    <s v="أرض سكنية للبيع في المهدية، غرب الرياض"/>
    <s v="المهدية، غرب الرياض، الرياض"/>
    <x v="3"/>
    <s v="حي المهدية"/>
    <s v="الرياض"/>
    <s v="شركة مداولة العقارية"/>
  </r>
  <r>
    <s v="I885190007"/>
    <x v="4"/>
    <n v="11"/>
    <n v="10"/>
    <n v="336"/>
    <n v="5300000"/>
    <n v="15773.809523809523"/>
    <n v="5300000"/>
    <s v="عمارة للبيع في الورود، شمال الرياض"/>
    <s v="الورود، شمال الرياض، الرياض"/>
    <x v="4"/>
    <s v="حي الورود"/>
    <s v="الرياض"/>
    <s v="مكتب أحياء المدينة للخدمات العقارية"/>
  </r>
  <r>
    <s v="B081401018"/>
    <x v="2"/>
    <n v="8"/>
    <n v="5"/>
    <n v="450"/>
    <n v="5400000"/>
    <n v="12000"/>
    <n v="5400000"/>
    <s v="فيلا للبيع في النرجس, شمال الرياض"/>
    <s v="النرجس، شمال الرياض، الرياض"/>
    <x v="4"/>
    <s v="حي النرجس"/>
    <s v="الرياض"/>
    <s v="شركة إثراء الأولى العقارية"/>
  </r>
  <r>
    <s v="T586702253"/>
    <x v="4"/>
    <n v="11"/>
    <n v="11"/>
    <n v="1200"/>
    <n v="5500000"/>
    <n v="4583.333333333333"/>
    <n v="5500000"/>
    <s v="عمارة سكنية للبيع في حي الجرادية, غرب الرياض"/>
    <s v="الجرادية، غرب الرياض، الرياض"/>
    <x v="3"/>
    <s v="حي الجرادية"/>
    <s v="الرياض"/>
    <s v="شركة الوديان العربيه للتطوير العقاري"/>
  </r>
  <r>
    <s v="A336007772"/>
    <x v="4"/>
    <n v="11"/>
    <n v="11"/>
    <n v="810"/>
    <n v="5500000"/>
    <n v="6790.1234567901238"/>
    <n v="5500000"/>
    <s v="عمارة سكنية للبيع في غرناطة، شرق الرياض"/>
    <s v="غرناطة، شرق الرياض، الرياض"/>
    <x v="0"/>
    <s v="حي غرناطة"/>
    <s v="الرياض"/>
    <s v="شركة الوديان العربيه للتطوير العقاري"/>
  </r>
  <r>
    <s v="Z867332245"/>
    <x v="2"/>
    <n v="11"/>
    <n v="7"/>
    <n v="700"/>
    <n v="5500000"/>
    <n v="7857.1428571428569"/>
    <n v="5500000"/>
    <s v="فيلا للبيع في شارع صيفي بن عمرو, حي الروضة, مدينة الرياض, منطقة الرياض"/>
    <s v="الروضة، شرق الرياض، الرياض"/>
    <x v="0"/>
    <s v="حي الروضة"/>
    <s v="الرياض"/>
    <s v="​فردي / مالك"/>
  </r>
  <r>
    <s v="X374599990"/>
    <x v="2"/>
    <n v="5"/>
    <n v="6"/>
    <n v="600"/>
    <n v="5500000"/>
    <n v="9166.6666666666661"/>
    <n v="5500000"/>
    <s v="فيلا درج داخلي للبيع في قرطبة، شرق الرياض"/>
    <s v="قرطبة، شرق الرياض، الرياض"/>
    <x v="0"/>
    <s v="حي قرطبة"/>
    <s v="الرياض"/>
    <s v="مؤسسة وسام المساكن العقارية"/>
  </r>
  <r>
    <s v="E070859290"/>
    <x v="2"/>
    <n v="7"/>
    <n v="5"/>
    <n v="200"/>
    <n v="5500000"/>
    <n v="27500"/>
    <n v="5500000"/>
    <s v="فيلا للبيع في عرقة، غرب الرياض"/>
    <s v="عرقة، غرب الرياض، الرياض"/>
    <x v="3"/>
    <s v="حي عرقة"/>
    <s v="الرياض"/>
    <s v="مكتب الاحمدي للعقارات"/>
  </r>
  <r>
    <s v="Y761170177"/>
    <x v="2"/>
    <n v="4"/>
    <n v="5"/>
    <n v="400"/>
    <n v="5600000"/>
    <n v="14000"/>
    <n v="5600000"/>
    <s v="فيلا للبيع في الياسمين, شمال الرياض"/>
    <s v="الياسمين، شمال الرياض، الرياض"/>
    <x v="4"/>
    <s v="حي الياسمين"/>
    <s v="الرياض"/>
    <s v="​فردي / مالك"/>
  </r>
  <r>
    <s v="G206552822"/>
    <x v="1"/>
    <n v="0"/>
    <n v="0"/>
    <n v="3002"/>
    <n v="1900"/>
    <n v="1900"/>
    <n v="5703800"/>
    <s v="للبيع ارض بحي البيان 3002م شارعين 30م ب1900ريال للمتر"/>
    <s v="حي البيان، شرق الرياض، الرياض"/>
    <x v="0"/>
    <s v="حي حي البيان"/>
    <s v="الرياض"/>
    <s v="شركة مهم العقارية"/>
  </r>
  <r>
    <s v="X917525072"/>
    <x v="2"/>
    <n v="5"/>
    <n v="1"/>
    <n v="615"/>
    <n v="5800000"/>
    <n v="9430.8943089430886"/>
    <n v="5800000"/>
    <s v="فيلا للبيع مستخدمة بحى العقيق"/>
    <s v="العقيق، شمال الرياض، الرياض"/>
    <x v="4"/>
    <s v="حي العقيق"/>
    <s v="الرياض"/>
    <s v="مكتب زيد جندل زيد الجندل للعقارات"/>
  </r>
  <r>
    <s v="L482930047"/>
    <x v="2"/>
    <n v="8"/>
    <n v="9"/>
    <n v="375"/>
    <n v="5800000"/>
    <n v="15466.666666666666"/>
    <n v="5800000"/>
    <s v="فيلا - الرياض - حي الملقا"/>
    <s v="الملقا، شمال الرياض، الرياض"/>
    <x v="4"/>
    <s v="حي الملقا"/>
    <s v="الرياض"/>
    <s v="إسكان سلمان للتسويق العقاري"/>
  </r>
  <r>
    <s v="J482930047"/>
    <x v="2"/>
    <n v="8"/>
    <n v="9"/>
    <n v="375"/>
    <n v="5800000"/>
    <n v="15466.666666666666"/>
    <n v="5800000"/>
    <s v="فيلا - الرياض - حي الملقا"/>
    <s v="الملقا، شمال الرياض، الرياض"/>
    <x v="4"/>
    <s v="حي الملقا"/>
    <s v="الرياض"/>
    <s v="إسكان سلمان للتسويق العقاري"/>
  </r>
  <r>
    <s v="Q980046426"/>
    <x v="1"/>
    <n v="0"/>
    <n v="0"/>
    <n v="480"/>
    <n v="5850000"/>
    <n v="12187.5"/>
    <n v="5850000"/>
    <s v="أرض للبيع في الملقا، شمال الرياض"/>
    <s v="الملقا، شمال الرياض، الرياض"/>
    <x v="4"/>
    <s v="حي الملقا"/>
    <s v="الرياض"/>
    <s v="شركة العمار العقارية"/>
  </r>
  <r>
    <s v="B752754860"/>
    <x v="2"/>
    <n v="4"/>
    <n v="7"/>
    <n v="303"/>
    <n v="5880000"/>
    <n v="19405.940594059404"/>
    <n v="5880000"/>
    <s v="فيلا للبيع في الملقا, شمال الرياض"/>
    <s v="الملقا، شمال الرياض، الرياض"/>
    <x v="4"/>
    <s v="حي الملقا"/>
    <s v="الرياض"/>
    <s v="​فردي / مالك"/>
  </r>
  <r>
    <s v="G383274413"/>
    <x v="1"/>
    <n v="0"/>
    <n v="0"/>
    <n v="480"/>
    <n v="5900000"/>
    <n v="12291.666666666666"/>
    <n v="5900000"/>
    <s v="أرض سكنية للبيع في الملقا، شمال الرياض"/>
    <s v="الملقا، شمال الرياض، الرياض"/>
    <x v="4"/>
    <s v="حي الملقا"/>
    <s v="الرياض"/>
    <s v="شركة العمار العقارية"/>
  </r>
  <r>
    <s v="D458713446"/>
    <x v="2"/>
    <n v="5"/>
    <n v="5"/>
    <n v="416"/>
    <n v="5950000"/>
    <n v="14302.884615384615"/>
    <n v="5950000"/>
    <s v="فيلا للبيع في الملقا, شمال الرياض"/>
    <s v="الملقا، شمال الرياض، الرياض"/>
    <x v="4"/>
    <s v="حي الملقا"/>
    <s v="الرياض"/>
    <s v="شركة راكز العقارية"/>
  </r>
  <r>
    <s v="W092745745"/>
    <x v="2"/>
    <n v="8"/>
    <n v="7"/>
    <n v="580"/>
    <n v="6000000"/>
    <n v="10344.827586206897"/>
    <n v="6000000"/>
    <s v="للبيع فيلا مع شقة في الربيع، شمال الرياض"/>
    <s v="الربيع، شمال الرياض، الرياض"/>
    <x v="4"/>
    <s v="حي الربيع"/>
    <s v="الرياض"/>
    <s v="​فردي / مالك"/>
  </r>
  <r>
    <s v="O493406065"/>
    <x v="5"/>
    <n v="3"/>
    <n v="3"/>
    <n v="341"/>
    <n v="6000000"/>
    <n v="17595.307917888564"/>
    <n v="6000000"/>
    <s v="بيت استراحة معروض للبيع في الرمال، الرياض"/>
    <s v="الرمال، شرق الرياض، الرياض"/>
    <x v="0"/>
    <s v="حي الرمال"/>
    <s v="الرياض"/>
    <s v="مكتب تميز البلاد للخدمات العقارية"/>
  </r>
  <r>
    <s v="D666336316"/>
    <x v="2"/>
    <n v="5"/>
    <n v="8"/>
    <n v="382"/>
    <n v="6000000"/>
    <n v="15706.806282722513"/>
    <n v="6000000"/>
    <s v="فيلا جديدة للبيع في السليمانية، شمال الرياض"/>
    <s v="السليمانية، شمال الرياض، الرياض"/>
    <x v="4"/>
    <s v="حي السليمانية"/>
    <s v="الرياض"/>
    <s v="مكتب ركن الافق للعقارات"/>
  </r>
  <r>
    <s v="F605262015"/>
    <x v="2"/>
    <n v="4"/>
    <n v="7"/>
    <n v="450"/>
    <n v="6000000"/>
    <n v="13333.333333333334"/>
    <n v="6000000"/>
    <s v="فيلا للبيع في النرجس، شمال الرياض"/>
    <s v="النرجس، شمال الرياض، الرياض"/>
    <x v="4"/>
    <s v="حي النرجس"/>
    <s v="الرياض"/>
    <s v="​فردي / مالك"/>
  </r>
  <r>
    <s v="W485373316"/>
    <x v="2"/>
    <n v="4"/>
    <n v="6"/>
    <n v="600"/>
    <n v="6000000"/>
    <n v="10000"/>
    <n v="6000000"/>
    <s v="فيلا للبيع في قرطبة، شرق الرياض"/>
    <s v="قرطبة، شرق الرياض، الرياض"/>
    <x v="0"/>
    <s v="حي قرطبة"/>
    <s v="الرياض"/>
    <s v="​فردي / مالك"/>
  </r>
  <r>
    <s v="S382550150"/>
    <x v="2"/>
    <n v="11"/>
    <n v="7"/>
    <n v="600"/>
    <n v="6000000"/>
    <n v="10000"/>
    <n v="6000000"/>
    <s v="فيلا للبيع في النرجس، شمال الرياض"/>
    <s v="النرجس، شمال الرياض، الرياض"/>
    <x v="4"/>
    <s v="حي النرجس"/>
    <s v="الرياض"/>
    <s v="مكتب الاحمدي للعقارات"/>
  </r>
  <r>
    <s v="T890777415"/>
    <x v="4"/>
    <n v="3"/>
    <n v="3"/>
    <n v="4000"/>
    <n v="6000000"/>
    <n v="1500"/>
    <n v="6000000"/>
    <s v="عماره للبيع في المنصورية، جنوب الرياض"/>
    <s v="المنصورية، جنوب الرياض، الرياض"/>
    <x v="1"/>
    <s v="حي المنصورية"/>
    <s v="الرياض"/>
    <s v="​فردي / مالك"/>
  </r>
  <r>
    <s v="I680741774"/>
    <x v="2"/>
    <n v="7"/>
    <n v="5"/>
    <n v="600"/>
    <n v="6000000"/>
    <n v="10000"/>
    <n v="6000000"/>
    <s v="فيلا للبيع في النرجس، شمال الرياض"/>
    <s v="النرجس، شمال الرياض، الرياض"/>
    <x v="4"/>
    <s v="حي النرجس"/>
    <s v="الرياض"/>
    <s v="مكتب الاحمدي للعقارات"/>
  </r>
  <r>
    <s v="X970177610"/>
    <x v="2"/>
    <n v="9"/>
    <n v="7"/>
    <n v="600"/>
    <n v="6300000"/>
    <n v="10500"/>
    <n v="6300000"/>
    <s v="فيلا للبيع في النرجس، شمال الرياض"/>
    <s v="النرجس، شمال الرياض، الرياض"/>
    <x v="4"/>
    <s v="حي النرجس"/>
    <s v="الرياض"/>
    <s v="مكتب عبدالله البراك للعقارات"/>
  </r>
  <r>
    <s v="Q892210637"/>
    <x v="0"/>
    <n v="3"/>
    <n v="2"/>
    <n v="93"/>
    <n v="6500000"/>
    <n v="69892.473118279566"/>
    <n v="6500000"/>
    <s v="شقة للبيع في العليا، شمال الرياض"/>
    <s v="العليا، شمال الرياض، الرياض"/>
    <x v="4"/>
    <s v="حي العليا"/>
    <s v="الرياض"/>
    <s v="صلة العقارية"/>
  </r>
  <r>
    <s v="T294444782"/>
    <x v="2"/>
    <n v="10"/>
    <n v="10"/>
    <n v="350"/>
    <n v="6500000"/>
    <n v="18571.428571428572"/>
    <n v="6500000"/>
    <s v="فيلا للبيع في النرجس، شمال الرياض"/>
    <s v="النرجس، شمال الرياض، الرياض"/>
    <x v="4"/>
    <s v="حي النرجس"/>
    <s v="الرياض"/>
    <s v="​فردي / مالك"/>
  </r>
  <r>
    <s v="O195374530"/>
    <x v="2"/>
    <n v="6"/>
    <n v="5"/>
    <n v="909"/>
    <n v="6600000"/>
    <n v="7260.7260726072609"/>
    <n v="6600000"/>
    <s v="فيلا زاوية مع مسبح للبيع في العليا، الرياض"/>
    <s v="العليا، شمال الرياض، الرياض"/>
    <x v="4"/>
    <s v="حي العليا"/>
    <s v="الرياض"/>
    <s v="​فردي / مالك"/>
  </r>
  <r>
    <s v="M530358577"/>
    <x v="2"/>
    <n v="7"/>
    <n v="7"/>
    <n v="600"/>
    <n v="7000000"/>
    <n v="11666.666666666666"/>
    <n v="7000000"/>
    <s v="فيلا للبيع في النرجس، شمال الرياض"/>
    <s v="النرجس، شمال الرياض، الرياض"/>
    <x v="4"/>
    <s v="حي النرجس"/>
    <s v="الرياض"/>
    <s v="مشاورات العقارية"/>
  </r>
  <r>
    <s v="F705072303"/>
    <x v="2"/>
    <n v="7"/>
    <n v="6"/>
    <n v="560"/>
    <n v="7000000"/>
    <n v="12500"/>
    <n v="7000000"/>
    <s v="فيلا للبيع في الملقا، شمال الرياض"/>
    <s v="الملقا، شمال الرياض، الرياض"/>
    <x v="4"/>
    <s v="حي الملقا"/>
    <s v="الرياض"/>
    <s v="شركة ابات للتطوير العقاري"/>
  </r>
  <r>
    <s v="H976566219"/>
    <x v="1"/>
    <n v="0"/>
    <n v="0"/>
    <n v="600"/>
    <n v="7200000"/>
    <n v="12000"/>
    <n v="7200000"/>
    <s v="أرض سكنية للبيع في القيروان, شمال الرياض"/>
    <s v="القيروان، شمال الرياض، الرياض"/>
    <x v="4"/>
    <s v="حي القيروان"/>
    <s v="الرياض"/>
    <s v="مكتب الدوهان للعقارات"/>
  </r>
  <r>
    <s v="I442300755"/>
    <x v="2"/>
    <n v="7"/>
    <n v="5"/>
    <n v="700"/>
    <n v="7200000"/>
    <n v="10285.714285714286"/>
    <n v="7200000"/>
    <s v="فيلا للبيع في الروضة، شرق الرياض"/>
    <s v="الروضة، شرق الرياض، الرياض"/>
    <x v="0"/>
    <s v="حي الروضة"/>
    <s v="الرياض"/>
    <s v="مكتب القرن الحالي للعقارات"/>
  </r>
  <r>
    <s v="Y832396116"/>
    <x v="1"/>
    <n v="0"/>
    <n v="0"/>
    <n v="816"/>
    <n v="7344000"/>
    <n v="9000"/>
    <n v="7344000"/>
    <s v="أرض للبيع في الصحافة، شمال الرياض"/>
    <s v="الصحافة، شمال الرياض، الرياض"/>
    <x v="4"/>
    <s v="حي الصحافة"/>
    <s v="الرياض"/>
    <s v="مسكن ومغنم العقارية"/>
  </r>
  <r>
    <s v="E890818331"/>
    <x v="1"/>
    <n v="0"/>
    <n v="0"/>
    <n v="887"/>
    <n v="8500"/>
    <n v="8500"/>
    <n v="7539500"/>
    <s v="ارض للبيع في السليمانية, شمال جدة"/>
    <s v="السليمانية، شمال الرياض، الرياض"/>
    <x v="4"/>
    <s v="حي السليمانية"/>
    <s v="الرياض"/>
    <s v="مكتب قواعد الصفقة للخدمات العقارية"/>
  </r>
  <r>
    <s v="M545814286"/>
    <x v="2"/>
    <n v="3"/>
    <n v="4"/>
    <n v="960"/>
    <n v="7680000"/>
    <n v="8000"/>
    <n v="7680000"/>
    <s v="فيلا للبيع في الرحمانية، شمال الرياض"/>
    <s v="الرحمانية، شمال الرياض، الرياض"/>
    <x v="4"/>
    <s v="حي الرحمانية"/>
    <s v="الرياض"/>
    <s v="مسكن ومغنم العقارية"/>
  </r>
  <r>
    <s v="Y392963755"/>
    <x v="2"/>
    <n v="5"/>
    <n v="5"/>
    <n v="525"/>
    <n v="7850000"/>
    <n v="14952.380952380952"/>
    <n v="7850000"/>
    <s v="فيلا للبيع في القيروان، الرياض"/>
    <s v="القيروان، شمال الرياض، الرياض"/>
    <x v="4"/>
    <s v="حي القيروان"/>
    <s v="الرياض"/>
    <s v="مؤسسة مراة المشاريع العقارية"/>
  </r>
  <r>
    <s v="H176548971"/>
    <x v="2"/>
    <n v="6"/>
    <n v="5"/>
    <n v="825"/>
    <n v="8000000"/>
    <n v="9696.9696969696961"/>
    <n v="8000000"/>
    <s v="فيلا للبيع في المغرزات، شمال الرياض"/>
    <s v="المغرزات، شمال الرياض، الرياض"/>
    <x v="4"/>
    <s v="حي المغرزات"/>
    <s v="الرياض"/>
    <s v="الأمير لتطوير واستثمار العقارات"/>
  </r>
  <r>
    <s v="O515368810"/>
    <x v="2"/>
    <n v="8"/>
    <n v="7"/>
    <n v="420"/>
    <n v="8500000"/>
    <n v="20238.095238095237"/>
    <n v="8500000"/>
    <s v="فيلا فاخرة للبيع في حطين، شمال الرياض"/>
    <s v="حطين، شمال الرياض، الرياض"/>
    <x v="4"/>
    <s v="حي حطين"/>
    <s v="الرياض"/>
    <s v="شركة تشييد نجد للتطوير والاستثمار العقاري"/>
  </r>
  <r>
    <s v="E671677318"/>
    <x v="2"/>
    <n v="5"/>
    <n v="9"/>
    <n v="750"/>
    <n v="8719000"/>
    <n v="11625.333333333334"/>
    <n v="8719000"/>
    <s v="فيلا للبيع في المهدية، غرب الرياض"/>
    <s v="المهدية، غرب الرياض، الرياض"/>
    <x v="3"/>
    <s v="حي المهدية"/>
    <s v="الرياض"/>
    <s v="شركة رؤية التسويق العقاري"/>
  </r>
  <r>
    <s v="F822756369"/>
    <x v="1"/>
    <n v="0"/>
    <n v="0"/>
    <n v="1611"/>
    <n v="8860500"/>
    <n v="5500"/>
    <n v="8860500"/>
    <s v="أرض للبيع في شارع العطايف ، حي الحمراء ، الرياض ، منطقة الرياض"/>
    <s v="الحمراء، شرق الرياض، الرياض"/>
    <x v="0"/>
    <s v="حي الحمراء"/>
    <s v="الرياض"/>
    <s v="مكتب دار باجد للعقارات"/>
  </r>
  <r>
    <s v="G436507278"/>
    <x v="1"/>
    <n v="0"/>
    <n v="0"/>
    <n v="900"/>
    <n v="10000"/>
    <n v="10000"/>
    <n v="9000000"/>
    <s v="أرض للبيع في المرسلات، شمال الرياض"/>
    <s v="المرسلات، شمال الرياض، الرياض"/>
    <x v="4"/>
    <s v="حي المرسلات"/>
    <s v="الرياض"/>
    <s v="مجموعة سلطان محمد المسند العقارية"/>
  </r>
  <r>
    <s v="J272801941"/>
    <x v="2"/>
    <n v="5"/>
    <n v="5"/>
    <n v="902"/>
    <n v="9000000"/>
    <n v="9977.8270509977829"/>
    <n v="9000000"/>
    <s v="فيلا للبيع الملك عبدالله، شمال الرياض"/>
    <s v="الملك عبدالله، شمال الرياض، الرياض"/>
    <x v="4"/>
    <s v="حي الملك عبدالله"/>
    <s v="الرياض"/>
    <s v="​فردي / مالك"/>
  </r>
  <r>
    <s v="M380839573"/>
    <x v="2"/>
    <n v="5"/>
    <n v="5"/>
    <n v="902"/>
    <n v="9000000"/>
    <n v="9977.8270509977829"/>
    <n v="9000000"/>
    <s v="فيلا للبيع في حي الملك عبدالله، شمال الرياض"/>
    <s v="الملك عبدالله، شمال الرياض، الرياض"/>
    <x v="4"/>
    <s v="حي الملك عبدالله"/>
    <s v="الرياض"/>
    <s v="مكتب سلطان حزام تركي الثابتي الشهري للعقارات"/>
  </r>
  <r>
    <s v="P001048877"/>
    <x v="2"/>
    <n v="5"/>
    <n v="6"/>
    <n v="900"/>
    <n v="9000000"/>
    <n v="10000"/>
    <n v="9000000"/>
    <s v="فيلا زاوية للبيع في الملقا، شمال الرياض"/>
    <s v="الملقا، شمال الرياض، الرياض"/>
    <x v="4"/>
    <s v="حي الملقا"/>
    <s v="الرياض"/>
    <s v="مكتب مساكن العاصمة"/>
  </r>
  <r>
    <s v="W111682250"/>
    <x v="1"/>
    <n v="0"/>
    <n v="0"/>
    <n v="390"/>
    <n v="9200000"/>
    <n v="23589.74358974359"/>
    <n v="9200000"/>
    <s v="أرض للبيع في شارع حمزة بوقري, حي الخير, مدينة الرياض, منطقة الرياض"/>
    <s v="مخطط الخير، شمال الرياض، الرياض"/>
    <x v="4"/>
    <s v="حي مخطط الخير"/>
    <s v="الرياض"/>
    <s v="​فردي / مالك"/>
  </r>
  <r>
    <s v="Q450757578"/>
    <x v="4"/>
    <n v="10"/>
    <n v="10"/>
    <n v="1000"/>
    <n v="10000000"/>
    <n v="10000"/>
    <n v="10000000"/>
    <s v="عمارة للبيع في جرير, وسط الرياض"/>
    <s v="جرير، وسط الرياض، الرياض"/>
    <x v="2"/>
    <s v="حي جرير"/>
    <s v="الرياض"/>
    <s v="​فردي / مالك"/>
  </r>
  <r>
    <s v="T608796423"/>
    <x v="2"/>
    <n v="5"/>
    <n v="6"/>
    <n v="990"/>
    <n v="11000000"/>
    <n v="11111.111111111111"/>
    <n v="11000000"/>
    <s v="فيلا راقية للبيع في الصحافة، شمال الرياض"/>
    <s v="الصحافة، شمال الرياض، الرياض"/>
    <x v="4"/>
    <s v="حي الصحافة"/>
    <s v="الرياض"/>
    <s v="​فردي / مالك"/>
  </r>
  <r>
    <s v="T280372438"/>
    <x v="2"/>
    <n v="5"/>
    <n v="6"/>
    <n v="540"/>
    <n v="11000000"/>
    <n v="20370.370370370369"/>
    <n v="11000000"/>
    <s v="فيلا للبيع في النرجس، الرياض"/>
    <s v="النرجس، شمال الرياض، الرياض"/>
    <x v="4"/>
    <s v="حي النرجس"/>
    <s v="الرياض"/>
    <s v="مكتب علي صالح الجردان للعقارات"/>
  </r>
  <r>
    <s v="H552023687"/>
    <x v="2"/>
    <n v="10"/>
    <n v="11"/>
    <n v="525"/>
    <n v="11000000"/>
    <n v="20952.380952380954"/>
    <n v="11000000"/>
    <s v="فيلا للبيع"/>
    <s v="الملقا، شمال الرياض، الرياض"/>
    <x v="4"/>
    <s v="حي الملقا"/>
    <s v="الرياض"/>
    <s v="شركة صروح السعودية للتطوير والاستثمار العقاري"/>
  </r>
  <r>
    <s v="K021886637"/>
    <x v="4"/>
    <n v="11"/>
    <n v="11"/>
    <n v="900"/>
    <n v="12500000"/>
    <n v="13888.888888888889"/>
    <n v="12500000"/>
    <s v="عمارة للبيع في النرجس, شمال الرياض"/>
    <s v="النرجس، شمال الرياض، الرياض"/>
    <x v="4"/>
    <s v="حي النرجس"/>
    <s v="الرياض"/>
    <s v="شركة ادراك الفرص المحدودة"/>
  </r>
  <r>
    <s v="Q849167239"/>
    <x v="2"/>
    <n v="9"/>
    <n v="6"/>
    <n v="490"/>
    <n v="15000000"/>
    <n v="30612.244897959183"/>
    <n v="15000000"/>
    <s v="حطين طريق الأمير محمد بن سلمان"/>
    <s v="حطين، شمال الرياض، الرياض"/>
    <x v="4"/>
    <s v="حي حطين"/>
    <s v="الرياض"/>
    <s v="​فردي / مالك"/>
  </r>
  <r>
    <s v="D596221626"/>
    <x v="2"/>
    <n v="5"/>
    <n v="5"/>
    <n v="580"/>
    <n v="15000000"/>
    <n v="25862.068965517243"/>
    <n v="15000000"/>
    <s v="فيلا للبيع مساحتها 1090م ، حي العارض ، شمال الرياض"/>
    <s v="العارض، شمال الرياض، الرياض"/>
    <x v="4"/>
    <s v="حي العارض"/>
    <s v="الرياض"/>
    <s v="مشاورات العقارية"/>
  </r>
  <r>
    <s v="L567700060"/>
    <x v="2"/>
    <n v="10"/>
    <n v="10"/>
    <n v="1225"/>
    <n v="15500000"/>
    <n v="12653.061224489797"/>
    <n v="15500000"/>
    <s v="فيلا للبيع في حطين، شمال الرياض"/>
    <s v="حطين، شمال الرياض، الرياض"/>
    <x v="4"/>
    <s v="حي حطين"/>
    <s v="الرياض"/>
    <s v="​فردي / مالك"/>
  </r>
  <r>
    <s v="E837818798"/>
    <x v="2"/>
    <n v="7"/>
    <n v="5"/>
    <n v="1050"/>
    <n v="16000000"/>
    <n v="15238.095238095239"/>
    <n v="16000000"/>
    <s v="فيلا للبيع في النرجس، شمال الرياض"/>
    <s v="النرجس، شمال الرياض، الرياض"/>
    <x v="4"/>
    <s v="حي النرجس"/>
    <s v="الرياض"/>
    <s v="مكتب القرن الحالي للعقارات"/>
  </r>
  <r>
    <s v="D339805906"/>
    <x v="1"/>
    <n v="0"/>
    <n v="0"/>
    <n v="3480"/>
    <n v="6500"/>
    <n v="6500"/>
    <n v="22620000"/>
    <s v="ارض سكنية للبيع في العارض، شمال الرياض"/>
    <s v="العارض، شمال الرياض، الرياض"/>
    <x v="4"/>
    <s v="حي العارض"/>
    <s v="الرياض"/>
    <s v="مشاورات العقارية"/>
  </r>
  <r>
    <s v="U293474326"/>
    <x v="2"/>
    <n v="4"/>
    <n v="8"/>
    <n v="240"/>
    <n v="22800000"/>
    <n v="95000"/>
    <n v="22800000"/>
    <s v="فيلا في حي الصفا"/>
    <s v="الصفا، شرق الرياض، الرياض"/>
    <x v="0"/>
    <s v="حي الصفا"/>
    <s v="الرياض"/>
    <s v="نقش للاستثمار"/>
  </r>
  <r>
    <s v="S663365085"/>
    <x v="2"/>
    <n v="7"/>
    <n v="6"/>
    <n v="1680"/>
    <n v="27000000"/>
    <n v="16071.428571428571"/>
    <n v="27000000"/>
    <s v="قصر للبيع في المغرزات، شمال الرياض المساحة 2160 متر مربع"/>
    <s v="المغرزات، شمال الرياض، الرياض"/>
    <x v="4"/>
    <s v="حي المغرزات"/>
    <s v="الرياض"/>
    <s v="منازل نجد العقارية"/>
  </r>
  <r>
    <s v="B610097974"/>
    <x v="2"/>
    <n v="6"/>
    <n v="6"/>
    <n v="1008"/>
    <n v="27000000"/>
    <n v="26785.714285714286"/>
    <n v="27000000"/>
    <s v="عقار في حي الملقا، شمال الرياض"/>
    <s v="الملقا، شمال الرياض، الرياض"/>
    <x v="4"/>
    <s v="حي الملقا"/>
    <s v="الرياض"/>
    <s v="​فردي / مالك"/>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CB7C17-77D6-40F5-B33B-7F468F3F8A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Zone">
  <location ref="A12:B19" firstHeaderRow="1" firstDataRow="1" firstDataCol="1"/>
  <pivotFields count="14">
    <pivotField showAll="0"/>
    <pivotField showAll="0">
      <items count="7">
        <item x="1"/>
        <item x="5"/>
        <item x="3"/>
        <item x="0"/>
        <item x="4"/>
        <item x="2"/>
        <item t="default"/>
      </items>
    </pivotField>
    <pivotField showAll="0"/>
    <pivotField showAll="0"/>
    <pivotField numFmtId="164" showAll="0"/>
    <pivotField numFmtId="166" showAll="0"/>
    <pivotField dataField="1" numFmtId="165" showAll="0"/>
    <pivotField numFmtId="165" showAll="0"/>
    <pivotField showAll="0"/>
    <pivotField showAll="0"/>
    <pivotField axis="axisRow" showAll="0">
      <items count="7">
        <item x="1"/>
        <item x="0"/>
        <item x="4"/>
        <item x="3"/>
        <item x="5"/>
        <item x="2"/>
        <item t="default"/>
      </items>
    </pivotField>
    <pivotField showAll="0"/>
    <pivotField showAll="0"/>
    <pivotField showAll="0"/>
  </pivotFields>
  <rowFields count="1">
    <field x="10"/>
  </rowFields>
  <rowItems count="7">
    <i>
      <x/>
    </i>
    <i>
      <x v="1"/>
    </i>
    <i>
      <x v="2"/>
    </i>
    <i>
      <x v="3"/>
    </i>
    <i>
      <x v="4"/>
    </i>
    <i>
      <x v="5"/>
    </i>
    <i t="grand">
      <x/>
    </i>
  </rowItems>
  <colItems count="1">
    <i/>
  </colItems>
  <dataFields count="1">
    <dataField name="Average of Price_Per_M2" fld="6" subtotal="average" baseField="1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3025D-95F0-4EFD-8492-2C246524B6D2}"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A1:H9" firstHeaderRow="1" firstDataRow="2" firstDataCol="1"/>
  <pivotFields count="14">
    <pivotField showAll="0"/>
    <pivotField axis="axisCol" showAll="0">
      <items count="7">
        <item x="1"/>
        <item x="5"/>
        <item x="3"/>
        <item x="0"/>
        <item x="4"/>
        <item x="2"/>
        <item t="default"/>
      </items>
    </pivotField>
    <pivotField showAll="0"/>
    <pivotField showAll="0"/>
    <pivotField numFmtId="164" showAll="0"/>
    <pivotField numFmtId="166" showAll="0"/>
    <pivotField numFmtId="165" showAll="0"/>
    <pivotField dataField="1" numFmtId="165" showAll="0"/>
    <pivotField showAll="0"/>
    <pivotField showAll="0"/>
    <pivotField axis="axisRow" showAll="0">
      <items count="7">
        <item x="1"/>
        <item x="0"/>
        <item x="4"/>
        <item x="3"/>
        <item x="5"/>
        <item x="2"/>
        <item t="default"/>
      </items>
    </pivotField>
    <pivotField showAll="0"/>
    <pivotField showAll="0"/>
    <pivotField showAll="0"/>
  </pivotFields>
  <rowFields count="1">
    <field x="10"/>
  </rowFields>
  <rowItems count="7">
    <i>
      <x/>
    </i>
    <i>
      <x v="1"/>
    </i>
    <i>
      <x v="2"/>
    </i>
    <i>
      <x v="3"/>
    </i>
    <i>
      <x v="4"/>
    </i>
    <i>
      <x v="5"/>
    </i>
    <i t="grand">
      <x/>
    </i>
  </rowItems>
  <colFields count="1">
    <field x="1"/>
  </colFields>
  <colItems count="7">
    <i>
      <x/>
    </i>
    <i>
      <x v="1"/>
    </i>
    <i>
      <x v="2"/>
    </i>
    <i>
      <x v="3"/>
    </i>
    <i>
      <x v="4"/>
    </i>
    <i>
      <x v="5"/>
    </i>
    <i t="grand">
      <x/>
    </i>
  </colItems>
  <dataFields count="1">
    <dataField name="Average of Total Price" fld="7" subtotal="average" baseField="10" baseItem="0" numFmtId="165"/>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TableStyleInfo name="PivotStyleDark2" showRowHeaders="0"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D89ABA7F-2F21-406A-9B54-9C1D0A5ECBAD}" sourceName="Property Type">
  <pivotTables>
    <pivotTable tabId="2" name="PivotTable1"/>
    <pivotTable tabId="2" name="PivotTable5"/>
  </pivotTables>
  <data>
    <tabular pivotCacheId="1277568316">
      <items count="6">
        <i x="1" s="1"/>
        <i x="5"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9BA50D14-1158-4A82-AF6C-67E176A0AA20}" sourceName="Zone">
  <pivotTables>
    <pivotTable tabId="2" name="PivotTable1"/>
    <pivotTable tabId="2" name="PivotTable5"/>
  </pivotTables>
  <data>
    <tabular pivotCacheId="1277568316">
      <items count="6">
        <i x="1" s="1"/>
        <i x="0" s="1"/>
        <i x="4"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Type" xr10:uid="{AF26E869-1C64-4875-8F4F-A6802DDFAE70}" cache="Slicer_Property_Type" caption="Property Type" style="SlicerStyleDark1" rowHeight="241300"/>
  <slicer name="Zone" xr10:uid="{C85D5B5F-5E3B-4180-B2CB-382C681A1455}" cache="Slicer_Zone" caption="Zon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1675F9-2E65-48AB-BC22-F56404635A7C}" name="Table3" displayName="Table3" ref="A4:N1204" headerRowDxfId="6" headerRowBorderDxfId="5" tableBorderDxfId="4">
  <autoFilter ref="A4:N1204" xr:uid="{A41675F9-2E65-48AB-BC22-F56404635A7C}">
    <filterColumn colId="0" hiddenButton="1"/>
    <filterColumn colId="1" hiddenButton="1">
      <filters>
        <filter val="فیلا"/>
      </filters>
    </filterColumn>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DB25126-1508-4D2D-9756-12DC6B41328C}" name="Property_ID" totalsRowLabel="Total"/>
    <tableColumn id="2" xr3:uid="{DBF9A9E5-CC69-444F-BF98-04F7ADEE2899}" name="Property Type"/>
    <tableColumn id="3" xr3:uid="{8F8DDAEB-3968-41FA-8ABD-F15B4CF4A519}" name="Bedrooms"/>
    <tableColumn id="4" xr3:uid="{7D30EA2C-0263-425D-9A07-11C9F94C9FDA}" name="Bathrooms"/>
    <tableColumn id="5" xr3:uid="{D4D7E357-853D-49B9-8578-AB46115897D1}" name="Area" dataDxfId="3"/>
    <tableColumn id="6" xr3:uid="{4D2A621B-386B-488F-A782-DE72094E371E}" name="Price" dataDxfId="2"/>
    <tableColumn id="7" xr3:uid="{BC4FD30D-30F9-4C2B-B8D3-6989A26EA4F9}" name="Price_Per_M2" dataDxfId="1">
      <calculatedColumnFormula>IF(F5&lt;50000,F5,F5/E5)</calculatedColumnFormula>
    </tableColumn>
    <tableColumn id="8" xr3:uid="{9A21A5E7-7B11-4D8F-BFB5-1A3B78083B0F}" name="Total Price" dataDxfId="0">
      <calculatedColumnFormula>IF(F5&lt;50000,E5*F5,F5)</calculatedColumnFormula>
    </tableColumn>
    <tableColumn id="9" xr3:uid="{38B4A712-61F7-441E-A375-683C2D6FB022}" name="Description"/>
    <tableColumn id="10" xr3:uid="{247143A5-2C5D-473D-BF25-8A65A675B52A}" name="Location"/>
    <tableColumn id="11" xr3:uid="{CCE21E2F-5204-4163-939C-B0AF5EA51541}" name="Zone"/>
    <tableColumn id="12" xr3:uid="{A2DB5C43-E843-43A1-95C6-001A04983BA1}" name="District"/>
    <tableColumn id="13" xr3:uid="{D4FBCE1D-96DB-477D-B03A-4881173BCB81}" name="City"/>
    <tableColumn id="14" xr3:uid="{A2939680-9355-412C-93A1-B060D19557F1}" name="Agency_Name" totalsRowFunction="count"/>
  </tableColumns>
  <tableStyleInfo name="TableStyleMedium9"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7E45-274C-4BB9-AF8A-5CE3361D6283}">
  <dimension ref="A1:K1201"/>
  <sheetViews>
    <sheetView workbookViewId="0">
      <selection activeCell="F24" sqref="F24"/>
    </sheetView>
  </sheetViews>
  <sheetFormatPr defaultRowHeight="14.5" x14ac:dyDescent="0.35"/>
  <cols>
    <col min="1" max="1" width="11.6328125" bestFit="1" customWidth="1"/>
    <col min="2" max="2" width="12.6328125" bestFit="1" customWidth="1"/>
    <col min="3" max="3" width="9.36328125" bestFit="1" customWidth="1"/>
    <col min="4" max="4" width="10.08984375" bestFit="1" customWidth="1"/>
    <col min="5" max="5" width="7.54296875" bestFit="1" customWidth="1"/>
    <col min="6" max="6" width="9.7265625" bestFit="1" customWidth="1"/>
  </cols>
  <sheetData>
    <row r="1" spans="1:11" x14ac:dyDescent="0.35">
      <c r="A1" s="11" t="s">
        <v>0</v>
      </c>
      <c r="B1" s="11" t="s">
        <v>1</v>
      </c>
      <c r="C1" s="11" t="s">
        <v>2</v>
      </c>
      <c r="D1" s="11" t="s">
        <v>3</v>
      </c>
      <c r="E1" s="11" t="s">
        <v>4</v>
      </c>
      <c r="F1" s="11" t="s">
        <v>5</v>
      </c>
      <c r="G1" s="11" t="s">
        <v>6</v>
      </c>
      <c r="H1" s="11" t="s">
        <v>7</v>
      </c>
      <c r="I1" s="11" t="s">
        <v>8</v>
      </c>
      <c r="J1" s="11" t="s">
        <v>9</v>
      </c>
      <c r="K1" s="11" t="s">
        <v>10</v>
      </c>
    </row>
    <row r="2" spans="1:11" x14ac:dyDescent="0.35">
      <c r="A2" t="s">
        <v>11</v>
      </c>
      <c r="B2" t="s">
        <v>12</v>
      </c>
      <c r="C2" t="s">
        <v>2247</v>
      </c>
      <c r="D2">
        <v>5</v>
      </c>
      <c r="E2" t="s">
        <v>2248</v>
      </c>
      <c r="F2" t="s">
        <v>2249</v>
      </c>
      <c r="G2" t="s">
        <v>13</v>
      </c>
      <c r="H2" t="s">
        <v>14</v>
      </c>
      <c r="I2" t="s">
        <v>15</v>
      </c>
      <c r="J2" t="s">
        <v>16</v>
      </c>
    </row>
    <row r="3" spans="1:11" x14ac:dyDescent="0.35">
      <c r="A3" t="s">
        <v>17</v>
      </c>
      <c r="B3" t="s">
        <v>18</v>
      </c>
      <c r="C3" t="s">
        <v>2250</v>
      </c>
      <c r="D3">
        <v>6</v>
      </c>
      <c r="E3" t="s">
        <v>2251</v>
      </c>
      <c r="F3" t="s">
        <v>2252</v>
      </c>
      <c r="G3" t="s">
        <v>19</v>
      </c>
      <c r="H3" t="s">
        <v>20</v>
      </c>
      <c r="I3" t="s">
        <v>21</v>
      </c>
      <c r="J3" t="s">
        <v>16</v>
      </c>
    </row>
    <row r="4" spans="1:11" x14ac:dyDescent="0.35">
      <c r="A4" t="s">
        <v>22</v>
      </c>
      <c r="B4" t="s">
        <v>18</v>
      </c>
      <c r="C4" t="s">
        <v>2253</v>
      </c>
      <c r="D4">
        <v>6</v>
      </c>
      <c r="E4" t="s">
        <v>2254</v>
      </c>
      <c r="F4" t="s">
        <v>2255</v>
      </c>
      <c r="G4" t="s">
        <v>23</v>
      </c>
      <c r="H4" t="s">
        <v>24</v>
      </c>
      <c r="I4" t="s">
        <v>25</v>
      </c>
      <c r="J4" t="s">
        <v>16</v>
      </c>
    </row>
    <row r="5" spans="1:11" x14ac:dyDescent="0.35">
      <c r="A5" t="s">
        <v>26</v>
      </c>
      <c r="B5" t="s">
        <v>12</v>
      </c>
      <c r="C5" t="s">
        <v>2247</v>
      </c>
      <c r="D5">
        <v>5</v>
      </c>
      <c r="E5" t="s">
        <v>2256</v>
      </c>
      <c r="F5" t="s">
        <v>2257</v>
      </c>
      <c r="G5" t="s">
        <v>27</v>
      </c>
      <c r="H5" t="s">
        <v>28</v>
      </c>
      <c r="I5" t="s">
        <v>29</v>
      </c>
      <c r="J5" t="s">
        <v>16</v>
      </c>
    </row>
    <row r="6" spans="1:11" x14ac:dyDescent="0.35">
      <c r="A6" t="s">
        <v>30</v>
      </c>
      <c r="B6" t="s">
        <v>18</v>
      </c>
      <c r="C6" t="s">
        <v>2247</v>
      </c>
      <c r="D6">
        <v>6</v>
      </c>
      <c r="E6" t="s">
        <v>2258</v>
      </c>
      <c r="F6" t="s">
        <v>2259</v>
      </c>
      <c r="G6" t="s">
        <v>31</v>
      </c>
      <c r="H6" t="s">
        <v>14</v>
      </c>
      <c r="I6" t="s">
        <v>15</v>
      </c>
      <c r="J6" t="s">
        <v>16</v>
      </c>
      <c r="K6" t="s">
        <v>32</v>
      </c>
    </row>
    <row r="7" spans="1:11" x14ac:dyDescent="0.35">
      <c r="A7" t="s">
        <v>33</v>
      </c>
      <c r="B7" t="s">
        <v>12</v>
      </c>
      <c r="C7" t="s">
        <v>2247</v>
      </c>
      <c r="D7">
        <v>5</v>
      </c>
      <c r="E7" t="s">
        <v>2260</v>
      </c>
      <c r="F7" t="s">
        <v>2261</v>
      </c>
      <c r="G7" t="s">
        <v>34</v>
      </c>
      <c r="H7" t="s">
        <v>35</v>
      </c>
      <c r="I7" t="s">
        <v>36</v>
      </c>
      <c r="J7" t="s">
        <v>16</v>
      </c>
      <c r="K7" t="s">
        <v>37</v>
      </c>
    </row>
    <row r="8" spans="1:11" x14ac:dyDescent="0.35">
      <c r="A8" t="s">
        <v>38</v>
      </c>
      <c r="B8" t="s">
        <v>12</v>
      </c>
      <c r="C8" t="s">
        <v>2250</v>
      </c>
      <c r="D8">
        <v>4</v>
      </c>
      <c r="E8" t="s">
        <v>2262</v>
      </c>
      <c r="F8" t="s">
        <v>2263</v>
      </c>
      <c r="G8" t="s">
        <v>39</v>
      </c>
      <c r="H8" t="s">
        <v>40</v>
      </c>
      <c r="I8" t="s">
        <v>41</v>
      </c>
      <c r="J8" t="s">
        <v>16</v>
      </c>
      <c r="K8" t="s">
        <v>37</v>
      </c>
    </row>
    <row r="9" spans="1:11" x14ac:dyDescent="0.35">
      <c r="A9" t="s">
        <v>42</v>
      </c>
      <c r="B9" t="s">
        <v>12</v>
      </c>
      <c r="C9" t="s">
        <v>2264</v>
      </c>
      <c r="D9">
        <v>3</v>
      </c>
      <c r="E9" t="s">
        <v>2265</v>
      </c>
      <c r="F9" t="s">
        <v>2266</v>
      </c>
      <c r="G9" t="s">
        <v>2267</v>
      </c>
      <c r="H9" t="s">
        <v>43</v>
      </c>
      <c r="I9" t="s">
        <v>44</v>
      </c>
      <c r="J9" t="s">
        <v>16</v>
      </c>
      <c r="K9" t="s">
        <v>45</v>
      </c>
    </row>
    <row r="10" spans="1:11" x14ac:dyDescent="0.35">
      <c r="A10" t="s">
        <v>46</v>
      </c>
      <c r="B10" t="s">
        <v>12</v>
      </c>
      <c r="C10" t="s">
        <v>2268</v>
      </c>
      <c r="D10">
        <v>3</v>
      </c>
      <c r="E10" t="s">
        <v>2260</v>
      </c>
      <c r="F10" t="s">
        <v>2269</v>
      </c>
      <c r="G10" t="s">
        <v>47</v>
      </c>
      <c r="H10" t="s">
        <v>48</v>
      </c>
      <c r="I10" t="s">
        <v>49</v>
      </c>
      <c r="J10" t="s">
        <v>16</v>
      </c>
      <c r="K10" t="s">
        <v>50</v>
      </c>
    </row>
    <row r="11" spans="1:11" x14ac:dyDescent="0.35">
      <c r="A11" t="s">
        <v>51</v>
      </c>
      <c r="B11" t="s">
        <v>18</v>
      </c>
      <c r="C11" t="s">
        <v>2250</v>
      </c>
      <c r="D11">
        <v>5</v>
      </c>
      <c r="E11" t="s">
        <v>2260</v>
      </c>
      <c r="F11" t="s">
        <v>2270</v>
      </c>
      <c r="G11" t="s">
        <v>52</v>
      </c>
      <c r="H11" t="s">
        <v>53</v>
      </c>
      <c r="I11" t="s">
        <v>54</v>
      </c>
      <c r="J11" t="s">
        <v>16</v>
      </c>
      <c r="K11" t="s">
        <v>55</v>
      </c>
    </row>
    <row r="12" spans="1:11" x14ac:dyDescent="0.35">
      <c r="A12" t="s">
        <v>56</v>
      </c>
      <c r="B12" t="s">
        <v>2271</v>
      </c>
      <c r="E12" t="s">
        <v>2272</v>
      </c>
      <c r="F12" t="s">
        <v>2273</v>
      </c>
      <c r="G12" t="s">
        <v>57</v>
      </c>
      <c r="H12" t="s">
        <v>58</v>
      </c>
      <c r="I12" t="s">
        <v>59</v>
      </c>
      <c r="J12" t="s">
        <v>16</v>
      </c>
    </row>
    <row r="13" spans="1:11" x14ac:dyDescent="0.35">
      <c r="A13" t="s">
        <v>60</v>
      </c>
      <c r="B13" t="s">
        <v>2274</v>
      </c>
      <c r="C13" t="s">
        <v>2253</v>
      </c>
      <c r="D13">
        <v>11</v>
      </c>
      <c r="E13" t="s">
        <v>2275</v>
      </c>
      <c r="F13" t="s">
        <v>2276</v>
      </c>
      <c r="G13" t="s">
        <v>61</v>
      </c>
      <c r="H13" t="s">
        <v>62</v>
      </c>
      <c r="I13" t="s">
        <v>63</v>
      </c>
      <c r="J13" t="s">
        <v>16</v>
      </c>
      <c r="K13" t="s">
        <v>64</v>
      </c>
    </row>
    <row r="14" spans="1:11" x14ac:dyDescent="0.35">
      <c r="A14" t="s">
        <v>65</v>
      </c>
      <c r="B14" t="s">
        <v>66</v>
      </c>
      <c r="C14" t="s">
        <v>2268</v>
      </c>
      <c r="D14">
        <v>3</v>
      </c>
      <c r="E14" t="s">
        <v>2277</v>
      </c>
      <c r="F14" t="s">
        <v>2278</v>
      </c>
      <c r="G14" t="s">
        <v>67</v>
      </c>
      <c r="H14" t="s">
        <v>68</v>
      </c>
      <c r="I14" t="s">
        <v>69</v>
      </c>
      <c r="J14" t="s">
        <v>16</v>
      </c>
      <c r="K14" t="s">
        <v>70</v>
      </c>
    </row>
    <row r="15" spans="1:11" x14ac:dyDescent="0.35">
      <c r="A15" t="s">
        <v>71</v>
      </c>
      <c r="B15" t="s">
        <v>12</v>
      </c>
      <c r="C15" t="s">
        <v>2268</v>
      </c>
      <c r="D15">
        <v>3</v>
      </c>
      <c r="E15" t="s">
        <v>2279</v>
      </c>
      <c r="F15" t="s">
        <v>2280</v>
      </c>
      <c r="G15" t="s">
        <v>72</v>
      </c>
      <c r="H15" t="s">
        <v>73</v>
      </c>
      <c r="I15" t="s">
        <v>74</v>
      </c>
      <c r="J15" t="s">
        <v>16</v>
      </c>
    </row>
    <row r="16" spans="1:11" x14ac:dyDescent="0.35">
      <c r="A16" t="s">
        <v>75</v>
      </c>
      <c r="B16" t="s">
        <v>12</v>
      </c>
      <c r="C16" t="s">
        <v>2264</v>
      </c>
      <c r="D16">
        <v>6</v>
      </c>
      <c r="E16" t="s">
        <v>2281</v>
      </c>
      <c r="F16" t="s">
        <v>2282</v>
      </c>
      <c r="G16" t="s">
        <v>76</v>
      </c>
      <c r="H16" t="s">
        <v>28</v>
      </c>
      <c r="I16" t="s">
        <v>29</v>
      </c>
      <c r="J16" t="s">
        <v>16</v>
      </c>
      <c r="K16" t="s">
        <v>77</v>
      </c>
    </row>
    <row r="17" spans="1:11" x14ac:dyDescent="0.35">
      <c r="A17" t="s">
        <v>78</v>
      </c>
      <c r="B17" t="s">
        <v>12</v>
      </c>
      <c r="C17" t="s">
        <v>2268</v>
      </c>
      <c r="D17">
        <v>3</v>
      </c>
      <c r="E17" t="s">
        <v>2283</v>
      </c>
      <c r="F17" t="s">
        <v>2284</v>
      </c>
      <c r="G17" t="s">
        <v>79</v>
      </c>
      <c r="H17" t="s">
        <v>80</v>
      </c>
      <c r="I17" t="s">
        <v>81</v>
      </c>
      <c r="J17" t="s">
        <v>16</v>
      </c>
    </row>
    <row r="18" spans="1:11" x14ac:dyDescent="0.35">
      <c r="A18" t="s">
        <v>82</v>
      </c>
      <c r="B18" t="s">
        <v>18</v>
      </c>
      <c r="C18" t="s">
        <v>2268</v>
      </c>
      <c r="D18">
        <v>4</v>
      </c>
      <c r="E18" t="s">
        <v>2285</v>
      </c>
      <c r="F18" t="s">
        <v>2286</v>
      </c>
      <c r="G18" t="s">
        <v>83</v>
      </c>
      <c r="H18" t="s">
        <v>84</v>
      </c>
      <c r="I18" t="s">
        <v>85</v>
      </c>
      <c r="J18" t="s">
        <v>16</v>
      </c>
      <c r="K18" t="s">
        <v>86</v>
      </c>
    </row>
    <row r="19" spans="1:11" x14ac:dyDescent="0.35">
      <c r="A19" t="s">
        <v>87</v>
      </c>
      <c r="B19" t="s">
        <v>2271</v>
      </c>
      <c r="E19" t="s">
        <v>2287</v>
      </c>
      <c r="F19" t="s">
        <v>2288</v>
      </c>
      <c r="G19" t="s">
        <v>88</v>
      </c>
      <c r="H19" t="s">
        <v>89</v>
      </c>
      <c r="I19" t="s">
        <v>90</v>
      </c>
      <c r="J19" t="s">
        <v>16</v>
      </c>
    </row>
    <row r="20" spans="1:11" x14ac:dyDescent="0.35">
      <c r="A20" t="s">
        <v>91</v>
      </c>
      <c r="B20" t="s">
        <v>2271</v>
      </c>
      <c r="E20" t="s">
        <v>2289</v>
      </c>
      <c r="F20" t="s">
        <v>2290</v>
      </c>
      <c r="G20" t="s">
        <v>92</v>
      </c>
      <c r="H20" t="s">
        <v>93</v>
      </c>
      <c r="I20" t="s">
        <v>94</v>
      </c>
      <c r="J20" t="s">
        <v>16</v>
      </c>
    </row>
    <row r="21" spans="1:11" x14ac:dyDescent="0.35">
      <c r="A21" t="s">
        <v>95</v>
      </c>
      <c r="B21" t="s">
        <v>2271</v>
      </c>
      <c r="E21" t="s">
        <v>2291</v>
      </c>
      <c r="F21" t="s">
        <v>2292</v>
      </c>
      <c r="G21" t="s">
        <v>96</v>
      </c>
      <c r="H21" t="s">
        <v>97</v>
      </c>
      <c r="I21" t="s">
        <v>98</v>
      </c>
      <c r="J21" t="s">
        <v>16</v>
      </c>
    </row>
    <row r="22" spans="1:11" x14ac:dyDescent="0.35">
      <c r="A22" t="s">
        <v>99</v>
      </c>
      <c r="B22" t="s">
        <v>2271</v>
      </c>
      <c r="E22" t="s">
        <v>2293</v>
      </c>
      <c r="F22" t="s">
        <v>2294</v>
      </c>
      <c r="G22" t="s">
        <v>100</v>
      </c>
      <c r="H22" t="s">
        <v>101</v>
      </c>
      <c r="I22" t="s">
        <v>102</v>
      </c>
      <c r="J22" t="s">
        <v>16</v>
      </c>
    </row>
    <row r="23" spans="1:11" x14ac:dyDescent="0.35">
      <c r="A23" t="s">
        <v>103</v>
      </c>
      <c r="B23" t="s">
        <v>2271</v>
      </c>
      <c r="E23" t="s">
        <v>2279</v>
      </c>
      <c r="F23" t="s">
        <v>2295</v>
      </c>
      <c r="G23" t="s">
        <v>104</v>
      </c>
      <c r="H23" t="s">
        <v>105</v>
      </c>
      <c r="I23" t="s">
        <v>106</v>
      </c>
      <c r="J23" t="s">
        <v>16</v>
      </c>
    </row>
    <row r="24" spans="1:11" x14ac:dyDescent="0.35">
      <c r="A24" t="s">
        <v>107</v>
      </c>
      <c r="B24" t="s">
        <v>2271</v>
      </c>
      <c r="E24" t="s">
        <v>2296</v>
      </c>
      <c r="F24" t="s">
        <v>2288</v>
      </c>
      <c r="G24" t="s">
        <v>108</v>
      </c>
      <c r="H24" t="s">
        <v>109</v>
      </c>
      <c r="I24" t="s">
        <v>110</v>
      </c>
      <c r="J24" t="s">
        <v>16</v>
      </c>
    </row>
    <row r="25" spans="1:11" x14ac:dyDescent="0.35">
      <c r="A25" t="s">
        <v>111</v>
      </c>
      <c r="B25" t="s">
        <v>12</v>
      </c>
      <c r="C25" t="s">
        <v>2297</v>
      </c>
      <c r="D25">
        <v>2</v>
      </c>
      <c r="E25" t="s">
        <v>2298</v>
      </c>
      <c r="F25" t="s">
        <v>2299</v>
      </c>
      <c r="G25" t="s">
        <v>112</v>
      </c>
      <c r="H25" t="s">
        <v>113</v>
      </c>
      <c r="I25" t="s">
        <v>114</v>
      </c>
      <c r="J25" t="s">
        <v>16</v>
      </c>
      <c r="K25" t="s">
        <v>115</v>
      </c>
    </row>
    <row r="26" spans="1:11" x14ac:dyDescent="0.35">
      <c r="A26" t="s">
        <v>116</v>
      </c>
      <c r="B26" t="s">
        <v>2271</v>
      </c>
      <c r="E26" t="s">
        <v>2300</v>
      </c>
      <c r="F26" t="s">
        <v>2301</v>
      </c>
      <c r="G26" t="s">
        <v>117</v>
      </c>
      <c r="H26" t="s">
        <v>118</v>
      </c>
      <c r="I26" t="s">
        <v>119</v>
      </c>
      <c r="J26" t="s">
        <v>16</v>
      </c>
      <c r="K26" t="s">
        <v>120</v>
      </c>
    </row>
    <row r="27" spans="1:11" x14ac:dyDescent="0.35">
      <c r="A27" t="s">
        <v>121</v>
      </c>
      <c r="B27" t="s">
        <v>12</v>
      </c>
      <c r="C27" t="s">
        <v>2268</v>
      </c>
      <c r="D27">
        <v>3</v>
      </c>
      <c r="E27" t="s">
        <v>2260</v>
      </c>
      <c r="F27" t="s">
        <v>2269</v>
      </c>
      <c r="G27" t="s">
        <v>122</v>
      </c>
      <c r="H27" t="s">
        <v>48</v>
      </c>
      <c r="I27" t="s">
        <v>49</v>
      </c>
      <c r="J27" t="s">
        <v>16</v>
      </c>
    </row>
    <row r="28" spans="1:11" x14ac:dyDescent="0.35">
      <c r="A28" t="s">
        <v>123</v>
      </c>
      <c r="B28" t="s">
        <v>18</v>
      </c>
      <c r="C28" t="s">
        <v>2250</v>
      </c>
      <c r="D28">
        <v>9</v>
      </c>
      <c r="E28" t="s">
        <v>2302</v>
      </c>
      <c r="F28" t="s">
        <v>2303</v>
      </c>
      <c r="G28" t="s">
        <v>124</v>
      </c>
      <c r="H28" t="s">
        <v>125</v>
      </c>
      <c r="I28" t="s">
        <v>126</v>
      </c>
      <c r="J28" t="s">
        <v>16</v>
      </c>
    </row>
    <row r="29" spans="1:11" x14ac:dyDescent="0.35">
      <c r="A29" t="s">
        <v>127</v>
      </c>
      <c r="B29" t="s">
        <v>66</v>
      </c>
      <c r="C29" t="s">
        <v>2264</v>
      </c>
      <c r="D29">
        <v>4</v>
      </c>
      <c r="E29" t="s">
        <v>2304</v>
      </c>
      <c r="F29" t="s">
        <v>2305</v>
      </c>
      <c r="G29" t="s">
        <v>128</v>
      </c>
      <c r="H29" t="s">
        <v>68</v>
      </c>
      <c r="I29" t="s">
        <v>69</v>
      </c>
      <c r="J29" t="s">
        <v>16</v>
      </c>
    </row>
    <row r="30" spans="1:11" x14ac:dyDescent="0.35">
      <c r="A30" t="s">
        <v>129</v>
      </c>
      <c r="B30" t="s">
        <v>18</v>
      </c>
      <c r="C30" t="s">
        <v>2297</v>
      </c>
      <c r="D30">
        <v>7</v>
      </c>
      <c r="E30" t="s">
        <v>2306</v>
      </c>
      <c r="F30" t="s">
        <v>2307</v>
      </c>
      <c r="G30" t="s">
        <v>130</v>
      </c>
      <c r="H30" t="s">
        <v>131</v>
      </c>
      <c r="I30" t="s">
        <v>132</v>
      </c>
      <c r="J30" t="s">
        <v>16</v>
      </c>
    </row>
    <row r="31" spans="1:11" x14ac:dyDescent="0.35">
      <c r="A31" t="s">
        <v>133</v>
      </c>
      <c r="B31" t="s">
        <v>12</v>
      </c>
      <c r="C31" t="s">
        <v>2264</v>
      </c>
      <c r="D31">
        <v>4</v>
      </c>
      <c r="E31" t="s">
        <v>2265</v>
      </c>
      <c r="F31" t="s">
        <v>2282</v>
      </c>
      <c r="G31" t="s">
        <v>2308</v>
      </c>
      <c r="H31" t="s">
        <v>43</v>
      </c>
      <c r="I31" t="s">
        <v>44</v>
      </c>
      <c r="J31" t="s">
        <v>16</v>
      </c>
      <c r="K31" t="s">
        <v>45</v>
      </c>
    </row>
    <row r="32" spans="1:11" x14ac:dyDescent="0.35">
      <c r="A32" t="s">
        <v>134</v>
      </c>
      <c r="B32" t="s">
        <v>66</v>
      </c>
      <c r="C32" t="s">
        <v>2264</v>
      </c>
      <c r="D32">
        <v>3</v>
      </c>
      <c r="E32" t="s">
        <v>2265</v>
      </c>
      <c r="F32" t="s">
        <v>2309</v>
      </c>
      <c r="G32" t="s">
        <v>2310</v>
      </c>
      <c r="H32" t="s">
        <v>43</v>
      </c>
      <c r="I32" t="s">
        <v>44</v>
      </c>
      <c r="J32" t="s">
        <v>16</v>
      </c>
      <c r="K32" t="s">
        <v>45</v>
      </c>
    </row>
    <row r="33" spans="1:11" x14ac:dyDescent="0.35">
      <c r="A33" t="s">
        <v>135</v>
      </c>
      <c r="B33" t="s">
        <v>12</v>
      </c>
      <c r="C33" t="s">
        <v>2264</v>
      </c>
      <c r="D33">
        <v>4</v>
      </c>
      <c r="E33" t="s">
        <v>2248</v>
      </c>
      <c r="F33" t="s">
        <v>2311</v>
      </c>
      <c r="G33" t="s">
        <v>136</v>
      </c>
      <c r="H33" t="s">
        <v>14</v>
      </c>
      <c r="I33" t="s">
        <v>15</v>
      </c>
      <c r="J33" t="s">
        <v>16</v>
      </c>
      <c r="K33" t="s">
        <v>50</v>
      </c>
    </row>
    <row r="34" spans="1:11" x14ac:dyDescent="0.35">
      <c r="A34" t="s">
        <v>137</v>
      </c>
      <c r="B34" t="s">
        <v>66</v>
      </c>
      <c r="C34" t="s">
        <v>2268</v>
      </c>
      <c r="D34">
        <v>3</v>
      </c>
      <c r="E34" t="s">
        <v>2312</v>
      </c>
      <c r="F34" t="s">
        <v>2313</v>
      </c>
      <c r="G34" t="s">
        <v>138</v>
      </c>
      <c r="H34" t="s">
        <v>14</v>
      </c>
      <c r="I34" t="s">
        <v>15</v>
      </c>
      <c r="J34" t="s">
        <v>16</v>
      </c>
      <c r="K34" t="s">
        <v>50</v>
      </c>
    </row>
    <row r="35" spans="1:11" x14ac:dyDescent="0.35">
      <c r="A35" t="s">
        <v>139</v>
      </c>
      <c r="B35" t="s">
        <v>66</v>
      </c>
      <c r="C35" t="s">
        <v>2268</v>
      </c>
      <c r="D35">
        <v>3</v>
      </c>
      <c r="E35" t="s">
        <v>2312</v>
      </c>
      <c r="F35" t="s">
        <v>2314</v>
      </c>
      <c r="G35" t="s">
        <v>140</v>
      </c>
      <c r="H35" t="s">
        <v>141</v>
      </c>
      <c r="I35" t="s">
        <v>142</v>
      </c>
      <c r="J35" t="s">
        <v>16</v>
      </c>
      <c r="K35" t="s">
        <v>50</v>
      </c>
    </row>
    <row r="36" spans="1:11" x14ac:dyDescent="0.35">
      <c r="A36" t="s">
        <v>143</v>
      </c>
      <c r="B36" t="s">
        <v>66</v>
      </c>
      <c r="C36" t="s">
        <v>2268</v>
      </c>
      <c r="D36">
        <v>3</v>
      </c>
      <c r="E36" t="s">
        <v>2315</v>
      </c>
      <c r="F36" t="s">
        <v>2316</v>
      </c>
      <c r="G36" t="s">
        <v>144</v>
      </c>
      <c r="H36" t="s">
        <v>145</v>
      </c>
      <c r="I36" t="s">
        <v>146</v>
      </c>
      <c r="J36" t="s">
        <v>16</v>
      </c>
      <c r="K36" t="s">
        <v>147</v>
      </c>
    </row>
    <row r="37" spans="1:11" x14ac:dyDescent="0.35">
      <c r="A37" t="s">
        <v>148</v>
      </c>
      <c r="B37" t="s">
        <v>12</v>
      </c>
      <c r="C37" t="s">
        <v>2268</v>
      </c>
      <c r="D37">
        <v>5</v>
      </c>
      <c r="E37" t="s">
        <v>2281</v>
      </c>
      <c r="F37" t="s">
        <v>2317</v>
      </c>
      <c r="G37" t="s">
        <v>76</v>
      </c>
      <c r="H37" t="s">
        <v>28</v>
      </c>
      <c r="I37" t="s">
        <v>29</v>
      </c>
      <c r="J37" t="s">
        <v>16</v>
      </c>
      <c r="K37" t="s">
        <v>77</v>
      </c>
    </row>
    <row r="38" spans="1:11" x14ac:dyDescent="0.35">
      <c r="A38" t="s">
        <v>149</v>
      </c>
      <c r="B38" t="s">
        <v>18</v>
      </c>
      <c r="C38" t="s">
        <v>2250</v>
      </c>
      <c r="D38">
        <v>6</v>
      </c>
      <c r="E38" t="s">
        <v>2251</v>
      </c>
      <c r="F38" t="s">
        <v>2318</v>
      </c>
      <c r="G38" t="s">
        <v>150</v>
      </c>
      <c r="H38" t="s">
        <v>131</v>
      </c>
      <c r="I38" t="s">
        <v>132</v>
      </c>
      <c r="J38" t="s">
        <v>16</v>
      </c>
      <c r="K38" t="s">
        <v>151</v>
      </c>
    </row>
    <row r="39" spans="1:11" x14ac:dyDescent="0.35">
      <c r="A39" t="s">
        <v>152</v>
      </c>
      <c r="B39" t="s">
        <v>66</v>
      </c>
      <c r="C39" t="s">
        <v>2268</v>
      </c>
      <c r="D39">
        <v>3</v>
      </c>
      <c r="E39" t="s">
        <v>2319</v>
      </c>
      <c r="F39" t="s">
        <v>2320</v>
      </c>
      <c r="G39" t="s">
        <v>153</v>
      </c>
      <c r="H39" t="s">
        <v>154</v>
      </c>
      <c r="I39" t="s">
        <v>155</v>
      </c>
      <c r="J39" t="s">
        <v>16</v>
      </c>
    </row>
    <row r="40" spans="1:11" x14ac:dyDescent="0.35">
      <c r="A40" t="s">
        <v>156</v>
      </c>
      <c r="B40" t="s">
        <v>18</v>
      </c>
      <c r="C40" t="s">
        <v>2247</v>
      </c>
      <c r="D40">
        <v>3</v>
      </c>
      <c r="E40" t="s">
        <v>2302</v>
      </c>
      <c r="F40" t="s">
        <v>2321</v>
      </c>
      <c r="G40" t="s">
        <v>157</v>
      </c>
      <c r="H40" t="s">
        <v>68</v>
      </c>
      <c r="I40" t="s">
        <v>69</v>
      </c>
      <c r="J40" t="s">
        <v>16</v>
      </c>
    </row>
    <row r="41" spans="1:11" x14ac:dyDescent="0.35">
      <c r="A41" t="s">
        <v>158</v>
      </c>
      <c r="B41" t="s">
        <v>12</v>
      </c>
      <c r="C41" t="s">
        <v>2264</v>
      </c>
      <c r="D41">
        <v>3</v>
      </c>
      <c r="E41" t="s">
        <v>2260</v>
      </c>
      <c r="F41" t="s">
        <v>2322</v>
      </c>
      <c r="G41" t="s">
        <v>159</v>
      </c>
      <c r="H41" t="s">
        <v>48</v>
      </c>
      <c r="I41" t="s">
        <v>49</v>
      </c>
      <c r="J41" t="s">
        <v>16</v>
      </c>
      <c r="K41" t="s">
        <v>50</v>
      </c>
    </row>
    <row r="42" spans="1:11" x14ac:dyDescent="0.35">
      <c r="A42" t="s">
        <v>160</v>
      </c>
      <c r="B42" t="s">
        <v>12</v>
      </c>
      <c r="C42" t="s">
        <v>2268</v>
      </c>
      <c r="D42">
        <v>4</v>
      </c>
      <c r="E42" t="s">
        <v>2260</v>
      </c>
      <c r="F42" t="s">
        <v>2322</v>
      </c>
      <c r="G42" t="s">
        <v>161</v>
      </c>
      <c r="H42" t="s">
        <v>48</v>
      </c>
      <c r="I42" t="s">
        <v>49</v>
      </c>
      <c r="J42" t="s">
        <v>16</v>
      </c>
      <c r="K42" t="s">
        <v>50</v>
      </c>
    </row>
    <row r="43" spans="1:11" x14ac:dyDescent="0.35">
      <c r="A43" t="s">
        <v>162</v>
      </c>
      <c r="B43" t="s">
        <v>18</v>
      </c>
      <c r="C43" t="s">
        <v>2250</v>
      </c>
      <c r="D43">
        <v>3</v>
      </c>
      <c r="E43" t="s">
        <v>2323</v>
      </c>
      <c r="F43" t="s">
        <v>2324</v>
      </c>
      <c r="G43" t="s">
        <v>163</v>
      </c>
      <c r="H43" t="s">
        <v>164</v>
      </c>
      <c r="I43" t="s">
        <v>165</v>
      </c>
      <c r="J43" t="s">
        <v>16</v>
      </c>
      <c r="K43" t="s">
        <v>166</v>
      </c>
    </row>
    <row r="44" spans="1:11" x14ac:dyDescent="0.35">
      <c r="A44" t="s">
        <v>167</v>
      </c>
      <c r="B44" t="s">
        <v>12</v>
      </c>
      <c r="C44" t="s">
        <v>2268</v>
      </c>
      <c r="D44">
        <v>3</v>
      </c>
      <c r="E44" t="s">
        <v>2325</v>
      </c>
      <c r="F44" t="s">
        <v>2286</v>
      </c>
      <c r="G44" t="s">
        <v>168</v>
      </c>
      <c r="H44" t="s">
        <v>169</v>
      </c>
      <c r="I44" t="s">
        <v>170</v>
      </c>
      <c r="J44" t="s">
        <v>16</v>
      </c>
      <c r="K44" t="s">
        <v>171</v>
      </c>
    </row>
    <row r="45" spans="1:11" x14ac:dyDescent="0.35">
      <c r="A45" t="s">
        <v>172</v>
      </c>
      <c r="B45" t="s">
        <v>12</v>
      </c>
      <c r="C45" t="s">
        <v>2264</v>
      </c>
      <c r="D45">
        <v>3</v>
      </c>
      <c r="E45" t="s">
        <v>2272</v>
      </c>
      <c r="F45" t="s">
        <v>2326</v>
      </c>
      <c r="G45" t="s">
        <v>2327</v>
      </c>
      <c r="H45" t="s">
        <v>173</v>
      </c>
      <c r="I45" t="s">
        <v>174</v>
      </c>
      <c r="J45" t="s">
        <v>16</v>
      </c>
      <c r="K45" t="s">
        <v>171</v>
      </c>
    </row>
    <row r="46" spans="1:11" x14ac:dyDescent="0.35">
      <c r="A46" t="s">
        <v>175</v>
      </c>
      <c r="B46" t="s">
        <v>66</v>
      </c>
      <c r="C46" t="s">
        <v>2264</v>
      </c>
      <c r="D46">
        <v>3</v>
      </c>
      <c r="E46" t="s">
        <v>2328</v>
      </c>
      <c r="F46" t="s">
        <v>2329</v>
      </c>
      <c r="G46" t="s">
        <v>176</v>
      </c>
      <c r="H46" t="s">
        <v>173</v>
      </c>
      <c r="I46" t="s">
        <v>174</v>
      </c>
      <c r="J46" t="s">
        <v>16</v>
      </c>
      <c r="K46" t="s">
        <v>171</v>
      </c>
    </row>
    <row r="47" spans="1:11" x14ac:dyDescent="0.35">
      <c r="A47" t="s">
        <v>177</v>
      </c>
      <c r="B47" t="s">
        <v>2271</v>
      </c>
      <c r="E47" t="s">
        <v>2330</v>
      </c>
      <c r="F47" t="s">
        <v>2331</v>
      </c>
      <c r="G47" t="s">
        <v>178</v>
      </c>
      <c r="H47" t="s">
        <v>179</v>
      </c>
      <c r="I47" t="s">
        <v>180</v>
      </c>
      <c r="J47" t="s">
        <v>16</v>
      </c>
      <c r="K47" t="s">
        <v>181</v>
      </c>
    </row>
    <row r="48" spans="1:11" x14ac:dyDescent="0.35">
      <c r="A48" t="s">
        <v>182</v>
      </c>
      <c r="B48" t="s">
        <v>18</v>
      </c>
      <c r="C48" t="s">
        <v>2332</v>
      </c>
      <c r="D48">
        <v>7</v>
      </c>
      <c r="E48" t="s">
        <v>2302</v>
      </c>
      <c r="F48" t="s">
        <v>2333</v>
      </c>
      <c r="G48" t="s">
        <v>183</v>
      </c>
      <c r="H48" t="s">
        <v>68</v>
      </c>
      <c r="I48" t="s">
        <v>69</v>
      </c>
      <c r="J48" t="s">
        <v>16</v>
      </c>
    </row>
    <row r="49" spans="1:11" x14ac:dyDescent="0.35">
      <c r="A49" t="s">
        <v>184</v>
      </c>
      <c r="B49" t="s">
        <v>12</v>
      </c>
      <c r="C49" t="s">
        <v>2264</v>
      </c>
      <c r="D49">
        <v>4</v>
      </c>
      <c r="E49" t="s">
        <v>2334</v>
      </c>
      <c r="F49" t="s">
        <v>2335</v>
      </c>
      <c r="G49" t="s">
        <v>185</v>
      </c>
      <c r="H49" t="s">
        <v>186</v>
      </c>
      <c r="I49" t="s">
        <v>187</v>
      </c>
      <c r="J49" t="s">
        <v>16</v>
      </c>
    </row>
    <row r="50" spans="1:11" x14ac:dyDescent="0.35">
      <c r="A50" t="s">
        <v>188</v>
      </c>
      <c r="B50" t="s">
        <v>189</v>
      </c>
      <c r="E50" t="s">
        <v>2334</v>
      </c>
      <c r="F50" t="s">
        <v>2336</v>
      </c>
      <c r="G50" t="s">
        <v>190</v>
      </c>
      <c r="H50" t="s">
        <v>186</v>
      </c>
      <c r="I50" t="s">
        <v>187</v>
      </c>
      <c r="J50" t="s">
        <v>16</v>
      </c>
    </row>
    <row r="51" spans="1:11" x14ac:dyDescent="0.35">
      <c r="A51" t="s">
        <v>191</v>
      </c>
      <c r="B51" t="s">
        <v>2271</v>
      </c>
      <c r="E51" t="s">
        <v>2337</v>
      </c>
      <c r="F51" t="s">
        <v>2338</v>
      </c>
      <c r="G51" t="s">
        <v>2339</v>
      </c>
      <c r="H51" t="s">
        <v>145</v>
      </c>
      <c r="I51" t="s">
        <v>146</v>
      </c>
      <c r="J51" t="s">
        <v>16</v>
      </c>
    </row>
    <row r="52" spans="1:11" x14ac:dyDescent="0.35">
      <c r="A52" t="s">
        <v>192</v>
      </c>
      <c r="B52" t="s">
        <v>66</v>
      </c>
      <c r="C52" t="s">
        <v>2268</v>
      </c>
      <c r="D52">
        <v>3</v>
      </c>
      <c r="E52" t="s">
        <v>2340</v>
      </c>
      <c r="F52" t="s">
        <v>2341</v>
      </c>
      <c r="G52" t="s">
        <v>138</v>
      </c>
      <c r="H52" t="s">
        <v>14</v>
      </c>
      <c r="I52" t="s">
        <v>15</v>
      </c>
      <c r="J52" t="s">
        <v>16</v>
      </c>
    </row>
    <row r="53" spans="1:11" x14ac:dyDescent="0.35">
      <c r="A53" t="s">
        <v>193</v>
      </c>
      <c r="B53" t="s">
        <v>66</v>
      </c>
      <c r="C53" t="s">
        <v>2268</v>
      </c>
      <c r="D53">
        <v>3</v>
      </c>
      <c r="E53" t="s">
        <v>2342</v>
      </c>
      <c r="F53" t="s">
        <v>2343</v>
      </c>
      <c r="G53" t="s">
        <v>194</v>
      </c>
      <c r="H53" t="s">
        <v>195</v>
      </c>
      <c r="I53" t="s">
        <v>196</v>
      </c>
      <c r="J53" t="s">
        <v>16</v>
      </c>
    </row>
    <row r="54" spans="1:11" x14ac:dyDescent="0.35">
      <c r="A54" t="s">
        <v>197</v>
      </c>
      <c r="B54" t="s">
        <v>12</v>
      </c>
      <c r="C54" t="s">
        <v>2268</v>
      </c>
      <c r="D54">
        <v>3</v>
      </c>
      <c r="E54" t="s">
        <v>2260</v>
      </c>
      <c r="F54" t="s">
        <v>2269</v>
      </c>
      <c r="G54" t="s">
        <v>198</v>
      </c>
      <c r="H54" t="s">
        <v>48</v>
      </c>
      <c r="I54" t="s">
        <v>49</v>
      </c>
      <c r="J54" t="s">
        <v>16</v>
      </c>
    </row>
    <row r="55" spans="1:11" x14ac:dyDescent="0.35">
      <c r="A55" t="s">
        <v>199</v>
      </c>
      <c r="B55" t="s">
        <v>2271</v>
      </c>
      <c r="E55" t="s">
        <v>2302</v>
      </c>
      <c r="F55" t="s">
        <v>2344</v>
      </c>
      <c r="G55" t="s">
        <v>200</v>
      </c>
      <c r="H55" t="s">
        <v>145</v>
      </c>
      <c r="I55" t="s">
        <v>146</v>
      </c>
      <c r="J55" t="s">
        <v>16</v>
      </c>
    </row>
    <row r="56" spans="1:11" x14ac:dyDescent="0.35">
      <c r="A56" t="s">
        <v>201</v>
      </c>
      <c r="B56" t="s">
        <v>66</v>
      </c>
      <c r="C56" t="s">
        <v>2268</v>
      </c>
      <c r="D56">
        <v>3</v>
      </c>
      <c r="E56" t="s">
        <v>2345</v>
      </c>
      <c r="F56" t="s">
        <v>2346</v>
      </c>
      <c r="G56" t="s">
        <v>202</v>
      </c>
      <c r="H56" t="s">
        <v>173</v>
      </c>
      <c r="I56" t="s">
        <v>174</v>
      </c>
      <c r="J56" t="s">
        <v>16</v>
      </c>
      <c r="K56" t="s">
        <v>203</v>
      </c>
    </row>
    <row r="57" spans="1:11" x14ac:dyDescent="0.35">
      <c r="A57" t="s">
        <v>204</v>
      </c>
      <c r="B57" t="s">
        <v>18</v>
      </c>
      <c r="C57" t="s">
        <v>2250</v>
      </c>
      <c r="D57">
        <v>4</v>
      </c>
      <c r="E57" t="s">
        <v>2347</v>
      </c>
      <c r="F57" t="s">
        <v>2270</v>
      </c>
      <c r="G57" t="s">
        <v>205</v>
      </c>
      <c r="H57" t="s">
        <v>164</v>
      </c>
      <c r="I57" t="s">
        <v>165</v>
      </c>
      <c r="J57" t="s">
        <v>16</v>
      </c>
      <c r="K57" t="s">
        <v>206</v>
      </c>
    </row>
    <row r="58" spans="1:11" x14ac:dyDescent="0.35">
      <c r="A58" t="s">
        <v>207</v>
      </c>
      <c r="B58" t="s">
        <v>2271</v>
      </c>
      <c r="E58" t="s">
        <v>2348</v>
      </c>
      <c r="F58" t="s">
        <v>2349</v>
      </c>
      <c r="G58" t="s">
        <v>208</v>
      </c>
      <c r="H58" t="s">
        <v>209</v>
      </c>
      <c r="I58" t="s">
        <v>210</v>
      </c>
      <c r="J58" t="s">
        <v>16</v>
      </c>
      <c r="K58" t="s">
        <v>211</v>
      </c>
    </row>
    <row r="59" spans="1:11" x14ac:dyDescent="0.35">
      <c r="A59" t="s">
        <v>212</v>
      </c>
      <c r="B59" t="s">
        <v>66</v>
      </c>
      <c r="C59" t="s">
        <v>2268</v>
      </c>
      <c r="D59">
        <v>3</v>
      </c>
      <c r="E59" t="s">
        <v>2350</v>
      </c>
      <c r="F59" t="s">
        <v>2351</v>
      </c>
      <c r="G59" t="s">
        <v>213</v>
      </c>
      <c r="H59" t="s">
        <v>169</v>
      </c>
      <c r="I59" t="s">
        <v>170</v>
      </c>
      <c r="J59" t="s">
        <v>16</v>
      </c>
    </row>
    <row r="60" spans="1:11" x14ac:dyDescent="0.35">
      <c r="A60" t="s">
        <v>214</v>
      </c>
      <c r="B60" t="s">
        <v>66</v>
      </c>
      <c r="C60" t="s">
        <v>2268</v>
      </c>
      <c r="D60">
        <v>5</v>
      </c>
      <c r="E60" t="s">
        <v>2300</v>
      </c>
      <c r="F60" t="s">
        <v>2309</v>
      </c>
      <c r="G60" t="s">
        <v>215</v>
      </c>
      <c r="H60" t="s">
        <v>97</v>
      </c>
      <c r="I60" t="s">
        <v>98</v>
      </c>
      <c r="J60" t="s">
        <v>16</v>
      </c>
    </row>
    <row r="61" spans="1:11" x14ac:dyDescent="0.35">
      <c r="A61" t="s">
        <v>216</v>
      </c>
      <c r="B61" t="s">
        <v>66</v>
      </c>
      <c r="C61" t="s">
        <v>2268</v>
      </c>
      <c r="D61">
        <v>3</v>
      </c>
      <c r="E61" t="s">
        <v>2352</v>
      </c>
      <c r="F61" t="s">
        <v>2353</v>
      </c>
      <c r="G61" t="s">
        <v>217</v>
      </c>
      <c r="H61" t="s">
        <v>218</v>
      </c>
      <c r="I61" t="s">
        <v>219</v>
      </c>
      <c r="J61" t="s">
        <v>16</v>
      </c>
      <c r="K61" t="s">
        <v>50</v>
      </c>
    </row>
    <row r="62" spans="1:11" x14ac:dyDescent="0.35">
      <c r="A62" t="s">
        <v>220</v>
      </c>
      <c r="B62" t="s">
        <v>18</v>
      </c>
      <c r="C62" t="s">
        <v>2297</v>
      </c>
      <c r="D62">
        <v>5</v>
      </c>
      <c r="E62" t="s">
        <v>2302</v>
      </c>
      <c r="F62" t="s">
        <v>2354</v>
      </c>
      <c r="G62" t="s">
        <v>221</v>
      </c>
      <c r="H62" t="s">
        <v>173</v>
      </c>
      <c r="I62" t="s">
        <v>174</v>
      </c>
      <c r="J62" t="s">
        <v>16</v>
      </c>
      <c r="K62" t="s">
        <v>171</v>
      </c>
    </row>
    <row r="63" spans="1:11" x14ac:dyDescent="0.35">
      <c r="A63" t="s">
        <v>222</v>
      </c>
      <c r="B63" t="s">
        <v>2271</v>
      </c>
      <c r="E63" t="s">
        <v>2355</v>
      </c>
      <c r="F63" t="s">
        <v>2356</v>
      </c>
      <c r="G63" t="s">
        <v>223</v>
      </c>
      <c r="H63" t="s">
        <v>16</v>
      </c>
      <c r="I63" t="s">
        <v>224</v>
      </c>
      <c r="K63" t="s">
        <v>225</v>
      </c>
    </row>
    <row r="64" spans="1:11" x14ac:dyDescent="0.35">
      <c r="A64" t="s">
        <v>226</v>
      </c>
      <c r="B64" t="s">
        <v>2271</v>
      </c>
      <c r="E64" t="s">
        <v>2262</v>
      </c>
      <c r="F64" t="s">
        <v>2357</v>
      </c>
      <c r="G64" t="s">
        <v>227</v>
      </c>
      <c r="H64" t="s">
        <v>145</v>
      </c>
      <c r="I64" t="s">
        <v>146</v>
      </c>
      <c r="J64" t="s">
        <v>16</v>
      </c>
      <c r="K64" t="s">
        <v>225</v>
      </c>
    </row>
    <row r="65" spans="1:11" x14ac:dyDescent="0.35">
      <c r="A65" t="s">
        <v>228</v>
      </c>
      <c r="B65" t="s">
        <v>18</v>
      </c>
      <c r="C65" t="s">
        <v>2250</v>
      </c>
      <c r="D65">
        <v>4</v>
      </c>
      <c r="E65" t="s">
        <v>2358</v>
      </c>
      <c r="F65" t="s">
        <v>2317</v>
      </c>
      <c r="G65" t="s">
        <v>229</v>
      </c>
      <c r="H65" t="s">
        <v>97</v>
      </c>
      <c r="I65" t="s">
        <v>98</v>
      </c>
      <c r="J65" t="s">
        <v>16</v>
      </c>
      <c r="K65" t="s">
        <v>230</v>
      </c>
    </row>
    <row r="66" spans="1:11" x14ac:dyDescent="0.35">
      <c r="A66" t="s">
        <v>231</v>
      </c>
      <c r="B66" t="s">
        <v>18</v>
      </c>
      <c r="C66" t="s">
        <v>2359</v>
      </c>
      <c r="D66">
        <v>5</v>
      </c>
      <c r="E66" t="s">
        <v>2258</v>
      </c>
      <c r="F66" t="s">
        <v>2360</v>
      </c>
      <c r="G66" t="s">
        <v>232</v>
      </c>
      <c r="H66" t="s">
        <v>233</v>
      </c>
      <c r="I66" t="s">
        <v>234</v>
      </c>
      <c r="J66" t="s">
        <v>16</v>
      </c>
    </row>
    <row r="67" spans="1:11" x14ac:dyDescent="0.35">
      <c r="A67" t="s">
        <v>235</v>
      </c>
      <c r="B67" t="s">
        <v>66</v>
      </c>
      <c r="C67" t="s">
        <v>2268</v>
      </c>
      <c r="D67">
        <v>3</v>
      </c>
      <c r="E67" t="s">
        <v>2361</v>
      </c>
      <c r="F67" t="s">
        <v>2362</v>
      </c>
      <c r="G67" t="s">
        <v>236</v>
      </c>
      <c r="H67" t="s">
        <v>145</v>
      </c>
      <c r="I67" t="s">
        <v>146</v>
      </c>
      <c r="J67" t="s">
        <v>16</v>
      </c>
      <c r="K67" t="s">
        <v>237</v>
      </c>
    </row>
    <row r="68" spans="1:11" x14ac:dyDescent="0.35">
      <c r="A68" t="s">
        <v>238</v>
      </c>
      <c r="B68" t="s">
        <v>18</v>
      </c>
      <c r="C68" t="s">
        <v>2250</v>
      </c>
      <c r="D68">
        <v>3</v>
      </c>
      <c r="E68" t="s">
        <v>2363</v>
      </c>
      <c r="F68" t="s">
        <v>2364</v>
      </c>
      <c r="G68" t="s">
        <v>2365</v>
      </c>
      <c r="H68" t="s">
        <v>97</v>
      </c>
      <c r="I68" t="s">
        <v>98</v>
      </c>
      <c r="J68" t="s">
        <v>16</v>
      </c>
      <c r="K68" t="s">
        <v>230</v>
      </c>
    </row>
    <row r="69" spans="1:11" x14ac:dyDescent="0.35">
      <c r="A69" t="s">
        <v>239</v>
      </c>
      <c r="B69" t="s">
        <v>66</v>
      </c>
      <c r="C69" t="s">
        <v>2268</v>
      </c>
      <c r="D69">
        <v>2</v>
      </c>
      <c r="E69" t="s">
        <v>2366</v>
      </c>
      <c r="F69" t="s">
        <v>2317</v>
      </c>
      <c r="G69" t="s">
        <v>240</v>
      </c>
      <c r="H69" t="s">
        <v>241</v>
      </c>
      <c r="I69" t="s">
        <v>242</v>
      </c>
      <c r="J69" t="s">
        <v>16</v>
      </c>
      <c r="K69" t="s">
        <v>243</v>
      </c>
    </row>
    <row r="70" spans="1:11" x14ac:dyDescent="0.35">
      <c r="A70" t="s">
        <v>244</v>
      </c>
      <c r="B70" t="s">
        <v>2271</v>
      </c>
      <c r="E70" t="s">
        <v>2367</v>
      </c>
      <c r="F70" t="s">
        <v>2368</v>
      </c>
      <c r="G70" t="s">
        <v>245</v>
      </c>
      <c r="H70" t="s">
        <v>169</v>
      </c>
      <c r="I70" t="s">
        <v>170</v>
      </c>
      <c r="J70" t="s">
        <v>16</v>
      </c>
      <c r="K70" t="s">
        <v>243</v>
      </c>
    </row>
    <row r="71" spans="1:11" x14ac:dyDescent="0.35">
      <c r="A71" t="s">
        <v>246</v>
      </c>
      <c r="B71" t="s">
        <v>12</v>
      </c>
      <c r="C71" t="s">
        <v>2268</v>
      </c>
      <c r="D71">
        <v>1</v>
      </c>
      <c r="E71" t="s">
        <v>2369</v>
      </c>
      <c r="F71" t="s">
        <v>2309</v>
      </c>
      <c r="G71" t="s">
        <v>2370</v>
      </c>
      <c r="H71" t="s">
        <v>169</v>
      </c>
      <c r="I71" t="s">
        <v>170</v>
      </c>
      <c r="J71" t="s">
        <v>16</v>
      </c>
      <c r="K71" t="s">
        <v>171</v>
      </c>
    </row>
    <row r="72" spans="1:11" x14ac:dyDescent="0.35">
      <c r="A72" t="s">
        <v>247</v>
      </c>
      <c r="B72" t="s">
        <v>12</v>
      </c>
      <c r="C72" t="s">
        <v>2268</v>
      </c>
      <c r="D72">
        <v>3</v>
      </c>
      <c r="E72" t="s">
        <v>2371</v>
      </c>
      <c r="F72" t="s">
        <v>2372</v>
      </c>
      <c r="G72" t="s">
        <v>248</v>
      </c>
      <c r="H72" t="s">
        <v>14</v>
      </c>
      <c r="I72" t="s">
        <v>15</v>
      </c>
      <c r="J72" t="s">
        <v>16</v>
      </c>
    </row>
    <row r="73" spans="1:11" x14ac:dyDescent="0.35">
      <c r="A73" t="s">
        <v>249</v>
      </c>
      <c r="B73" t="s">
        <v>18</v>
      </c>
      <c r="C73" t="s">
        <v>2268</v>
      </c>
      <c r="D73">
        <v>2</v>
      </c>
      <c r="E73" t="s">
        <v>2251</v>
      </c>
      <c r="F73" t="s">
        <v>2331</v>
      </c>
      <c r="G73" t="s">
        <v>2373</v>
      </c>
      <c r="H73" t="s">
        <v>97</v>
      </c>
      <c r="I73" t="s">
        <v>98</v>
      </c>
      <c r="J73" t="s">
        <v>16</v>
      </c>
    </row>
    <row r="74" spans="1:11" x14ac:dyDescent="0.35">
      <c r="A74" t="s">
        <v>250</v>
      </c>
      <c r="B74" t="s">
        <v>251</v>
      </c>
      <c r="C74" t="s">
        <v>2268</v>
      </c>
      <c r="D74">
        <v>3</v>
      </c>
      <c r="E74" t="s">
        <v>2374</v>
      </c>
      <c r="F74" t="s">
        <v>2307</v>
      </c>
      <c r="G74" t="s">
        <v>2375</v>
      </c>
      <c r="H74" t="s">
        <v>169</v>
      </c>
      <c r="I74" t="s">
        <v>170</v>
      </c>
      <c r="J74" t="s">
        <v>16</v>
      </c>
      <c r="K74" t="s">
        <v>252</v>
      </c>
    </row>
    <row r="75" spans="1:11" x14ac:dyDescent="0.35">
      <c r="A75" t="s">
        <v>253</v>
      </c>
      <c r="B75" t="s">
        <v>66</v>
      </c>
      <c r="C75" t="s">
        <v>2268</v>
      </c>
      <c r="D75">
        <v>3</v>
      </c>
      <c r="E75" t="s">
        <v>2376</v>
      </c>
      <c r="F75" t="s">
        <v>2377</v>
      </c>
      <c r="G75" t="s">
        <v>254</v>
      </c>
      <c r="H75" t="s">
        <v>255</v>
      </c>
      <c r="I75" t="s">
        <v>256</v>
      </c>
      <c r="J75" t="s">
        <v>16</v>
      </c>
      <c r="K75" t="s">
        <v>257</v>
      </c>
    </row>
    <row r="76" spans="1:11" x14ac:dyDescent="0.35">
      <c r="A76" t="s">
        <v>258</v>
      </c>
      <c r="B76" t="s">
        <v>18</v>
      </c>
      <c r="C76" t="s">
        <v>2250</v>
      </c>
      <c r="D76">
        <v>4</v>
      </c>
      <c r="E76" t="s">
        <v>2289</v>
      </c>
      <c r="F76" t="s">
        <v>2270</v>
      </c>
      <c r="G76" t="s">
        <v>259</v>
      </c>
      <c r="H76" t="s">
        <v>173</v>
      </c>
      <c r="I76" t="s">
        <v>174</v>
      </c>
      <c r="J76" t="s">
        <v>16</v>
      </c>
    </row>
    <row r="77" spans="1:11" x14ac:dyDescent="0.35">
      <c r="A77" t="s">
        <v>260</v>
      </c>
      <c r="B77" t="s">
        <v>66</v>
      </c>
      <c r="C77" t="s">
        <v>2268</v>
      </c>
      <c r="D77">
        <v>3</v>
      </c>
      <c r="E77" t="s">
        <v>2378</v>
      </c>
      <c r="F77" t="s">
        <v>2379</v>
      </c>
      <c r="G77" t="s">
        <v>261</v>
      </c>
      <c r="H77" t="s">
        <v>186</v>
      </c>
      <c r="I77" t="s">
        <v>187</v>
      </c>
      <c r="J77" t="s">
        <v>16</v>
      </c>
    </row>
    <row r="78" spans="1:11" x14ac:dyDescent="0.35">
      <c r="A78" t="s">
        <v>262</v>
      </c>
      <c r="B78" t="s">
        <v>66</v>
      </c>
      <c r="C78" t="s">
        <v>2264</v>
      </c>
      <c r="D78">
        <v>3</v>
      </c>
      <c r="E78" t="s">
        <v>2380</v>
      </c>
      <c r="F78" t="s">
        <v>2335</v>
      </c>
      <c r="G78" t="s">
        <v>263</v>
      </c>
      <c r="H78" t="s">
        <v>264</v>
      </c>
      <c r="I78" t="s">
        <v>265</v>
      </c>
      <c r="J78" t="s">
        <v>16</v>
      </c>
    </row>
    <row r="79" spans="1:11" x14ac:dyDescent="0.35">
      <c r="A79" t="s">
        <v>266</v>
      </c>
      <c r="B79" t="s">
        <v>18</v>
      </c>
      <c r="C79" t="s">
        <v>2332</v>
      </c>
      <c r="D79">
        <v>5</v>
      </c>
      <c r="E79" t="s">
        <v>2381</v>
      </c>
      <c r="F79" t="s">
        <v>2382</v>
      </c>
      <c r="G79" t="s">
        <v>267</v>
      </c>
      <c r="H79" t="s">
        <v>264</v>
      </c>
      <c r="I79" t="s">
        <v>265</v>
      </c>
      <c r="J79" t="s">
        <v>16</v>
      </c>
    </row>
    <row r="80" spans="1:11" x14ac:dyDescent="0.35">
      <c r="A80" t="s">
        <v>268</v>
      </c>
      <c r="B80" t="s">
        <v>66</v>
      </c>
      <c r="C80" t="s">
        <v>2268</v>
      </c>
      <c r="D80">
        <v>2</v>
      </c>
      <c r="E80" t="s">
        <v>2383</v>
      </c>
      <c r="F80" t="s">
        <v>2336</v>
      </c>
      <c r="G80" t="s">
        <v>269</v>
      </c>
      <c r="H80" t="s">
        <v>169</v>
      </c>
      <c r="I80" t="s">
        <v>170</v>
      </c>
      <c r="J80" t="s">
        <v>16</v>
      </c>
    </row>
    <row r="81" spans="1:11" x14ac:dyDescent="0.35">
      <c r="A81" t="s">
        <v>270</v>
      </c>
      <c r="B81" t="s">
        <v>66</v>
      </c>
      <c r="C81" t="s">
        <v>2264</v>
      </c>
      <c r="D81">
        <v>5</v>
      </c>
      <c r="E81" t="s">
        <v>2384</v>
      </c>
      <c r="F81" t="s">
        <v>2385</v>
      </c>
      <c r="G81" t="s">
        <v>236</v>
      </c>
      <c r="H81" t="s">
        <v>145</v>
      </c>
      <c r="I81" t="s">
        <v>146</v>
      </c>
      <c r="J81" t="s">
        <v>16</v>
      </c>
      <c r="K81" t="s">
        <v>77</v>
      </c>
    </row>
    <row r="82" spans="1:11" x14ac:dyDescent="0.35">
      <c r="A82" t="s">
        <v>271</v>
      </c>
      <c r="B82" t="s">
        <v>12</v>
      </c>
      <c r="C82" t="s">
        <v>2268</v>
      </c>
      <c r="D82">
        <v>3</v>
      </c>
      <c r="E82" t="s">
        <v>2386</v>
      </c>
      <c r="F82" t="s">
        <v>2387</v>
      </c>
      <c r="G82" t="s">
        <v>136</v>
      </c>
      <c r="H82" t="s">
        <v>14</v>
      </c>
      <c r="I82" t="s">
        <v>15</v>
      </c>
      <c r="J82" t="s">
        <v>16</v>
      </c>
    </row>
    <row r="83" spans="1:11" x14ac:dyDescent="0.35">
      <c r="A83" t="s">
        <v>272</v>
      </c>
      <c r="B83" t="s">
        <v>12</v>
      </c>
      <c r="C83" t="s">
        <v>2268</v>
      </c>
      <c r="D83">
        <v>4</v>
      </c>
      <c r="E83" t="s">
        <v>2383</v>
      </c>
      <c r="F83" t="s">
        <v>2388</v>
      </c>
      <c r="G83" t="s">
        <v>273</v>
      </c>
      <c r="H83" t="s">
        <v>169</v>
      </c>
      <c r="I83" t="s">
        <v>170</v>
      </c>
      <c r="J83" t="s">
        <v>16</v>
      </c>
      <c r="K83" t="s">
        <v>274</v>
      </c>
    </row>
    <row r="84" spans="1:11" x14ac:dyDescent="0.35">
      <c r="A84" t="s">
        <v>275</v>
      </c>
      <c r="B84" t="s">
        <v>66</v>
      </c>
      <c r="C84" t="s">
        <v>2264</v>
      </c>
      <c r="D84">
        <v>3</v>
      </c>
      <c r="E84" t="s">
        <v>2389</v>
      </c>
      <c r="F84" t="s">
        <v>2341</v>
      </c>
      <c r="G84" t="s">
        <v>138</v>
      </c>
      <c r="H84" t="s">
        <v>14</v>
      </c>
      <c r="I84" t="s">
        <v>15</v>
      </c>
      <c r="J84" t="s">
        <v>16</v>
      </c>
      <c r="K84" t="s">
        <v>50</v>
      </c>
    </row>
    <row r="85" spans="1:11" x14ac:dyDescent="0.35">
      <c r="A85" t="s">
        <v>276</v>
      </c>
      <c r="B85" t="s">
        <v>12</v>
      </c>
      <c r="C85" t="s">
        <v>2268</v>
      </c>
      <c r="D85">
        <v>3</v>
      </c>
      <c r="E85" t="s">
        <v>2260</v>
      </c>
      <c r="F85" t="s">
        <v>2346</v>
      </c>
      <c r="G85" t="s">
        <v>122</v>
      </c>
      <c r="H85" t="s">
        <v>48</v>
      </c>
      <c r="I85" t="s">
        <v>49</v>
      </c>
      <c r="J85" t="s">
        <v>16</v>
      </c>
      <c r="K85" t="s">
        <v>50</v>
      </c>
    </row>
    <row r="86" spans="1:11" x14ac:dyDescent="0.35">
      <c r="A86" t="s">
        <v>277</v>
      </c>
      <c r="B86" t="s">
        <v>66</v>
      </c>
      <c r="C86" t="s">
        <v>2250</v>
      </c>
      <c r="D86">
        <v>3</v>
      </c>
      <c r="E86" t="s">
        <v>2342</v>
      </c>
      <c r="F86" t="s">
        <v>2343</v>
      </c>
      <c r="G86" t="s">
        <v>278</v>
      </c>
      <c r="H86" t="s">
        <v>195</v>
      </c>
      <c r="I86" t="s">
        <v>196</v>
      </c>
      <c r="J86" t="s">
        <v>16</v>
      </c>
      <c r="K86" t="s">
        <v>50</v>
      </c>
    </row>
    <row r="87" spans="1:11" x14ac:dyDescent="0.35">
      <c r="A87" t="s">
        <v>279</v>
      </c>
      <c r="B87" t="s">
        <v>12</v>
      </c>
      <c r="C87" t="s">
        <v>2264</v>
      </c>
      <c r="D87">
        <v>3</v>
      </c>
      <c r="E87" t="s">
        <v>2260</v>
      </c>
      <c r="F87" t="s">
        <v>2322</v>
      </c>
      <c r="G87" t="s">
        <v>280</v>
      </c>
      <c r="H87" t="s">
        <v>48</v>
      </c>
      <c r="I87" t="s">
        <v>49</v>
      </c>
      <c r="J87" t="s">
        <v>16</v>
      </c>
      <c r="K87" t="s">
        <v>50</v>
      </c>
    </row>
    <row r="88" spans="1:11" x14ac:dyDescent="0.35">
      <c r="A88" t="s">
        <v>281</v>
      </c>
      <c r="B88" t="s">
        <v>12</v>
      </c>
      <c r="C88" t="s">
        <v>2264</v>
      </c>
      <c r="D88">
        <v>4</v>
      </c>
      <c r="E88" t="s">
        <v>2260</v>
      </c>
      <c r="F88" t="s">
        <v>2322</v>
      </c>
      <c r="G88" t="s">
        <v>159</v>
      </c>
      <c r="H88" t="s">
        <v>48</v>
      </c>
      <c r="I88" t="s">
        <v>49</v>
      </c>
      <c r="J88" t="s">
        <v>16</v>
      </c>
      <c r="K88" t="s">
        <v>50</v>
      </c>
    </row>
    <row r="89" spans="1:11" x14ac:dyDescent="0.35">
      <c r="A89" t="s">
        <v>282</v>
      </c>
      <c r="B89" t="s">
        <v>12</v>
      </c>
      <c r="C89" t="s">
        <v>2264</v>
      </c>
      <c r="D89">
        <v>4</v>
      </c>
      <c r="E89" t="s">
        <v>2248</v>
      </c>
      <c r="F89" t="s">
        <v>2390</v>
      </c>
      <c r="G89" t="s">
        <v>283</v>
      </c>
      <c r="H89" t="s">
        <v>145</v>
      </c>
      <c r="I89" t="s">
        <v>146</v>
      </c>
      <c r="J89" t="s">
        <v>16</v>
      </c>
      <c r="K89" t="s">
        <v>284</v>
      </c>
    </row>
    <row r="90" spans="1:11" x14ac:dyDescent="0.35">
      <c r="A90" t="s">
        <v>285</v>
      </c>
      <c r="B90" t="s">
        <v>12</v>
      </c>
      <c r="C90" t="s">
        <v>2264</v>
      </c>
      <c r="D90">
        <v>3</v>
      </c>
      <c r="E90" t="s">
        <v>2260</v>
      </c>
      <c r="F90" t="s">
        <v>2322</v>
      </c>
      <c r="G90" t="s">
        <v>47</v>
      </c>
      <c r="H90" t="s">
        <v>48</v>
      </c>
      <c r="I90" t="s">
        <v>49</v>
      </c>
      <c r="J90" t="s">
        <v>16</v>
      </c>
      <c r="K90" t="s">
        <v>50</v>
      </c>
    </row>
    <row r="91" spans="1:11" x14ac:dyDescent="0.35">
      <c r="A91" t="s">
        <v>286</v>
      </c>
      <c r="B91" t="s">
        <v>66</v>
      </c>
      <c r="C91" t="s">
        <v>2250</v>
      </c>
      <c r="D91">
        <v>4</v>
      </c>
      <c r="E91" t="s">
        <v>2391</v>
      </c>
      <c r="F91" t="s">
        <v>2392</v>
      </c>
      <c r="G91" t="s">
        <v>287</v>
      </c>
      <c r="H91" t="s">
        <v>154</v>
      </c>
      <c r="I91" t="s">
        <v>155</v>
      </c>
      <c r="J91" t="s">
        <v>16</v>
      </c>
      <c r="K91" t="s">
        <v>288</v>
      </c>
    </row>
    <row r="92" spans="1:11" x14ac:dyDescent="0.35">
      <c r="A92" t="s">
        <v>289</v>
      </c>
      <c r="B92" t="s">
        <v>2274</v>
      </c>
      <c r="C92" t="s">
        <v>2268</v>
      </c>
      <c r="D92">
        <v>4</v>
      </c>
      <c r="E92" t="s">
        <v>2393</v>
      </c>
      <c r="F92" t="s">
        <v>2394</v>
      </c>
      <c r="G92" t="s">
        <v>290</v>
      </c>
      <c r="H92" t="s">
        <v>291</v>
      </c>
      <c r="I92" t="s">
        <v>292</v>
      </c>
      <c r="J92" t="s">
        <v>16</v>
      </c>
    </row>
    <row r="93" spans="1:11" x14ac:dyDescent="0.35">
      <c r="A93" t="s">
        <v>293</v>
      </c>
      <c r="B93" t="s">
        <v>66</v>
      </c>
      <c r="C93" t="s">
        <v>2268</v>
      </c>
      <c r="D93">
        <v>2</v>
      </c>
      <c r="E93" t="s">
        <v>2371</v>
      </c>
      <c r="F93" t="s">
        <v>2395</v>
      </c>
      <c r="G93" t="s">
        <v>2396</v>
      </c>
      <c r="H93" t="s">
        <v>154</v>
      </c>
      <c r="I93" t="s">
        <v>155</v>
      </c>
      <c r="J93" t="s">
        <v>16</v>
      </c>
    </row>
    <row r="94" spans="1:11" x14ac:dyDescent="0.35">
      <c r="A94" t="s">
        <v>294</v>
      </c>
      <c r="B94" t="s">
        <v>2271</v>
      </c>
      <c r="E94" t="s">
        <v>2397</v>
      </c>
      <c r="F94" t="s">
        <v>2398</v>
      </c>
      <c r="G94" t="s">
        <v>295</v>
      </c>
      <c r="H94" t="s">
        <v>241</v>
      </c>
      <c r="I94" t="s">
        <v>242</v>
      </c>
      <c r="J94" t="s">
        <v>16</v>
      </c>
      <c r="K94" t="s">
        <v>296</v>
      </c>
    </row>
    <row r="95" spans="1:11" x14ac:dyDescent="0.35">
      <c r="A95" t="s">
        <v>297</v>
      </c>
      <c r="B95" t="s">
        <v>2271</v>
      </c>
      <c r="E95" t="s">
        <v>2399</v>
      </c>
      <c r="F95" t="s">
        <v>2400</v>
      </c>
      <c r="G95" t="s">
        <v>298</v>
      </c>
      <c r="H95" t="s">
        <v>58</v>
      </c>
      <c r="I95" t="s">
        <v>59</v>
      </c>
      <c r="J95" t="s">
        <v>16</v>
      </c>
      <c r="K95" t="s">
        <v>296</v>
      </c>
    </row>
    <row r="96" spans="1:11" x14ac:dyDescent="0.35">
      <c r="A96" t="s">
        <v>299</v>
      </c>
      <c r="B96" t="s">
        <v>2271</v>
      </c>
      <c r="E96" t="s">
        <v>2397</v>
      </c>
      <c r="F96" t="s">
        <v>2401</v>
      </c>
      <c r="G96" t="s">
        <v>300</v>
      </c>
      <c r="H96" t="s">
        <v>241</v>
      </c>
      <c r="I96" t="s">
        <v>242</v>
      </c>
      <c r="J96" t="s">
        <v>16</v>
      </c>
      <c r="K96" t="s">
        <v>296</v>
      </c>
    </row>
    <row r="97" spans="1:11" x14ac:dyDescent="0.35">
      <c r="A97" t="s">
        <v>301</v>
      </c>
      <c r="B97" t="s">
        <v>66</v>
      </c>
      <c r="C97" t="s">
        <v>2264</v>
      </c>
      <c r="D97">
        <v>3</v>
      </c>
      <c r="E97" t="s">
        <v>2402</v>
      </c>
      <c r="F97" t="s">
        <v>2317</v>
      </c>
      <c r="G97" t="s">
        <v>240</v>
      </c>
      <c r="H97" t="s">
        <v>241</v>
      </c>
      <c r="I97" t="s">
        <v>242</v>
      </c>
      <c r="J97" t="s">
        <v>16</v>
      </c>
      <c r="K97" t="s">
        <v>296</v>
      </c>
    </row>
    <row r="98" spans="1:11" x14ac:dyDescent="0.35">
      <c r="A98" t="s">
        <v>302</v>
      </c>
      <c r="B98" t="s">
        <v>18</v>
      </c>
      <c r="C98" t="s">
        <v>2250</v>
      </c>
      <c r="D98">
        <v>5</v>
      </c>
      <c r="E98" t="s">
        <v>2403</v>
      </c>
      <c r="F98" t="s">
        <v>2404</v>
      </c>
      <c r="G98" t="s">
        <v>303</v>
      </c>
      <c r="H98" t="s">
        <v>233</v>
      </c>
      <c r="I98" t="s">
        <v>234</v>
      </c>
      <c r="J98" t="s">
        <v>16</v>
      </c>
    </row>
    <row r="99" spans="1:11" x14ac:dyDescent="0.35">
      <c r="A99" t="s">
        <v>304</v>
      </c>
      <c r="B99" t="s">
        <v>18</v>
      </c>
      <c r="C99" t="s">
        <v>2250</v>
      </c>
      <c r="D99">
        <v>5</v>
      </c>
      <c r="E99" t="s">
        <v>2289</v>
      </c>
      <c r="F99" t="s">
        <v>2405</v>
      </c>
      <c r="G99" t="s">
        <v>303</v>
      </c>
      <c r="H99" t="s">
        <v>233</v>
      </c>
      <c r="I99" t="s">
        <v>234</v>
      </c>
      <c r="J99" t="s">
        <v>16</v>
      </c>
    </row>
    <row r="100" spans="1:11" x14ac:dyDescent="0.35">
      <c r="A100" t="s">
        <v>305</v>
      </c>
      <c r="B100" t="s">
        <v>18</v>
      </c>
      <c r="C100" t="s">
        <v>2268</v>
      </c>
      <c r="D100">
        <v>5</v>
      </c>
      <c r="E100" t="s">
        <v>2406</v>
      </c>
      <c r="F100" t="s">
        <v>2407</v>
      </c>
      <c r="G100" t="s">
        <v>232</v>
      </c>
      <c r="H100" t="s">
        <v>233</v>
      </c>
      <c r="I100" t="s">
        <v>234</v>
      </c>
      <c r="J100" t="s">
        <v>16</v>
      </c>
    </row>
    <row r="101" spans="1:11" x14ac:dyDescent="0.35">
      <c r="A101" t="s">
        <v>306</v>
      </c>
      <c r="B101" t="s">
        <v>18</v>
      </c>
      <c r="C101" t="s">
        <v>2268</v>
      </c>
      <c r="D101">
        <v>5</v>
      </c>
      <c r="E101" t="s">
        <v>2406</v>
      </c>
      <c r="F101" t="s">
        <v>2408</v>
      </c>
      <c r="G101" t="s">
        <v>307</v>
      </c>
      <c r="H101" t="s">
        <v>233</v>
      </c>
      <c r="I101" t="s">
        <v>234</v>
      </c>
      <c r="J101" t="s">
        <v>16</v>
      </c>
    </row>
    <row r="102" spans="1:11" x14ac:dyDescent="0.35">
      <c r="A102" t="s">
        <v>308</v>
      </c>
      <c r="B102" t="s">
        <v>66</v>
      </c>
      <c r="C102" t="s">
        <v>2268</v>
      </c>
      <c r="D102">
        <v>3</v>
      </c>
      <c r="E102" t="s">
        <v>2409</v>
      </c>
      <c r="F102" t="s">
        <v>2335</v>
      </c>
      <c r="G102" t="s">
        <v>309</v>
      </c>
      <c r="H102" t="s">
        <v>264</v>
      </c>
      <c r="I102" t="s">
        <v>265</v>
      </c>
      <c r="J102" t="s">
        <v>16</v>
      </c>
    </row>
    <row r="103" spans="1:11" x14ac:dyDescent="0.35">
      <c r="A103" t="s">
        <v>310</v>
      </c>
      <c r="B103" t="s">
        <v>189</v>
      </c>
      <c r="E103" t="s">
        <v>2285</v>
      </c>
      <c r="F103" t="s">
        <v>2410</v>
      </c>
      <c r="G103" t="s">
        <v>311</v>
      </c>
      <c r="H103" t="s">
        <v>312</v>
      </c>
      <c r="I103" t="s">
        <v>313</v>
      </c>
      <c r="J103" t="s">
        <v>16</v>
      </c>
    </row>
    <row r="104" spans="1:11" x14ac:dyDescent="0.35">
      <c r="A104" t="s">
        <v>314</v>
      </c>
      <c r="B104" t="s">
        <v>18</v>
      </c>
      <c r="C104" t="s">
        <v>2332</v>
      </c>
      <c r="D104">
        <v>6</v>
      </c>
      <c r="E104" t="s">
        <v>2411</v>
      </c>
      <c r="F104" t="s">
        <v>2412</v>
      </c>
      <c r="G104" t="s">
        <v>315</v>
      </c>
      <c r="H104" t="s">
        <v>255</v>
      </c>
      <c r="I104" t="s">
        <v>256</v>
      </c>
      <c r="J104" t="s">
        <v>16</v>
      </c>
    </row>
    <row r="105" spans="1:11" x14ac:dyDescent="0.35">
      <c r="A105" t="s">
        <v>316</v>
      </c>
      <c r="B105" t="s">
        <v>12</v>
      </c>
      <c r="C105" t="s">
        <v>2264</v>
      </c>
      <c r="D105">
        <v>4</v>
      </c>
      <c r="E105" t="s">
        <v>2248</v>
      </c>
      <c r="F105" t="s">
        <v>2311</v>
      </c>
      <c r="G105" t="s">
        <v>317</v>
      </c>
      <c r="H105" t="s">
        <v>14</v>
      </c>
      <c r="I105" t="s">
        <v>15</v>
      </c>
      <c r="J105" t="s">
        <v>16</v>
      </c>
    </row>
    <row r="106" spans="1:11" x14ac:dyDescent="0.35">
      <c r="A106" t="s">
        <v>318</v>
      </c>
      <c r="B106" t="s">
        <v>12</v>
      </c>
      <c r="C106" t="s">
        <v>2268</v>
      </c>
      <c r="D106">
        <v>3</v>
      </c>
      <c r="E106" t="s">
        <v>2260</v>
      </c>
      <c r="F106" t="s">
        <v>2269</v>
      </c>
      <c r="G106" t="s">
        <v>161</v>
      </c>
      <c r="H106" t="s">
        <v>48</v>
      </c>
      <c r="I106" t="s">
        <v>49</v>
      </c>
      <c r="J106" t="s">
        <v>16</v>
      </c>
      <c r="K106" t="s">
        <v>50</v>
      </c>
    </row>
    <row r="107" spans="1:11" x14ac:dyDescent="0.35">
      <c r="A107" t="s">
        <v>319</v>
      </c>
      <c r="B107" t="s">
        <v>12</v>
      </c>
      <c r="C107" t="s">
        <v>2268</v>
      </c>
      <c r="D107">
        <v>3</v>
      </c>
      <c r="E107" t="s">
        <v>2248</v>
      </c>
      <c r="F107" t="s">
        <v>2311</v>
      </c>
      <c r="G107" t="s">
        <v>317</v>
      </c>
      <c r="H107" t="s">
        <v>14</v>
      </c>
      <c r="I107" t="s">
        <v>15</v>
      </c>
      <c r="J107" t="s">
        <v>16</v>
      </c>
      <c r="K107" t="s">
        <v>50</v>
      </c>
    </row>
    <row r="108" spans="1:11" x14ac:dyDescent="0.35">
      <c r="A108" t="s">
        <v>320</v>
      </c>
      <c r="B108" t="s">
        <v>12</v>
      </c>
      <c r="C108" t="s">
        <v>2264</v>
      </c>
      <c r="D108">
        <v>4</v>
      </c>
      <c r="E108" t="s">
        <v>2248</v>
      </c>
      <c r="F108" t="s">
        <v>2311</v>
      </c>
      <c r="G108" t="s">
        <v>321</v>
      </c>
      <c r="H108" t="s">
        <v>14</v>
      </c>
      <c r="I108" t="s">
        <v>15</v>
      </c>
      <c r="J108" t="s">
        <v>16</v>
      </c>
      <c r="K108" t="s">
        <v>50</v>
      </c>
    </row>
    <row r="109" spans="1:11" x14ac:dyDescent="0.35">
      <c r="A109" t="s">
        <v>322</v>
      </c>
      <c r="B109" t="s">
        <v>66</v>
      </c>
      <c r="C109" t="s">
        <v>2268</v>
      </c>
      <c r="D109">
        <v>3</v>
      </c>
      <c r="E109" t="s">
        <v>2312</v>
      </c>
      <c r="F109" t="s">
        <v>2314</v>
      </c>
      <c r="G109" t="s">
        <v>323</v>
      </c>
      <c r="H109" t="s">
        <v>141</v>
      </c>
      <c r="I109" t="s">
        <v>142</v>
      </c>
      <c r="J109" t="s">
        <v>16</v>
      </c>
      <c r="K109" t="s">
        <v>50</v>
      </c>
    </row>
    <row r="110" spans="1:11" x14ac:dyDescent="0.35">
      <c r="A110" t="s">
        <v>324</v>
      </c>
      <c r="B110" t="s">
        <v>66</v>
      </c>
      <c r="C110" t="s">
        <v>2264</v>
      </c>
      <c r="D110">
        <v>3</v>
      </c>
      <c r="E110" t="s">
        <v>2413</v>
      </c>
      <c r="F110" t="s">
        <v>2414</v>
      </c>
      <c r="G110" t="s">
        <v>325</v>
      </c>
      <c r="H110" t="s">
        <v>173</v>
      </c>
      <c r="I110" t="s">
        <v>174</v>
      </c>
      <c r="J110" t="s">
        <v>16</v>
      </c>
      <c r="K110" t="s">
        <v>326</v>
      </c>
    </row>
    <row r="111" spans="1:11" x14ac:dyDescent="0.35">
      <c r="A111" t="s">
        <v>327</v>
      </c>
      <c r="B111" t="s">
        <v>66</v>
      </c>
      <c r="C111" t="s">
        <v>2268</v>
      </c>
      <c r="D111">
        <v>4</v>
      </c>
      <c r="E111" t="s">
        <v>2415</v>
      </c>
      <c r="F111" t="s">
        <v>2257</v>
      </c>
      <c r="G111" t="s">
        <v>328</v>
      </c>
      <c r="H111" t="s">
        <v>145</v>
      </c>
      <c r="I111" t="s">
        <v>146</v>
      </c>
      <c r="J111" t="s">
        <v>16</v>
      </c>
      <c r="K111" t="s">
        <v>326</v>
      </c>
    </row>
    <row r="112" spans="1:11" x14ac:dyDescent="0.35">
      <c r="A112" t="s">
        <v>329</v>
      </c>
      <c r="B112" t="s">
        <v>12</v>
      </c>
      <c r="C112" t="s">
        <v>2268</v>
      </c>
      <c r="D112">
        <v>3</v>
      </c>
      <c r="E112" t="s">
        <v>2260</v>
      </c>
      <c r="F112" t="s">
        <v>2322</v>
      </c>
      <c r="G112" t="s">
        <v>330</v>
      </c>
      <c r="H112" t="s">
        <v>48</v>
      </c>
      <c r="I112" t="s">
        <v>49</v>
      </c>
      <c r="J112" t="s">
        <v>16</v>
      </c>
      <c r="K112" t="s">
        <v>50</v>
      </c>
    </row>
    <row r="113" spans="1:11" x14ac:dyDescent="0.35">
      <c r="A113" t="s">
        <v>331</v>
      </c>
      <c r="B113" t="s">
        <v>66</v>
      </c>
      <c r="C113" t="s">
        <v>2268</v>
      </c>
      <c r="D113">
        <v>3</v>
      </c>
      <c r="E113" t="s">
        <v>2361</v>
      </c>
      <c r="F113" t="s">
        <v>2416</v>
      </c>
      <c r="G113" t="s">
        <v>236</v>
      </c>
      <c r="H113" t="s">
        <v>145</v>
      </c>
      <c r="I113" t="s">
        <v>146</v>
      </c>
      <c r="J113" t="s">
        <v>16</v>
      </c>
      <c r="K113" t="s">
        <v>237</v>
      </c>
    </row>
    <row r="114" spans="1:11" x14ac:dyDescent="0.35">
      <c r="A114" t="s">
        <v>332</v>
      </c>
      <c r="B114" t="s">
        <v>66</v>
      </c>
      <c r="C114" t="s">
        <v>2268</v>
      </c>
      <c r="D114">
        <v>3</v>
      </c>
      <c r="E114" t="s">
        <v>2361</v>
      </c>
      <c r="F114" t="s">
        <v>2417</v>
      </c>
      <c r="G114" t="s">
        <v>236</v>
      </c>
      <c r="H114" t="s">
        <v>145</v>
      </c>
      <c r="I114" t="s">
        <v>146</v>
      </c>
      <c r="J114" t="s">
        <v>16</v>
      </c>
      <c r="K114" t="s">
        <v>237</v>
      </c>
    </row>
    <row r="115" spans="1:11" x14ac:dyDescent="0.35">
      <c r="A115" t="s">
        <v>333</v>
      </c>
      <c r="B115" t="s">
        <v>66</v>
      </c>
      <c r="C115" t="s">
        <v>2264</v>
      </c>
      <c r="D115">
        <v>4</v>
      </c>
      <c r="E115" t="s">
        <v>2352</v>
      </c>
      <c r="F115" t="s">
        <v>2418</v>
      </c>
      <c r="G115" t="s">
        <v>334</v>
      </c>
      <c r="H115" t="s">
        <v>255</v>
      </c>
      <c r="I115" t="s">
        <v>256</v>
      </c>
      <c r="J115" t="s">
        <v>16</v>
      </c>
      <c r="K115" t="s">
        <v>335</v>
      </c>
    </row>
    <row r="116" spans="1:11" x14ac:dyDescent="0.35">
      <c r="A116" t="s">
        <v>336</v>
      </c>
      <c r="B116" t="s">
        <v>12</v>
      </c>
      <c r="C116" t="s">
        <v>2264</v>
      </c>
      <c r="D116">
        <v>3</v>
      </c>
      <c r="E116" t="s">
        <v>2419</v>
      </c>
      <c r="F116" t="s">
        <v>2420</v>
      </c>
      <c r="G116" t="s">
        <v>337</v>
      </c>
      <c r="H116" t="s">
        <v>195</v>
      </c>
      <c r="I116" t="s">
        <v>196</v>
      </c>
      <c r="J116" t="s">
        <v>16</v>
      </c>
    </row>
    <row r="117" spans="1:11" x14ac:dyDescent="0.35">
      <c r="A117" t="s">
        <v>338</v>
      </c>
      <c r="B117" t="s">
        <v>66</v>
      </c>
      <c r="C117" t="s">
        <v>2268</v>
      </c>
      <c r="D117">
        <v>3</v>
      </c>
      <c r="E117" t="s">
        <v>2421</v>
      </c>
      <c r="F117" t="s">
        <v>2392</v>
      </c>
      <c r="G117" t="s">
        <v>339</v>
      </c>
      <c r="H117" t="s">
        <v>186</v>
      </c>
      <c r="I117" t="s">
        <v>187</v>
      </c>
      <c r="J117" t="s">
        <v>16</v>
      </c>
    </row>
    <row r="118" spans="1:11" x14ac:dyDescent="0.35">
      <c r="A118" t="s">
        <v>340</v>
      </c>
      <c r="B118" t="s">
        <v>12</v>
      </c>
      <c r="C118" t="s">
        <v>2268</v>
      </c>
      <c r="D118">
        <v>4</v>
      </c>
      <c r="E118" t="s">
        <v>2422</v>
      </c>
      <c r="F118" t="s">
        <v>2423</v>
      </c>
      <c r="G118" t="s">
        <v>283</v>
      </c>
      <c r="H118" t="s">
        <v>145</v>
      </c>
      <c r="I118" t="s">
        <v>146</v>
      </c>
      <c r="J118" t="s">
        <v>16</v>
      </c>
    </row>
    <row r="119" spans="1:11" x14ac:dyDescent="0.35">
      <c r="A119" t="s">
        <v>341</v>
      </c>
      <c r="B119" t="s">
        <v>18</v>
      </c>
      <c r="C119" t="s">
        <v>2264</v>
      </c>
      <c r="D119">
        <v>5</v>
      </c>
      <c r="E119" t="s">
        <v>2347</v>
      </c>
      <c r="F119" t="s">
        <v>2424</v>
      </c>
      <c r="G119" t="s">
        <v>307</v>
      </c>
      <c r="H119" t="s">
        <v>233</v>
      </c>
      <c r="I119" t="s">
        <v>234</v>
      </c>
      <c r="J119" t="s">
        <v>16</v>
      </c>
    </row>
    <row r="120" spans="1:11" x14ac:dyDescent="0.35">
      <c r="A120" t="s">
        <v>342</v>
      </c>
      <c r="B120" t="s">
        <v>12</v>
      </c>
      <c r="C120" t="s">
        <v>2268</v>
      </c>
      <c r="D120">
        <v>5</v>
      </c>
      <c r="E120" t="s">
        <v>2425</v>
      </c>
      <c r="F120" t="s">
        <v>2423</v>
      </c>
      <c r="G120" t="s">
        <v>343</v>
      </c>
      <c r="H120" t="s">
        <v>40</v>
      </c>
      <c r="I120" t="s">
        <v>41</v>
      </c>
      <c r="J120" t="s">
        <v>16</v>
      </c>
    </row>
    <row r="121" spans="1:11" x14ac:dyDescent="0.35">
      <c r="A121" t="s">
        <v>344</v>
      </c>
      <c r="B121" t="s">
        <v>18</v>
      </c>
      <c r="C121" t="s">
        <v>2250</v>
      </c>
      <c r="D121">
        <v>6</v>
      </c>
      <c r="E121" t="s">
        <v>2426</v>
      </c>
      <c r="F121" t="s">
        <v>2427</v>
      </c>
      <c r="G121" t="s">
        <v>345</v>
      </c>
      <c r="H121" t="s">
        <v>346</v>
      </c>
      <c r="I121" t="s">
        <v>347</v>
      </c>
      <c r="J121" t="s">
        <v>16</v>
      </c>
    </row>
    <row r="122" spans="1:11" x14ac:dyDescent="0.35">
      <c r="A122" t="s">
        <v>348</v>
      </c>
      <c r="B122" t="s">
        <v>66</v>
      </c>
      <c r="C122" t="s">
        <v>2268</v>
      </c>
      <c r="D122">
        <v>3</v>
      </c>
      <c r="E122" t="s">
        <v>2350</v>
      </c>
      <c r="F122" t="s">
        <v>2428</v>
      </c>
      <c r="G122" t="s">
        <v>349</v>
      </c>
      <c r="H122" t="s">
        <v>291</v>
      </c>
      <c r="I122" t="s">
        <v>292</v>
      </c>
      <c r="J122" t="s">
        <v>16</v>
      </c>
      <c r="K122" t="s">
        <v>171</v>
      </c>
    </row>
    <row r="123" spans="1:11" x14ac:dyDescent="0.35">
      <c r="A123" t="s">
        <v>350</v>
      </c>
      <c r="B123" t="s">
        <v>66</v>
      </c>
      <c r="C123" t="s">
        <v>2429</v>
      </c>
      <c r="D123">
        <v>2</v>
      </c>
      <c r="E123" t="s">
        <v>2328</v>
      </c>
      <c r="F123" t="s">
        <v>2329</v>
      </c>
      <c r="G123" t="s">
        <v>351</v>
      </c>
      <c r="H123" t="s">
        <v>173</v>
      </c>
      <c r="I123" t="s">
        <v>174</v>
      </c>
      <c r="J123" t="s">
        <v>16</v>
      </c>
      <c r="K123" t="s">
        <v>171</v>
      </c>
    </row>
    <row r="124" spans="1:11" x14ac:dyDescent="0.35">
      <c r="A124" t="s">
        <v>352</v>
      </c>
      <c r="B124" t="s">
        <v>2274</v>
      </c>
      <c r="C124" t="s">
        <v>2253</v>
      </c>
      <c r="D124">
        <v>10</v>
      </c>
      <c r="E124" t="s">
        <v>2430</v>
      </c>
      <c r="F124" t="s">
        <v>2431</v>
      </c>
      <c r="G124" t="s">
        <v>353</v>
      </c>
      <c r="H124" t="s">
        <v>354</v>
      </c>
      <c r="I124" t="s">
        <v>355</v>
      </c>
      <c r="J124" t="s">
        <v>16</v>
      </c>
      <c r="K124" t="s">
        <v>356</v>
      </c>
    </row>
    <row r="125" spans="1:11" x14ac:dyDescent="0.35">
      <c r="A125" t="s">
        <v>357</v>
      </c>
      <c r="B125" t="s">
        <v>12</v>
      </c>
      <c r="C125" t="s">
        <v>2268</v>
      </c>
      <c r="D125">
        <v>3</v>
      </c>
      <c r="E125" t="s">
        <v>2432</v>
      </c>
      <c r="F125" t="s">
        <v>2433</v>
      </c>
      <c r="G125" t="s">
        <v>358</v>
      </c>
      <c r="H125" t="s">
        <v>218</v>
      </c>
      <c r="I125" t="s">
        <v>219</v>
      </c>
      <c r="J125" t="s">
        <v>16</v>
      </c>
    </row>
    <row r="126" spans="1:11" x14ac:dyDescent="0.35">
      <c r="A126" t="s">
        <v>359</v>
      </c>
      <c r="B126" t="s">
        <v>12</v>
      </c>
      <c r="C126" t="s">
        <v>2268</v>
      </c>
      <c r="D126">
        <v>4</v>
      </c>
      <c r="E126" t="s">
        <v>2281</v>
      </c>
      <c r="F126" t="s">
        <v>2282</v>
      </c>
      <c r="G126" t="s">
        <v>76</v>
      </c>
      <c r="H126" t="s">
        <v>28</v>
      </c>
      <c r="I126" t="s">
        <v>29</v>
      </c>
      <c r="J126" t="s">
        <v>16</v>
      </c>
      <c r="K126" t="s">
        <v>77</v>
      </c>
    </row>
    <row r="127" spans="1:11" x14ac:dyDescent="0.35">
      <c r="A127" t="s">
        <v>360</v>
      </c>
      <c r="B127" t="s">
        <v>66</v>
      </c>
      <c r="C127" t="s">
        <v>2264</v>
      </c>
      <c r="D127">
        <v>4</v>
      </c>
      <c r="E127" t="s">
        <v>2432</v>
      </c>
      <c r="F127" t="s">
        <v>2317</v>
      </c>
      <c r="G127" t="s">
        <v>240</v>
      </c>
      <c r="H127" t="s">
        <v>241</v>
      </c>
      <c r="I127" t="s">
        <v>242</v>
      </c>
      <c r="J127" t="s">
        <v>16</v>
      </c>
    </row>
    <row r="128" spans="1:11" x14ac:dyDescent="0.35">
      <c r="A128" t="s">
        <v>361</v>
      </c>
      <c r="B128" t="s">
        <v>18</v>
      </c>
      <c r="C128" t="s">
        <v>2264</v>
      </c>
      <c r="D128">
        <v>5</v>
      </c>
      <c r="E128" t="s">
        <v>2347</v>
      </c>
      <c r="F128" t="s">
        <v>2434</v>
      </c>
      <c r="G128" t="s">
        <v>205</v>
      </c>
      <c r="H128" t="s">
        <v>164</v>
      </c>
      <c r="I128" t="s">
        <v>165</v>
      </c>
      <c r="J128" t="s">
        <v>16</v>
      </c>
    </row>
    <row r="129" spans="1:11" x14ac:dyDescent="0.35">
      <c r="A129" t="s">
        <v>362</v>
      </c>
      <c r="B129" t="s">
        <v>66</v>
      </c>
      <c r="C129" t="s">
        <v>2268</v>
      </c>
      <c r="D129">
        <v>3</v>
      </c>
      <c r="E129" t="s">
        <v>2435</v>
      </c>
      <c r="F129" t="s">
        <v>2436</v>
      </c>
      <c r="G129" t="s">
        <v>363</v>
      </c>
      <c r="H129" t="s">
        <v>164</v>
      </c>
      <c r="I129" t="s">
        <v>165</v>
      </c>
      <c r="J129" t="s">
        <v>16</v>
      </c>
    </row>
    <row r="130" spans="1:11" x14ac:dyDescent="0.35">
      <c r="A130" t="s">
        <v>364</v>
      </c>
      <c r="B130" t="s">
        <v>66</v>
      </c>
      <c r="C130" t="s">
        <v>2264</v>
      </c>
      <c r="D130">
        <v>3</v>
      </c>
      <c r="E130" t="s">
        <v>2315</v>
      </c>
      <c r="F130" t="s">
        <v>2392</v>
      </c>
      <c r="G130" t="s">
        <v>128</v>
      </c>
      <c r="H130" t="s">
        <v>68</v>
      </c>
      <c r="I130" t="s">
        <v>69</v>
      </c>
      <c r="J130" t="s">
        <v>16</v>
      </c>
    </row>
    <row r="131" spans="1:11" x14ac:dyDescent="0.35">
      <c r="A131" t="s">
        <v>365</v>
      </c>
      <c r="B131" t="s">
        <v>66</v>
      </c>
      <c r="C131" t="s">
        <v>2264</v>
      </c>
      <c r="D131">
        <v>3</v>
      </c>
      <c r="E131" t="s">
        <v>2279</v>
      </c>
      <c r="F131" t="s">
        <v>2343</v>
      </c>
      <c r="G131" t="s">
        <v>138</v>
      </c>
      <c r="H131" t="s">
        <v>14</v>
      </c>
      <c r="I131" t="s">
        <v>15</v>
      </c>
      <c r="J131" t="s">
        <v>16</v>
      </c>
    </row>
    <row r="132" spans="1:11" x14ac:dyDescent="0.35">
      <c r="A132" t="s">
        <v>366</v>
      </c>
      <c r="B132" t="s">
        <v>66</v>
      </c>
      <c r="C132" t="s">
        <v>2264</v>
      </c>
      <c r="D132">
        <v>3</v>
      </c>
      <c r="E132" t="s">
        <v>2437</v>
      </c>
      <c r="F132" t="s">
        <v>2266</v>
      </c>
      <c r="G132" t="s">
        <v>367</v>
      </c>
      <c r="H132" t="s">
        <v>24</v>
      </c>
      <c r="I132" t="s">
        <v>25</v>
      </c>
      <c r="J132" t="s">
        <v>16</v>
      </c>
    </row>
    <row r="133" spans="1:11" x14ac:dyDescent="0.35">
      <c r="A133" t="s">
        <v>368</v>
      </c>
      <c r="B133" t="s">
        <v>66</v>
      </c>
      <c r="C133" t="s">
        <v>2264</v>
      </c>
      <c r="D133">
        <v>4</v>
      </c>
      <c r="E133" t="s">
        <v>2438</v>
      </c>
      <c r="F133" t="s">
        <v>2351</v>
      </c>
      <c r="G133" t="s">
        <v>369</v>
      </c>
      <c r="H133" t="s">
        <v>164</v>
      </c>
      <c r="I133" t="s">
        <v>165</v>
      </c>
      <c r="J133" t="s">
        <v>16</v>
      </c>
    </row>
    <row r="134" spans="1:11" x14ac:dyDescent="0.35">
      <c r="A134" t="s">
        <v>370</v>
      </c>
      <c r="B134" t="s">
        <v>66</v>
      </c>
      <c r="C134" t="s">
        <v>2268</v>
      </c>
      <c r="D134">
        <v>3</v>
      </c>
      <c r="E134" t="s">
        <v>2439</v>
      </c>
      <c r="F134" t="s">
        <v>2343</v>
      </c>
      <c r="G134" t="s">
        <v>261</v>
      </c>
      <c r="H134" t="s">
        <v>186</v>
      </c>
      <c r="I134" t="s">
        <v>187</v>
      </c>
      <c r="J134" t="s">
        <v>16</v>
      </c>
      <c r="K134" t="s">
        <v>50</v>
      </c>
    </row>
    <row r="135" spans="1:11" x14ac:dyDescent="0.35">
      <c r="A135" t="s">
        <v>371</v>
      </c>
      <c r="B135" t="s">
        <v>66</v>
      </c>
      <c r="C135" t="s">
        <v>2268</v>
      </c>
      <c r="D135">
        <v>3</v>
      </c>
      <c r="E135" t="s">
        <v>2440</v>
      </c>
      <c r="F135" t="s">
        <v>2353</v>
      </c>
      <c r="G135" t="s">
        <v>372</v>
      </c>
      <c r="H135" t="s">
        <v>373</v>
      </c>
      <c r="I135" t="s">
        <v>374</v>
      </c>
      <c r="J135" t="s">
        <v>16</v>
      </c>
      <c r="K135" t="s">
        <v>50</v>
      </c>
    </row>
    <row r="136" spans="1:11" x14ac:dyDescent="0.35">
      <c r="A136" t="s">
        <v>375</v>
      </c>
      <c r="B136" t="s">
        <v>2274</v>
      </c>
      <c r="C136" t="s">
        <v>2264</v>
      </c>
      <c r="D136">
        <v>3</v>
      </c>
      <c r="E136" t="s">
        <v>2437</v>
      </c>
      <c r="F136" t="s">
        <v>2335</v>
      </c>
      <c r="G136" t="s">
        <v>2441</v>
      </c>
      <c r="H136" t="s">
        <v>264</v>
      </c>
      <c r="I136" t="s">
        <v>265</v>
      </c>
      <c r="J136" t="s">
        <v>16</v>
      </c>
      <c r="K136" t="s">
        <v>376</v>
      </c>
    </row>
    <row r="137" spans="1:11" x14ac:dyDescent="0.35">
      <c r="A137" t="s">
        <v>377</v>
      </c>
      <c r="B137" t="s">
        <v>66</v>
      </c>
      <c r="C137" t="s">
        <v>2268</v>
      </c>
      <c r="D137">
        <v>3</v>
      </c>
      <c r="E137" t="s">
        <v>2442</v>
      </c>
      <c r="F137" t="s">
        <v>2443</v>
      </c>
      <c r="G137" t="s">
        <v>378</v>
      </c>
      <c r="H137" t="s">
        <v>195</v>
      </c>
      <c r="I137" t="s">
        <v>196</v>
      </c>
      <c r="J137" t="s">
        <v>16</v>
      </c>
    </row>
    <row r="138" spans="1:11" x14ac:dyDescent="0.35">
      <c r="A138" t="s">
        <v>379</v>
      </c>
      <c r="B138" t="s">
        <v>18</v>
      </c>
      <c r="C138" t="s">
        <v>2268</v>
      </c>
      <c r="D138">
        <v>3</v>
      </c>
      <c r="E138" t="s">
        <v>2444</v>
      </c>
      <c r="F138" t="s">
        <v>2270</v>
      </c>
      <c r="G138" t="s">
        <v>2445</v>
      </c>
      <c r="H138" t="s">
        <v>40</v>
      </c>
      <c r="I138" t="s">
        <v>41</v>
      </c>
      <c r="J138" t="s">
        <v>16</v>
      </c>
    </row>
    <row r="139" spans="1:11" x14ac:dyDescent="0.35">
      <c r="A139" t="s">
        <v>380</v>
      </c>
      <c r="B139" t="s">
        <v>66</v>
      </c>
      <c r="C139" t="s">
        <v>2268</v>
      </c>
      <c r="D139">
        <v>3</v>
      </c>
      <c r="E139" t="s">
        <v>2289</v>
      </c>
      <c r="F139" t="s">
        <v>2446</v>
      </c>
      <c r="G139" t="s">
        <v>381</v>
      </c>
      <c r="H139" t="s">
        <v>382</v>
      </c>
      <c r="I139" t="s">
        <v>383</v>
      </c>
      <c r="J139" t="s">
        <v>16</v>
      </c>
      <c r="K139" t="s">
        <v>384</v>
      </c>
    </row>
    <row r="140" spans="1:11" x14ac:dyDescent="0.35">
      <c r="A140" t="s">
        <v>385</v>
      </c>
      <c r="B140" t="s">
        <v>66</v>
      </c>
      <c r="C140" t="s">
        <v>2447</v>
      </c>
      <c r="D140">
        <v>1</v>
      </c>
      <c r="E140" t="s">
        <v>2448</v>
      </c>
      <c r="F140" t="s">
        <v>2449</v>
      </c>
      <c r="G140" t="s">
        <v>386</v>
      </c>
      <c r="H140" t="s">
        <v>387</v>
      </c>
      <c r="I140" t="s">
        <v>388</v>
      </c>
      <c r="J140" t="s">
        <v>16</v>
      </c>
      <c r="K140" t="s">
        <v>389</v>
      </c>
    </row>
    <row r="141" spans="1:11" x14ac:dyDescent="0.35">
      <c r="A141" t="s">
        <v>390</v>
      </c>
      <c r="B141" t="s">
        <v>18</v>
      </c>
      <c r="C141" t="s">
        <v>2297</v>
      </c>
      <c r="D141">
        <v>5</v>
      </c>
      <c r="E141" t="s">
        <v>2355</v>
      </c>
      <c r="F141" t="s">
        <v>2414</v>
      </c>
      <c r="G141" t="s">
        <v>391</v>
      </c>
      <c r="H141" t="s">
        <v>141</v>
      </c>
      <c r="I141" t="s">
        <v>142</v>
      </c>
      <c r="J141" t="s">
        <v>16</v>
      </c>
      <c r="K141" t="s">
        <v>392</v>
      </c>
    </row>
    <row r="142" spans="1:11" x14ac:dyDescent="0.35">
      <c r="A142" t="s">
        <v>393</v>
      </c>
      <c r="B142" t="s">
        <v>12</v>
      </c>
      <c r="C142" t="s">
        <v>2268</v>
      </c>
      <c r="D142">
        <v>3</v>
      </c>
      <c r="E142" t="s">
        <v>2450</v>
      </c>
      <c r="F142" t="s">
        <v>2309</v>
      </c>
      <c r="G142" t="s">
        <v>394</v>
      </c>
      <c r="H142" t="s">
        <v>35</v>
      </c>
      <c r="I142" t="s">
        <v>36</v>
      </c>
      <c r="J142" t="s">
        <v>16</v>
      </c>
      <c r="K142" t="s">
        <v>392</v>
      </c>
    </row>
    <row r="143" spans="1:11" x14ac:dyDescent="0.35">
      <c r="A143" t="s">
        <v>395</v>
      </c>
      <c r="B143" t="s">
        <v>18</v>
      </c>
      <c r="C143" t="s">
        <v>2264</v>
      </c>
      <c r="D143">
        <v>4</v>
      </c>
      <c r="E143" t="s">
        <v>2451</v>
      </c>
      <c r="F143" t="s">
        <v>2452</v>
      </c>
      <c r="G143" t="s">
        <v>396</v>
      </c>
      <c r="H143" t="s">
        <v>145</v>
      </c>
      <c r="I143" t="s">
        <v>146</v>
      </c>
      <c r="J143" t="s">
        <v>16</v>
      </c>
    </row>
    <row r="144" spans="1:11" x14ac:dyDescent="0.35">
      <c r="A144" t="s">
        <v>397</v>
      </c>
      <c r="B144" t="s">
        <v>66</v>
      </c>
      <c r="C144" t="s">
        <v>2268</v>
      </c>
      <c r="D144">
        <v>3</v>
      </c>
      <c r="E144" t="s">
        <v>2383</v>
      </c>
      <c r="F144" t="s">
        <v>2453</v>
      </c>
      <c r="G144" t="s">
        <v>398</v>
      </c>
      <c r="H144" t="s">
        <v>399</v>
      </c>
      <c r="I144" t="s">
        <v>400</v>
      </c>
      <c r="J144" t="s">
        <v>16</v>
      </c>
      <c r="K144" t="s">
        <v>401</v>
      </c>
    </row>
    <row r="145" spans="1:11" x14ac:dyDescent="0.35">
      <c r="A145" t="s">
        <v>402</v>
      </c>
      <c r="B145" t="s">
        <v>12</v>
      </c>
      <c r="C145" t="s">
        <v>2268</v>
      </c>
      <c r="D145">
        <v>3</v>
      </c>
      <c r="E145" t="s">
        <v>2260</v>
      </c>
      <c r="F145" t="s">
        <v>2322</v>
      </c>
      <c r="G145" t="s">
        <v>47</v>
      </c>
      <c r="H145" t="s">
        <v>48</v>
      </c>
      <c r="I145" t="s">
        <v>49</v>
      </c>
      <c r="J145" t="s">
        <v>16</v>
      </c>
      <c r="K145" t="s">
        <v>50</v>
      </c>
    </row>
    <row r="146" spans="1:11" x14ac:dyDescent="0.35">
      <c r="A146" t="s">
        <v>403</v>
      </c>
      <c r="B146" t="s">
        <v>66</v>
      </c>
      <c r="C146" t="s">
        <v>2268</v>
      </c>
      <c r="D146">
        <v>3</v>
      </c>
      <c r="E146" t="s">
        <v>2454</v>
      </c>
      <c r="F146" t="s">
        <v>2455</v>
      </c>
      <c r="G146" t="s">
        <v>2456</v>
      </c>
      <c r="H146" t="s">
        <v>255</v>
      </c>
      <c r="I146" t="s">
        <v>256</v>
      </c>
      <c r="J146" t="s">
        <v>16</v>
      </c>
    </row>
    <row r="147" spans="1:11" x14ac:dyDescent="0.35">
      <c r="A147" t="s">
        <v>404</v>
      </c>
      <c r="B147" t="s">
        <v>66</v>
      </c>
      <c r="C147" t="s">
        <v>2268</v>
      </c>
      <c r="D147">
        <v>4</v>
      </c>
      <c r="E147" t="s">
        <v>2378</v>
      </c>
      <c r="F147" t="s">
        <v>2457</v>
      </c>
      <c r="G147" t="s">
        <v>2458</v>
      </c>
      <c r="H147" t="s">
        <v>405</v>
      </c>
      <c r="I147" t="s">
        <v>406</v>
      </c>
      <c r="J147" t="s">
        <v>16</v>
      </c>
      <c r="K147" t="s">
        <v>407</v>
      </c>
    </row>
    <row r="148" spans="1:11" x14ac:dyDescent="0.35">
      <c r="A148" t="s">
        <v>408</v>
      </c>
      <c r="B148" t="s">
        <v>66</v>
      </c>
      <c r="C148" t="s">
        <v>2268</v>
      </c>
      <c r="D148">
        <v>3</v>
      </c>
      <c r="E148" t="s">
        <v>2312</v>
      </c>
      <c r="F148" t="s">
        <v>2314</v>
      </c>
      <c r="G148" t="s">
        <v>323</v>
      </c>
      <c r="H148" t="s">
        <v>141</v>
      </c>
      <c r="I148" t="s">
        <v>142</v>
      </c>
      <c r="J148" t="s">
        <v>16</v>
      </c>
      <c r="K148" t="s">
        <v>50</v>
      </c>
    </row>
    <row r="149" spans="1:11" x14ac:dyDescent="0.35">
      <c r="A149" t="s">
        <v>409</v>
      </c>
      <c r="B149" t="s">
        <v>12</v>
      </c>
      <c r="C149" t="s">
        <v>2250</v>
      </c>
      <c r="D149">
        <v>4</v>
      </c>
      <c r="E149" t="s">
        <v>2459</v>
      </c>
      <c r="F149" t="s">
        <v>2460</v>
      </c>
      <c r="G149" t="s">
        <v>410</v>
      </c>
      <c r="H149" t="s">
        <v>169</v>
      </c>
      <c r="I149" t="s">
        <v>170</v>
      </c>
      <c r="J149" t="s">
        <v>16</v>
      </c>
      <c r="K149" t="s">
        <v>392</v>
      </c>
    </row>
    <row r="150" spans="1:11" x14ac:dyDescent="0.35">
      <c r="A150" t="s">
        <v>411</v>
      </c>
      <c r="B150" t="s">
        <v>12</v>
      </c>
      <c r="C150" t="s">
        <v>2429</v>
      </c>
      <c r="D150">
        <v>2</v>
      </c>
      <c r="E150" t="s">
        <v>2386</v>
      </c>
      <c r="F150" t="s">
        <v>2461</v>
      </c>
      <c r="G150" t="s">
        <v>412</v>
      </c>
      <c r="H150" t="s">
        <v>413</v>
      </c>
      <c r="I150" t="s">
        <v>414</v>
      </c>
      <c r="J150" t="s">
        <v>16</v>
      </c>
      <c r="K150" t="s">
        <v>415</v>
      </c>
    </row>
    <row r="151" spans="1:11" x14ac:dyDescent="0.35">
      <c r="A151" t="s">
        <v>416</v>
      </c>
      <c r="B151" t="s">
        <v>66</v>
      </c>
      <c r="C151" t="s">
        <v>2268</v>
      </c>
      <c r="D151">
        <v>3</v>
      </c>
      <c r="E151" t="s">
        <v>2462</v>
      </c>
      <c r="F151" t="s">
        <v>2346</v>
      </c>
      <c r="G151" t="s">
        <v>417</v>
      </c>
      <c r="H151" t="s">
        <v>241</v>
      </c>
      <c r="I151" t="s">
        <v>242</v>
      </c>
      <c r="J151" t="s">
        <v>16</v>
      </c>
      <c r="K151" t="s">
        <v>243</v>
      </c>
    </row>
    <row r="152" spans="1:11" x14ac:dyDescent="0.35">
      <c r="A152" t="s">
        <v>418</v>
      </c>
      <c r="B152" t="s">
        <v>66</v>
      </c>
      <c r="C152" t="s">
        <v>2268</v>
      </c>
      <c r="D152">
        <v>3</v>
      </c>
      <c r="E152" t="s">
        <v>2463</v>
      </c>
      <c r="F152" t="s">
        <v>2464</v>
      </c>
      <c r="G152" t="s">
        <v>419</v>
      </c>
      <c r="H152" t="s">
        <v>218</v>
      </c>
      <c r="I152" t="s">
        <v>219</v>
      </c>
      <c r="J152" t="s">
        <v>16</v>
      </c>
    </row>
    <row r="153" spans="1:11" x14ac:dyDescent="0.35">
      <c r="A153" t="s">
        <v>420</v>
      </c>
      <c r="B153" t="s">
        <v>18</v>
      </c>
      <c r="C153" t="s">
        <v>2247</v>
      </c>
      <c r="D153">
        <v>4</v>
      </c>
      <c r="E153" t="s">
        <v>2260</v>
      </c>
      <c r="F153" t="s">
        <v>2382</v>
      </c>
      <c r="G153" t="s">
        <v>2465</v>
      </c>
      <c r="H153" t="s">
        <v>421</v>
      </c>
      <c r="I153" t="s">
        <v>422</v>
      </c>
      <c r="J153" t="s">
        <v>16</v>
      </c>
    </row>
    <row r="154" spans="1:11" x14ac:dyDescent="0.35">
      <c r="A154" t="s">
        <v>423</v>
      </c>
      <c r="B154" t="s">
        <v>66</v>
      </c>
      <c r="C154" t="s">
        <v>2268</v>
      </c>
      <c r="D154">
        <v>3</v>
      </c>
      <c r="E154" t="s">
        <v>2383</v>
      </c>
      <c r="F154" t="s">
        <v>2372</v>
      </c>
      <c r="G154" t="s">
        <v>273</v>
      </c>
      <c r="H154" t="s">
        <v>169</v>
      </c>
      <c r="I154" t="s">
        <v>170</v>
      </c>
      <c r="J154" t="s">
        <v>16</v>
      </c>
    </row>
    <row r="155" spans="1:11" x14ac:dyDescent="0.35">
      <c r="A155" t="s">
        <v>424</v>
      </c>
      <c r="B155" t="s">
        <v>66</v>
      </c>
      <c r="C155" t="s">
        <v>2268</v>
      </c>
      <c r="D155">
        <v>3</v>
      </c>
      <c r="E155" t="s">
        <v>2380</v>
      </c>
      <c r="F155" t="s">
        <v>2335</v>
      </c>
      <c r="G155" t="s">
        <v>309</v>
      </c>
      <c r="H155" t="s">
        <v>264</v>
      </c>
      <c r="I155" t="s">
        <v>265</v>
      </c>
      <c r="J155" t="s">
        <v>16</v>
      </c>
    </row>
    <row r="156" spans="1:11" x14ac:dyDescent="0.35">
      <c r="A156" t="s">
        <v>425</v>
      </c>
      <c r="B156" t="s">
        <v>66</v>
      </c>
      <c r="C156" t="s">
        <v>2268</v>
      </c>
      <c r="D156">
        <v>3</v>
      </c>
      <c r="E156" t="s">
        <v>2466</v>
      </c>
      <c r="F156" t="s">
        <v>2305</v>
      </c>
      <c r="G156" t="s">
        <v>67</v>
      </c>
      <c r="H156" t="s">
        <v>68</v>
      </c>
      <c r="I156" t="s">
        <v>69</v>
      </c>
      <c r="J156" t="s">
        <v>16</v>
      </c>
      <c r="K156" t="s">
        <v>426</v>
      </c>
    </row>
    <row r="157" spans="1:11" x14ac:dyDescent="0.35">
      <c r="A157" t="s">
        <v>427</v>
      </c>
      <c r="B157" t="s">
        <v>12</v>
      </c>
      <c r="C157" t="s">
        <v>2268</v>
      </c>
      <c r="D157">
        <v>3</v>
      </c>
      <c r="E157" t="s">
        <v>2260</v>
      </c>
      <c r="F157" t="s">
        <v>2322</v>
      </c>
      <c r="G157" t="s">
        <v>47</v>
      </c>
      <c r="H157" t="s">
        <v>48</v>
      </c>
      <c r="I157" t="s">
        <v>49</v>
      </c>
      <c r="J157" t="s">
        <v>16</v>
      </c>
      <c r="K157" t="s">
        <v>50</v>
      </c>
    </row>
    <row r="158" spans="1:11" x14ac:dyDescent="0.35">
      <c r="A158" t="s">
        <v>428</v>
      </c>
      <c r="B158" t="s">
        <v>12</v>
      </c>
      <c r="C158" t="s">
        <v>2359</v>
      </c>
      <c r="D158">
        <v>3</v>
      </c>
      <c r="E158" t="s">
        <v>2467</v>
      </c>
      <c r="F158" t="s">
        <v>2356</v>
      </c>
      <c r="G158" t="s">
        <v>429</v>
      </c>
      <c r="H158" t="s">
        <v>430</v>
      </c>
      <c r="I158" t="s">
        <v>431</v>
      </c>
      <c r="J158" t="s">
        <v>16</v>
      </c>
    </row>
    <row r="159" spans="1:11" x14ac:dyDescent="0.35">
      <c r="A159" t="s">
        <v>432</v>
      </c>
      <c r="B159" t="s">
        <v>12</v>
      </c>
      <c r="C159" t="s">
        <v>2268</v>
      </c>
      <c r="D159">
        <v>3</v>
      </c>
      <c r="E159" t="s">
        <v>2260</v>
      </c>
      <c r="F159" t="s">
        <v>2269</v>
      </c>
      <c r="G159" t="s">
        <v>280</v>
      </c>
      <c r="H159" t="s">
        <v>48</v>
      </c>
      <c r="I159" t="s">
        <v>49</v>
      </c>
      <c r="J159" t="s">
        <v>16</v>
      </c>
      <c r="K159" t="s">
        <v>50</v>
      </c>
    </row>
    <row r="160" spans="1:11" x14ac:dyDescent="0.35">
      <c r="A160" t="s">
        <v>433</v>
      </c>
      <c r="B160" t="s">
        <v>12</v>
      </c>
      <c r="C160" t="s">
        <v>2264</v>
      </c>
      <c r="D160">
        <v>4</v>
      </c>
      <c r="E160" t="s">
        <v>2248</v>
      </c>
      <c r="F160" t="s">
        <v>2311</v>
      </c>
      <c r="G160" t="s">
        <v>317</v>
      </c>
      <c r="H160" t="s">
        <v>14</v>
      </c>
      <c r="I160" t="s">
        <v>15</v>
      </c>
      <c r="J160" t="s">
        <v>16</v>
      </c>
      <c r="K160" t="s">
        <v>50</v>
      </c>
    </row>
    <row r="161" spans="1:11" x14ac:dyDescent="0.35">
      <c r="A161" t="s">
        <v>434</v>
      </c>
      <c r="B161" t="s">
        <v>12</v>
      </c>
      <c r="C161" t="s">
        <v>2268</v>
      </c>
      <c r="D161">
        <v>3</v>
      </c>
      <c r="E161" t="s">
        <v>2260</v>
      </c>
      <c r="F161" t="s">
        <v>2269</v>
      </c>
      <c r="G161" t="s">
        <v>161</v>
      </c>
      <c r="H161" t="s">
        <v>48</v>
      </c>
      <c r="I161" t="s">
        <v>49</v>
      </c>
      <c r="J161" t="s">
        <v>16</v>
      </c>
      <c r="K161" t="s">
        <v>50</v>
      </c>
    </row>
    <row r="162" spans="1:11" x14ac:dyDescent="0.35">
      <c r="A162" t="s">
        <v>435</v>
      </c>
      <c r="B162" t="s">
        <v>66</v>
      </c>
      <c r="C162" t="s">
        <v>2268</v>
      </c>
      <c r="D162">
        <v>2</v>
      </c>
      <c r="E162" t="s">
        <v>2448</v>
      </c>
      <c r="F162" t="s">
        <v>2468</v>
      </c>
      <c r="G162" t="s">
        <v>436</v>
      </c>
      <c r="H162" t="s">
        <v>387</v>
      </c>
      <c r="I162" t="s">
        <v>388</v>
      </c>
      <c r="J162" t="s">
        <v>16</v>
      </c>
      <c r="K162" t="s">
        <v>389</v>
      </c>
    </row>
    <row r="163" spans="1:11" x14ac:dyDescent="0.35">
      <c r="A163" t="s">
        <v>437</v>
      </c>
      <c r="B163" t="s">
        <v>12</v>
      </c>
      <c r="C163" t="s">
        <v>2297</v>
      </c>
      <c r="D163">
        <v>6</v>
      </c>
      <c r="E163" t="s">
        <v>2406</v>
      </c>
      <c r="F163" t="s">
        <v>2322</v>
      </c>
      <c r="G163" t="s">
        <v>47</v>
      </c>
      <c r="H163" t="s">
        <v>48</v>
      </c>
      <c r="I163" t="s">
        <v>49</v>
      </c>
      <c r="J163" t="s">
        <v>16</v>
      </c>
      <c r="K163" t="s">
        <v>50</v>
      </c>
    </row>
    <row r="164" spans="1:11" x14ac:dyDescent="0.35">
      <c r="A164" t="s">
        <v>438</v>
      </c>
      <c r="B164" t="s">
        <v>18</v>
      </c>
      <c r="C164" t="s">
        <v>2268</v>
      </c>
      <c r="D164">
        <v>4</v>
      </c>
      <c r="E164" t="s">
        <v>2289</v>
      </c>
      <c r="F164" t="s">
        <v>2469</v>
      </c>
      <c r="G164" t="s">
        <v>439</v>
      </c>
      <c r="H164" t="s">
        <v>28</v>
      </c>
      <c r="I164" t="s">
        <v>29</v>
      </c>
      <c r="J164" t="s">
        <v>16</v>
      </c>
      <c r="K164" t="s">
        <v>440</v>
      </c>
    </row>
    <row r="165" spans="1:11" x14ac:dyDescent="0.35">
      <c r="A165" t="s">
        <v>441</v>
      </c>
      <c r="B165" t="s">
        <v>2271</v>
      </c>
      <c r="E165" t="s">
        <v>2470</v>
      </c>
      <c r="F165" t="s">
        <v>2471</v>
      </c>
      <c r="G165" t="s">
        <v>442</v>
      </c>
      <c r="H165" t="s">
        <v>443</v>
      </c>
      <c r="I165" t="s">
        <v>444</v>
      </c>
      <c r="J165" t="s">
        <v>16</v>
      </c>
      <c r="K165" t="s">
        <v>225</v>
      </c>
    </row>
    <row r="166" spans="1:11" x14ac:dyDescent="0.35">
      <c r="A166" t="s">
        <v>445</v>
      </c>
      <c r="B166" t="s">
        <v>66</v>
      </c>
      <c r="C166" t="s">
        <v>2268</v>
      </c>
      <c r="D166">
        <v>3</v>
      </c>
      <c r="E166" t="s">
        <v>2383</v>
      </c>
      <c r="F166" t="s">
        <v>2257</v>
      </c>
      <c r="G166" t="s">
        <v>446</v>
      </c>
      <c r="H166" t="s">
        <v>131</v>
      </c>
      <c r="I166" t="s">
        <v>132</v>
      </c>
      <c r="J166" t="s">
        <v>16</v>
      </c>
      <c r="K166" t="s">
        <v>447</v>
      </c>
    </row>
    <row r="167" spans="1:11" x14ac:dyDescent="0.35">
      <c r="A167" t="s">
        <v>448</v>
      </c>
      <c r="B167" t="s">
        <v>18</v>
      </c>
      <c r="C167" t="s">
        <v>2250</v>
      </c>
      <c r="D167">
        <v>1</v>
      </c>
      <c r="E167" t="s">
        <v>2472</v>
      </c>
      <c r="F167" t="s">
        <v>2473</v>
      </c>
      <c r="G167" t="s">
        <v>449</v>
      </c>
      <c r="H167" t="s">
        <v>450</v>
      </c>
      <c r="I167" t="s">
        <v>451</v>
      </c>
      <c r="J167" t="s">
        <v>16</v>
      </c>
      <c r="K167" t="s">
        <v>452</v>
      </c>
    </row>
    <row r="168" spans="1:11" x14ac:dyDescent="0.35">
      <c r="A168" t="s">
        <v>453</v>
      </c>
      <c r="B168" t="s">
        <v>12</v>
      </c>
      <c r="C168" t="s">
        <v>2250</v>
      </c>
      <c r="D168">
        <v>3</v>
      </c>
      <c r="E168" t="s">
        <v>2369</v>
      </c>
      <c r="F168" t="s">
        <v>2305</v>
      </c>
      <c r="G168" t="s">
        <v>317</v>
      </c>
      <c r="H168" t="s">
        <v>14</v>
      </c>
      <c r="I168" t="s">
        <v>15</v>
      </c>
      <c r="J168" t="s">
        <v>16</v>
      </c>
      <c r="K168" t="s">
        <v>454</v>
      </c>
    </row>
    <row r="169" spans="1:11" x14ac:dyDescent="0.35">
      <c r="A169" t="s">
        <v>455</v>
      </c>
      <c r="B169" t="s">
        <v>12</v>
      </c>
      <c r="C169" t="s">
        <v>2264</v>
      </c>
      <c r="D169">
        <v>5</v>
      </c>
      <c r="E169" t="s">
        <v>2474</v>
      </c>
      <c r="F169" t="s">
        <v>2351</v>
      </c>
      <c r="G169" t="s">
        <v>456</v>
      </c>
      <c r="H169" t="s">
        <v>405</v>
      </c>
      <c r="I169" t="s">
        <v>406</v>
      </c>
      <c r="J169" t="s">
        <v>16</v>
      </c>
      <c r="K169" t="s">
        <v>407</v>
      </c>
    </row>
    <row r="170" spans="1:11" x14ac:dyDescent="0.35">
      <c r="A170" t="s">
        <v>457</v>
      </c>
      <c r="B170" t="s">
        <v>12</v>
      </c>
      <c r="C170" t="s">
        <v>2264</v>
      </c>
      <c r="D170">
        <v>5</v>
      </c>
      <c r="E170" t="s">
        <v>2475</v>
      </c>
      <c r="F170" t="s">
        <v>2476</v>
      </c>
      <c r="G170" t="s">
        <v>456</v>
      </c>
      <c r="H170" t="s">
        <v>405</v>
      </c>
      <c r="I170" t="s">
        <v>406</v>
      </c>
      <c r="J170" t="s">
        <v>16</v>
      </c>
      <c r="K170" t="s">
        <v>407</v>
      </c>
    </row>
    <row r="171" spans="1:11" x14ac:dyDescent="0.35">
      <c r="A171" t="s">
        <v>458</v>
      </c>
      <c r="B171" t="s">
        <v>66</v>
      </c>
      <c r="C171" t="s">
        <v>2250</v>
      </c>
      <c r="D171">
        <v>3</v>
      </c>
      <c r="E171" t="s">
        <v>2378</v>
      </c>
      <c r="F171" t="s">
        <v>2343</v>
      </c>
      <c r="G171" t="s">
        <v>459</v>
      </c>
      <c r="H171" t="s">
        <v>373</v>
      </c>
      <c r="I171" t="s">
        <v>374</v>
      </c>
      <c r="J171" t="s">
        <v>16</v>
      </c>
      <c r="K171" t="s">
        <v>288</v>
      </c>
    </row>
    <row r="172" spans="1:11" x14ac:dyDescent="0.35">
      <c r="A172" t="s">
        <v>460</v>
      </c>
      <c r="B172" t="s">
        <v>66</v>
      </c>
      <c r="C172" t="s">
        <v>2268</v>
      </c>
      <c r="D172">
        <v>3</v>
      </c>
      <c r="E172" t="s">
        <v>2477</v>
      </c>
      <c r="F172" t="s">
        <v>2286</v>
      </c>
      <c r="G172" t="s">
        <v>461</v>
      </c>
      <c r="H172" t="s">
        <v>382</v>
      </c>
      <c r="I172" t="s">
        <v>383</v>
      </c>
      <c r="J172" t="s">
        <v>16</v>
      </c>
      <c r="K172" t="s">
        <v>257</v>
      </c>
    </row>
    <row r="173" spans="1:11" x14ac:dyDescent="0.35">
      <c r="A173" t="s">
        <v>462</v>
      </c>
      <c r="B173" t="s">
        <v>66</v>
      </c>
      <c r="C173" t="s">
        <v>2264</v>
      </c>
      <c r="D173">
        <v>3</v>
      </c>
      <c r="E173" t="s">
        <v>2478</v>
      </c>
      <c r="F173" t="s">
        <v>2479</v>
      </c>
      <c r="G173" t="s">
        <v>463</v>
      </c>
      <c r="H173" t="s">
        <v>28</v>
      </c>
      <c r="I173" t="s">
        <v>29</v>
      </c>
      <c r="J173" t="s">
        <v>16</v>
      </c>
      <c r="K173" t="s">
        <v>464</v>
      </c>
    </row>
    <row r="174" spans="1:11" x14ac:dyDescent="0.35">
      <c r="A174" t="s">
        <v>465</v>
      </c>
      <c r="B174" t="s">
        <v>66</v>
      </c>
      <c r="C174" t="s">
        <v>2268</v>
      </c>
      <c r="D174">
        <v>3</v>
      </c>
      <c r="E174" t="s">
        <v>2312</v>
      </c>
      <c r="F174" t="s">
        <v>2480</v>
      </c>
      <c r="G174" t="s">
        <v>323</v>
      </c>
      <c r="H174" t="s">
        <v>141</v>
      </c>
      <c r="I174" t="s">
        <v>142</v>
      </c>
      <c r="J174" t="s">
        <v>16</v>
      </c>
      <c r="K174" t="s">
        <v>50</v>
      </c>
    </row>
    <row r="175" spans="1:11" x14ac:dyDescent="0.35">
      <c r="A175" t="s">
        <v>466</v>
      </c>
      <c r="B175" t="s">
        <v>66</v>
      </c>
      <c r="C175" t="s">
        <v>2268</v>
      </c>
      <c r="D175">
        <v>3</v>
      </c>
      <c r="E175" t="s">
        <v>2481</v>
      </c>
      <c r="F175" t="s">
        <v>2257</v>
      </c>
      <c r="G175" t="s">
        <v>467</v>
      </c>
      <c r="H175" t="s">
        <v>28</v>
      </c>
      <c r="I175" t="s">
        <v>29</v>
      </c>
      <c r="J175" t="s">
        <v>16</v>
      </c>
    </row>
    <row r="176" spans="1:11" x14ac:dyDescent="0.35">
      <c r="A176" t="s">
        <v>468</v>
      </c>
      <c r="B176" t="s">
        <v>12</v>
      </c>
      <c r="C176" t="s">
        <v>2247</v>
      </c>
      <c r="D176">
        <v>2</v>
      </c>
      <c r="E176" t="s">
        <v>2258</v>
      </c>
      <c r="F176" t="s">
        <v>2329</v>
      </c>
      <c r="G176" t="s">
        <v>469</v>
      </c>
      <c r="H176" t="s">
        <v>97</v>
      </c>
      <c r="I176" t="s">
        <v>98</v>
      </c>
      <c r="J176" t="s">
        <v>16</v>
      </c>
      <c r="K176" t="s">
        <v>230</v>
      </c>
    </row>
    <row r="177" spans="1:11" x14ac:dyDescent="0.35">
      <c r="A177" t="s">
        <v>470</v>
      </c>
      <c r="B177" t="s">
        <v>12</v>
      </c>
      <c r="C177" t="s">
        <v>2264</v>
      </c>
      <c r="D177">
        <v>4</v>
      </c>
      <c r="E177" t="s">
        <v>2248</v>
      </c>
      <c r="F177" t="s">
        <v>2311</v>
      </c>
      <c r="G177" t="s">
        <v>471</v>
      </c>
      <c r="H177" t="s">
        <v>14</v>
      </c>
      <c r="I177" t="s">
        <v>15</v>
      </c>
      <c r="J177" t="s">
        <v>16</v>
      </c>
    </row>
    <row r="178" spans="1:11" x14ac:dyDescent="0.35">
      <c r="A178" t="s">
        <v>472</v>
      </c>
      <c r="B178" t="s">
        <v>66</v>
      </c>
      <c r="C178" t="s">
        <v>2268</v>
      </c>
      <c r="D178">
        <v>3</v>
      </c>
      <c r="E178" t="s">
        <v>2378</v>
      </c>
      <c r="F178" t="s">
        <v>2379</v>
      </c>
      <c r="G178" t="s">
        <v>261</v>
      </c>
      <c r="H178" t="s">
        <v>186</v>
      </c>
      <c r="I178" t="s">
        <v>187</v>
      </c>
      <c r="J178" t="s">
        <v>16</v>
      </c>
    </row>
    <row r="179" spans="1:11" x14ac:dyDescent="0.35">
      <c r="A179" t="s">
        <v>473</v>
      </c>
      <c r="B179" t="s">
        <v>66</v>
      </c>
      <c r="C179" t="s">
        <v>2268</v>
      </c>
      <c r="D179">
        <v>3</v>
      </c>
      <c r="E179" t="s">
        <v>2482</v>
      </c>
      <c r="F179" t="s">
        <v>2313</v>
      </c>
      <c r="G179" t="s">
        <v>474</v>
      </c>
      <c r="H179" t="s">
        <v>14</v>
      </c>
      <c r="I179" t="s">
        <v>15</v>
      </c>
      <c r="J179" t="s">
        <v>16</v>
      </c>
    </row>
    <row r="180" spans="1:11" x14ac:dyDescent="0.35">
      <c r="A180" t="s">
        <v>475</v>
      </c>
      <c r="B180" t="s">
        <v>66</v>
      </c>
      <c r="C180" t="s">
        <v>2268</v>
      </c>
      <c r="D180">
        <v>3</v>
      </c>
      <c r="E180" t="s">
        <v>2483</v>
      </c>
      <c r="F180" t="s">
        <v>2341</v>
      </c>
      <c r="G180" t="s">
        <v>138</v>
      </c>
      <c r="H180" t="s">
        <v>14</v>
      </c>
      <c r="I180" t="s">
        <v>15</v>
      </c>
      <c r="J180" t="s">
        <v>16</v>
      </c>
    </row>
    <row r="181" spans="1:11" x14ac:dyDescent="0.35">
      <c r="A181" t="s">
        <v>476</v>
      </c>
      <c r="B181" t="s">
        <v>12</v>
      </c>
      <c r="C181" t="s">
        <v>2268</v>
      </c>
      <c r="D181">
        <v>3</v>
      </c>
      <c r="E181" t="s">
        <v>2260</v>
      </c>
      <c r="F181" t="s">
        <v>2322</v>
      </c>
      <c r="G181" t="s">
        <v>477</v>
      </c>
      <c r="H181" t="s">
        <v>195</v>
      </c>
      <c r="I181" t="s">
        <v>196</v>
      </c>
      <c r="J181" t="s">
        <v>16</v>
      </c>
      <c r="K181" t="s">
        <v>50</v>
      </c>
    </row>
    <row r="182" spans="1:11" x14ac:dyDescent="0.35">
      <c r="A182" t="s">
        <v>478</v>
      </c>
      <c r="B182" t="s">
        <v>66</v>
      </c>
      <c r="C182" t="s">
        <v>2268</v>
      </c>
      <c r="D182">
        <v>3</v>
      </c>
      <c r="E182" t="s">
        <v>2409</v>
      </c>
      <c r="F182" t="s">
        <v>2484</v>
      </c>
      <c r="G182" t="s">
        <v>479</v>
      </c>
      <c r="H182" t="s">
        <v>164</v>
      </c>
      <c r="I182" t="s">
        <v>165</v>
      </c>
      <c r="J182" t="s">
        <v>16</v>
      </c>
      <c r="K182" t="s">
        <v>426</v>
      </c>
    </row>
    <row r="183" spans="1:11" x14ac:dyDescent="0.35">
      <c r="A183" t="s">
        <v>480</v>
      </c>
      <c r="B183" t="s">
        <v>66</v>
      </c>
      <c r="C183" t="s">
        <v>2268</v>
      </c>
      <c r="D183">
        <v>3</v>
      </c>
      <c r="E183" t="s">
        <v>2389</v>
      </c>
      <c r="F183" t="s">
        <v>2341</v>
      </c>
      <c r="G183" t="s">
        <v>138</v>
      </c>
      <c r="H183" t="s">
        <v>14</v>
      </c>
      <c r="I183" t="s">
        <v>15</v>
      </c>
      <c r="J183" t="s">
        <v>16</v>
      </c>
      <c r="K183" t="s">
        <v>50</v>
      </c>
    </row>
    <row r="184" spans="1:11" x14ac:dyDescent="0.35">
      <c r="A184" t="s">
        <v>481</v>
      </c>
      <c r="B184" t="s">
        <v>18</v>
      </c>
      <c r="C184" t="s">
        <v>2250</v>
      </c>
      <c r="D184">
        <v>8</v>
      </c>
      <c r="E184" t="s">
        <v>2485</v>
      </c>
      <c r="F184" t="s">
        <v>2307</v>
      </c>
      <c r="G184" t="s">
        <v>482</v>
      </c>
      <c r="H184" t="s">
        <v>483</v>
      </c>
      <c r="I184" t="s">
        <v>484</v>
      </c>
      <c r="J184" t="s">
        <v>16</v>
      </c>
      <c r="K184" t="s">
        <v>485</v>
      </c>
    </row>
    <row r="185" spans="1:11" x14ac:dyDescent="0.35">
      <c r="A185" t="s">
        <v>486</v>
      </c>
      <c r="B185" t="s">
        <v>2271</v>
      </c>
      <c r="E185" t="s">
        <v>2347</v>
      </c>
      <c r="F185" t="s">
        <v>2336</v>
      </c>
      <c r="G185" t="s">
        <v>487</v>
      </c>
      <c r="H185" t="s">
        <v>105</v>
      </c>
      <c r="I185" t="s">
        <v>106</v>
      </c>
      <c r="J185" t="s">
        <v>16</v>
      </c>
    </row>
    <row r="186" spans="1:11" x14ac:dyDescent="0.35">
      <c r="A186" t="s">
        <v>488</v>
      </c>
      <c r="B186" t="s">
        <v>66</v>
      </c>
      <c r="C186" t="s">
        <v>2268</v>
      </c>
      <c r="D186">
        <v>3</v>
      </c>
      <c r="E186" t="s">
        <v>2312</v>
      </c>
      <c r="F186" t="s">
        <v>2313</v>
      </c>
      <c r="G186" t="s">
        <v>138</v>
      </c>
      <c r="H186" t="s">
        <v>14</v>
      </c>
      <c r="I186" t="s">
        <v>15</v>
      </c>
      <c r="J186" t="s">
        <v>16</v>
      </c>
      <c r="K186" t="s">
        <v>50</v>
      </c>
    </row>
    <row r="187" spans="1:11" x14ac:dyDescent="0.35">
      <c r="A187" t="s">
        <v>489</v>
      </c>
      <c r="B187" t="s">
        <v>66</v>
      </c>
      <c r="C187" t="s">
        <v>2268</v>
      </c>
      <c r="D187">
        <v>3</v>
      </c>
      <c r="E187" t="s">
        <v>2383</v>
      </c>
      <c r="F187" t="s">
        <v>2346</v>
      </c>
      <c r="G187" t="s">
        <v>490</v>
      </c>
      <c r="H187" t="s">
        <v>145</v>
      </c>
      <c r="I187" t="s">
        <v>146</v>
      </c>
      <c r="J187" t="s">
        <v>16</v>
      </c>
      <c r="K187" t="s">
        <v>491</v>
      </c>
    </row>
    <row r="188" spans="1:11" x14ac:dyDescent="0.35">
      <c r="A188" t="s">
        <v>492</v>
      </c>
      <c r="B188" t="s">
        <v>66</v>
      </c>
      <c r="C188" t="s">
        <v>2268</v>
      </c>
      <c r="D188">
        <v>3</v>
      </c>
      <c r="E188" t="s">
        <v>2380</v>
      </c>
      <c r="F188" t="s">
        <v>2486</v>
      </c>
      <c r="G188" t="s">
        <v>493</v>
      </c>
      <c r="H188" t="s">
        <v>494</v>
      </c>
      <c r="I188" t="s">
        <v>495</v>
      </c>
      <c r="J188" t="s">
        <v>16</v>
      </c>
      <c r="K188" t="s">
        <v>496</v>
      </c>
    </row>
    <row r="189" spans="1:11" x14ac:dyDescent="0.35">
      <c r="A189" t="s">
        <v>497</v>
      </c>
      <c r="B189" t="s">
        <v>18</v>
      </c>
      <c r="C189" t="s">
        <v>2250</v>
      </c>
      <c r="D189">
        <v>4</v>
      </c>
      <c r="E189" t="s">
        <v>2367</v>
      </c>
      <c r="F189" t="s">
        <v>2476</v>
      </c>
      <c r="G189" t="s">
        <v>498</v>
      </c>
      <c r="H189" t="s">
        <v>169</v>
      </c>
      <c r="I189" t="s">
        <v>170</v>
      </c>
      <c r="J189" t="s">
        <v>16</v>
      </c>
      <c r="K189" t="s">
        <v>499</v>
      </c>
    </row>
    <row r="190" spans="1:11" x14ac:dyDescent="0.35">
      <c r="A190" t="s">
        <v>500</v>
      </c>
      <c r="B190" t="s">
        <v>66</v>
      </c>
      <c r="C190" t="s">
        <v>2268</v>
      </c>
      <c r="D190">
        <v>3</v>
      </c>
      <c r="E190" t="s">
        <v>2350</v>
      </c>
      <c r="F190" t="s">
        <v>2487</v>
      </c>
      <c r="G190" t="s">
        <v>501</v>
      </c>
      <c r="H190" t="s">
        <v>494</v>
      </c>
      <c r="I190" t="s">
        <v>495</v>
      </c>
      <c r="J190" t="s">
        <v>16</v>
      </c>
      <c r="K190" t="s">
        <v>496</v>
      </c>
    </row>
    <row r="191" spans="1:11" x14ac:dyDescent="0.35">
      <c r="A191" t="s">
        <v>502</v>
      </c>
      <c r="B191" t="s">
        <v>18</v>
      </c>
      <c r="C191" t="s">
        <v>2297</v>
      </c>
      <c r="D191">
        <v>5</v>
      </c>
      <c r="E191" t="s">
        <v>2488</v>
      </c>
      <c r="F191" t="s">
        <v>2489</v>
      </c>
      <c r="G191" t="s">
        <v>503</v>
      </c>
      <c r="H191" t="s">
        <v>80</v>
      </c>
      <c r="I191" t="s">
        <v>81</v>
      </c>
      <c r="J191" t="s">
        <v>16</v>
      </c>
      <c r="K191" t="s">
        <v>504</v>
      </c>
    </row>
    <row r="192" spans="1:11" x14ac:dyDescent="0.35">
      <c r="A192" t="s">
        <v>505</v>
      </c>
      <c r="B192" t="s">
        <v>12</v>
      </c>
      <c r="C192" t="s">
        <v>2264</v>
      </c>
      <c r="D192">
        <v>3</v>
      </c>
      <c r="E192" t="s">
        <v>2406</v>
      </c>
      <c r="F192" t="s">
        <v>2322</v>
      </c>
      <c r="G192" t="s">
        <v>47</v>
      </c>
      <c r="H192" t="s">
        <v>48</v>
      </c>
      <c r="I192" t="s">
        <v>49</v>
      </c>
      <c r="J192" t="s">
        <v>16</v>
      </c>
      <c r="K192" t="s">
        <v>50</v>
      </c>
    </row>
    <row r="193" spans="1:11" x14ac:dyDescent="0.35">
      <c r="A193" t="s">
        <v>506</v>
      </c>
      <c r="B193" t="s">
        <v>12</v>
      </c>
      <c r="C193" t="s">
        <v>2264</v>
      </c>
      <c r="D193">
        <v>3</v>
      </c>
      <c r="E193" t="s">
        <v>2260</v>
      </c>
      <c r="F193" t="s">
        <v>2322</v>
      </c>
      <c r="G193" t="s">
        <v>47</v>
      </c>
      <c r="H193" t="s">
        <v>48</v>
      </c>
      <c r="I193" t="s">
        <v>49</v>
      </c>
      <c r="J193" t="s">
        <v>16</v>
      </c>
      <c r="K193" t="s">
        <v>50</v>
      </c>
    </row>
    <row r="194" spans="1:11" x14ac:dyDescent="0.35">
      <c r="A194" t="s">
        <v>507</v>
      </c>
      <c r="B194" t="s">
        <v>12</v>
      </c>
      <c r="C194" t="s">
        <v>2268</v>
      </c>
      <c r="D194">
        <v>3</v>
      </c>
      <c r="E194" t="s">
        <v>2490</v>
      </c>
      <c r="F194" t="s">
        <v>2343</v>
      </c>
      <c r="G194" t="s">
        <v>508</v>
      </c>
      <c r="H194" t="s">
        <v>141</v>
      </c>
      <c r="I194" t="s">
        <v>142</v>
      </c>
      <c r="J194" t="s">
        <v>16</v>
      </c>
      <c r="K194" t="s">
        <v>509</v>
      </c>
    </row>
    <row r="195" spans="1:11" x14ac:dyDescent="0.35">
      <c r="A195" t="s">
        <v>510</v>
      </c>
      <c r="B195" t="s">
        <v>18</v>
      </c>
      <c r="C195" t="s">
        <v>2491</v>
      </c>
      <c r="D195">
        <v>5</v>
      </c>
      <c r="E195" t="s">
        <v>2492</v>
      </c>
      <c r="F195" t="s">
        <v>2333</v>
      </c>
      <c r="G195" t="s">
        <v>511</v>
      </c>
      <c r="H195" t="s">
        <v>173</v>
      </c>
      <c r="I195" t="s">
        <v>174</v>
      </c>
      <c r="J195" t="s">
        <v>16</v>
      </c>
      <c r="K195" t="s">
        <v>512</v>
      </c>
    </row>
    <row r="196" spans="1:11" x14ac:dyDescent="0.35">
      <c r="A196" t="s">
        <v>513</v>
      </c>
      <c r="B196" t="s">
        <v>18</v>
      </c>
      <c r="C196" t="s">
        <v>2332</v>
      </c>
      <c r="D196">
        <v>7</v>
      </c>
      <c r="E196" t="s">
        <v>2300</v>
      </c>
      <c r="F196" t="s">
        <v>2493</v>
      </c>
      <c r="G196" t="s">
        <v>259</v>
      </c>
      <c r="H196" t="s">
        <v>173</v>
      </c>
      <c r="I196" t="s">
        <v>174</v>
      </c>
      <c r="J196" t="s">
        <v>16</v>
      </c>
      <c r="K196" t="s">
        <v>514</v>
      </c>
    </row>
    <row r="197" spans="1:11" x14ac:dyDescent="0.35">
      <c r="A197" t="s">
        <v>515</v>
      </c>
      <c r="B197" t="s">
        <v>66</v>
      </c>
      <c r="C197" t="s">
        <v>2268</v>
      </c>
      <c r="D197">
        <v>4</v>
      </c>
      <c r="E197" t="s">
        <v>2494</v>
      </c>
      <c r="F197" t="s">
        <v>2484</v>
      </c>
      <c r="G197" t="s">
        <v>516</v>
      </c>
      <c r="H197" t="s">
        <v>405</v>
      </c>
      <c r="I197" t="s">
        <v>406</v>
      </c>
      <c r="J197" t="s">
        <v>16</v>
      </c>
      <c r="K197" t="s">
        <v>407</v>
      </c>
    </row>
    <row r="198" spans="1:11" x14ac:dyDescent="0.35">
      <c r="A198" t="s">
        <v>517</v>
      </c>
      <c r="B198" t="s">
        <v>66</v>
      </c>
      <c r="C198" t="s">
        <v>2264</v>
      </c>
      <c r="D198">
        <v>3</v>
      </c>
      <c r="E198" t="s">
        <v>2383</v>
      </c>
      <c r="F198" t="s">
        <v>2495</v>
      </c>
      <c r="G198" t="s">
        <v>518</v>
      </c>
      <c r="H198" t="s">
        <v>405</v>
      </c>
      <c r="I198" t="s">
        <v>406</v>
      </c>
      <c r="J198" t="s">
        <v>16</v>
      </c>
      <c r="K198" t="s">
        <v>407</v>
      </c>
    </row>
    <row r="199" spans="1:11" x14ac:dyDescent="0.35">
      <c r="A199" t="s">
        <v>519</v>
      </c>
      <c r="B199" t="s">
        <v>12</v>
      </c>
      <c r="C199" t="s">
        <v>2250</v>
      </c>
      <c r="D199">
        <v>4</v>
      </c>
      <c r="E199" t="s">
        <v>2496</v>
      </c>
      <c r="F199" t="s">
        <v>2497</v>
      </c>
      <c r="G199" t="s">
        <v>2498</v>
      </c>
      <c r="H199" t="s">
        <v>97</v>
      </c>
      <c r="I199" t="s">
        <v>98</v>
      </c>
      <c r="J199" t="s">
        <v>16</v>
      </c>
      <c r="K199" t="s">
        <v>407</v>
      </c>
    </row>
    <row r="200" spans="1:11" x14ac:dyDescent="0.35">
      <c r="A200" t="s">
        <v>520</v>
      </c>
      <c r="B200" t="s">
        <v>12</v>
      </c>
      <c r="C200" t="s">
        <v>2264</v>
      </c>
      <c r="D200">
        <v>5</v>
      </c>
      <c r="E200" t="s">
        <v>2499</v>
      </c>
      <c r="F200" t="s">
        <v>2282</v>
      </c>
      <c r="G200" t="s">
        <v>521</v>
      </c>
      <c r="H200" t="s">
        <v>405</v>
      </c>
      <c r="I200" t="s">
        <v>406</v>
      </c>
      <c r="J200" t="s">
        <v>16</v>
      </c>
      <c r="K200" t="s">
        <v>407</v>
      </c>
    </row>
    <row r="201" spans="1:11" x14ac:dyDescent="0.35">
      <c r="A201" t="s">
        <v>522</v>
      </c>
      <c r="B201" t="s">
        <v>66</v>
      </c>
      <c r="C201" t="s">
        <v>2264</v>
      </c>
      <c r="D201">
        <v>3</v>
      </c>
      <c r="E201" t="s">
        <v>2383</v>
      </c>
      <c r="F201" t="s">
        <v>2500</v>
      </c>
      <c r="G201" t="s">
        <v>523</v>
      </c>
      <c r="H201" t="s">
        <v>405</v>
      </c>
      <c r="I201" t="s">
        <v>406</v>
      </c>
      <c r="J201" t="s">
        <v>16</v>
      </c>
      <c r="K201" t="s">
        <v>407</v>
      </c>
    </row>
    <row r="202" spans="1:11" x14ac:dyDescent="0.35">
      <c r="A202" t="s">
        <v>524</v>
      </c>
      <c r="B202" t="s">
        <v>12</v>
      </c>
      <c r="C202" t="s">
        <v>2268</v>
      </c>
      <c r="D202">
        <v>3</v>
      </c>
      <c r="E202" t="s">
        <v>2260</v>
      </c>
      <c r="F202" t="s">
        <v>2322</v>
      </c>
      <c r="G202" t="s">
        <v>2501</v>
      </c>
      <c r="H202" t="s">
        <v>48</v>
      </c>
      <c r="I202" t="s">
        <v>49</v>
      </c>
      <c r="J202" t="s">
        <v>16</v>
      </c>
    </row>
    <row r="203" spans="1:11" x14ac:dyDescent="0.35">
      <c r="A203" t="s">
        <v>525</v>
      </c>
      <c r="B203" t="s">
        <v>12</v>
      </c>
      <c r="C203" t="s">
        <v>2264</v>
      </c>
      <c r="D203">
        <v>4</v>
      </c>
      <c r="E203" t="s">
        <v>2248</v>
      </c>
      <c r="F203" t="s">
        <v>2311</v>
      </c>
      <c r="G203" t="s">
        <v>317</v>
      </c>
      <c r="H203" t="s">
        <v>14</v>
      </c>
      <c r="I203" t="s">
        <v>15</v>
      </c>
      <c r="J203" t="s">
        <v>16</v>
      </c>
    </row>
    <row r="204" spans="1:11" x14ac:dyDescent="0.35">
      <c r="A204" t="s">
        <v>526</v>
      </c>
      <c r="B204" t="s">
        <v>66</v>
      </c>
      <c r="C204" t="s">
        <v>2268</v>
      </c>
      <c r="D204">
        <v>3</v>
      </c>
      <c r="E204" t="s">
        <v>2312</v>
      </c>
      <c r="F204" t="s">
        <v>2314</v>
      </c>
      <c r="G204" t="s">
        <v>323</v>
      </c>
      <c r="H204" t="s">
        <v>141</v>
      </c>
      <c r="I204" t="s">
        <v>142</v>
      </c>
      <c r="J204" t="s">
        <v>16</v>
      </c>
    </row>
    <row r="205" spans="1:11" x14ac:dyDescent="0.35">
      <c r="A205" t="s">
        <v>527</v>
      </c>
      <c r="B205" t="s">
        <v>12</v>
      </c>
      <c r="C205" t="s">
        <v>2268</v>
      </c>
      <c r="D205">
        <v>3</v>
      </c>
      <c r="E205" t="s">
        <v>2502</v>
      </c>
      <c r="F205" t="s">
        <v>2317</v>
      </c>
      <c r="G205" t="s">
        <v>528</v>
      </c>
      <c r="H205" t="s">
        <v>145</v>
      </c>
      <c r="I205" t="s">
        <v>146</v>
      </c>
      <c r="J205" t="s">
        <v>16</v>
      </c>
    </row>
    <row r="206" spans="1:11" x14ac:dyDescent="0.35">
      <c r="A206" t="s">
        <v>529</v>
      </c>
      <c r="B206" t="s">
        <v>12</v>
      </c>
      <c r="C206" t="s">
        <v>2268</v>
      </c>
      <c r="D206">
        <v>3</v>
      </c>
      <c r="E206" t="s">
        <v>2503</v>
      </c>
      <c r="F206" t="s">
        <v>2414</v>
      </c>
      <c r="G206" t="s">
        <v>530</v>
      </c>
      <c r="H206" t="s">
        <v>145</v>
      </c>
      <c r="I206" t="s">
        <v>146</v>
      </c>
      <c r="J206" t="s">
        <v>16</v>
      </c>
      <c r="K206" t="s">
        <v>531</v>
      </c>
    </row>
    <row r="207" spans="1:11" x14ac:dyDescent="0.35">
      <c r="A207" t="s">
        <v>532</v>
      </c>
      <c r="B207" t="s">
        <v>12</v>
      </c>
      <c r="C207" t="s">
        <v>2268</v>
      </c>
      <c r="D207">
        <v>4</v>
      </c>
      <c r="E207" t="s">
        <v>2502</v>
      </c>
      <c r="F207" t="s">
        <v>2263</v>
      </c>
      <c r="G207" t="s">
        <v>533</v>
      </c>
      <c r="H207" t="s">
        <v>382</v>
      </c>
      <c r="I207" t="s">
        <v>383</v>
      </c>
      <c r="J207" t="s">
        <v>16</v>
      </c>
      <c r="K207" t="s">
        <v>534</v>
      </c>
    </row>
    <row r="208" spans="1:11" x14ac:dyDescent="0.35">
      <c r="A208" t="s">
        <v>535</v>
      </c>
      <c r="B208" t="s">
        <v>2274</v>
      </c>
      <c r="C208" t="s">
        <v>2253</v>
      </c>
      <c r="E208" t="s">
        <v>2279</v>
      </c>
      <c r="F208" t="s">
        <v>2504</v>
      </c>
      <c r="G208" t="s">
        <v>536</v>
      </c>
      <c r="H208" t="s">
        <v>173</v>
      </c>
      <c r="I208" t="s">
        <v>174</v>
      </c>
      <c r="J208" t="s">
        <v>16</v>
      </c>
      <c r="K208" t="s">
        <v>537</v>
      </c>
    </row>
    <row r="209" spans="1:11" x14ac:dyDescent="0.35">
      <c r="A209" t="s">
        <v>538</v>
      </c>
      <c r="B209" t="s">
        <v>66</v>
      </c>
      <c r="C209" t="s">
        <v>2268</v>
      </c>
      <c r="D209">
        <v>3</v>
      </c>
      <c r="E209" t="s">
        <v>2505</v>
      </c>
      <c r="F209" t="s">
        <v>2506</v>
      </c>
      <c r="G209" t="s">
        <v>539</v>
      </c>
      <c r="H209" t="s">
        <v>195</v>
      </c>
      <c r="I209" t="s">
        <v>196</v>
      </c>
      <c r="J209" t="s">
        <v>16</v>
      </c>
    </row>
    <row r="210" spans="1:11" x14ac:dyDescent="0.35">
      <c r="A210" t="s">
        <v>540</v>
      </c>
      <c r="B210" t="s">
        <v>18</v>
      </c>
      <c r="C210" t="s">
        <v>2268</v>
      </c>
      <c r="D210">
        <v>3</v>
      </c>
      <c r="E210" t="s">
        <v>2258</v>
      </c>
      <c r="F210" t="s">
        <v>2423</v>
      </c>
      <c r="G210" t="s">
        <v>541</v>
      </c>
      <c r="H210" t="s">
        <v>173</v>
      </c>
      <c r="I210" t="s">
        <v>174</v>
      </c>
      <c r="J210" t="s">
        <v>16</v>
      </c>
    </row>
    <row r="211" spans="1:11" x14ac:dyDescent="0.35">
      <c r="A211" t="s">
        <v>542</v>
      </c>
      <c r="B211" t="s">
        <v>18</v>
      </c>
      <c r="C211" t="s">
        <v>2250</v>
      </c>
      <c r="D211">
        <v>5</v>
      </c>
      <c r="E211" t="s">
        <v>2507</v>
      </c>
      <c r="F211" t="s">
        <v>2318</v>
      </c>
      <c r="G211" t="s">
        <v>543</v>
      </c>
      <c r="H211" t="s">
        <v>233</v>
      </c>
      <c r="I211" t="s">
        <v>234</v>
      </c>
      <c r="J211" t="s">
        <v>16</v>
      </c>
      <c r="K211" t="s">
        <v>531</v>
      </c>
    </row>
    <row r="212" spans="1:11" x14ac:dyDescent="0.35">
      <c r="A212" t="s">
        <v>544</v>
      </c>
      <c r="B212" t="s">
        <v>12</v>
      </c>
      <c r="C212" t="s">
        <v>2268</v>
      </c>
      <c r="D212">
        <v>4</v>
      </c>
      <c r="E212" t="s">
        <v>2260</v>
      </c>
      <c r="F212" t="s">
        <v>2322</v>
      </c>
      <c r="G212" t="s">
        <v>47</v>
      </c>
      <c r="H212" t="s">
        <v>48</v>
      </c>
      <c r="I212" t="s">
        <v>49</v>
      </c>
      <c r="J212" t="s">
        <v>16</v>
      </c>
      <c r="K212" t="s">
        <v>50</v>
      </c>
    </row>
    <row r="213" spans="1:11" x14ac:dyDescent="0.35">
      <c r="A213" t="s">
        <v>545</v>
      </c>
      <c r="B213" t="s">
        <v>12</v>
      </c>
      <c r="C213" t="s">
        <v>2268</v>
      </c>
      <c r="D213">
        <v>3</v>
      </c>
      <c r="E213" t="s">
        <v>2406</v>
      </c>
      <c r="F213" t="s">
        <v>2346</v>
      </c>
      <c r="G213" t="s">
        <v>47</v>
      </c>
      <c r="H213" t="s">
        <v>48</v>
      </c>
      <c r="I213" t="s">
        <v>49</v>
      </c>
      <c r="J213" t="s">
        <v>16</v>
      </c>
      <c r="K213" t="s">
        <v>50</v>
      </c>
    </row>
    <row r="214" spans="1:11" x14ac:dyDescent="0.35">
      <c r="A214" t="s">
        <v>546</v>
      </c>
      <c r="B214" t="s">
        <v>66</v>
      </c>
      <c r="C214" t="s">
        <v>2268</v>
      </c>
      <c r="D214">
        <v>3</v>
      </c>
      <c r="E214" t="s">
        <v>2505</v>
      </c>
      <c r="F214" t="s">
        <v>2508</v>
      </c>
      <c r="G214" t="s">
        <v>547</v>
      </c>
      <c r="H214" t="s">
        <v>173</v>
      </c>
      <c r="I214" t="s">
        <v>174</v>
      </c>
      <c r="J214" t="s">
        <v>16</v>
      </c>
      <c r="K214" t="s">
        <v>496</v>
      </c>
    </row>
    <row r="215" spans="1:11" x14ac:dyDescent="0.35">
      <c r="A215" t="s">
        <v>548</v>
      </c>
      <c r="B215" t="s">
        <v>12</v>
      </c>
      <c r="C215" t="s">
        <v>2250</v>
      </c>
      <c r="D215">
        <v>3</v>
      </c>
      <c r="E215" t="s">
        <v>2474</v>
      </c>
      <c r="F215" t="s">
        <v>2392</v>
      </c>
      <c r="G215" t="s">
        <v>136</v>
      </c>
      <c r="H215" t="s">
        <v>14</v>
      </c>
      <c r="I215" t="s">
        <v>15</v>
      </c>
      <c r="J215" t="s">
        <v>16</v>
      </c>
      <c r="K215" t="s">
        <v>454</v>
      </c>
    </row>
    <row r="216" spans="1:11" x14ac:dyDescent="0.35">
      <c r="A216" t="s">
        <v>549</v>
      </c>
      <c r="B216" t="s">
        <v>18</v>
      </c>
      <c r="C216" t="s">
        <v>2250</v>
      </c>
      <c r="D216">
        <v>5</v>
      </c>
      <c r="E216" t="s">
        <v>2509</v>
      </c>
      <c r="F216" t="s">
        <v>2423</v>
      </c>
      <c r="G216" t="s">
        <v>550</v>
      </c>
      <c r="H216" t="s">
        <v>14</v>
      </c>
      <c r="I216" t="s">
        <v>15</v>
      </c>
      <c r="J216" t="s">
        <v>16</v>
      </c>
      <c r="K216" t="s">
        <v>454</v>
      </c>
    </row>
    <row r="217" spans="1:11" x14ac:dyDescent="0.35">
      <c r="A217" t="s">
        <v>551</v>
      </c>
      <c r="B217" t="s">
        <v>18</v>
      </c>
      <c r="C217" t="s">
        <v>2250</v>
      </c>
      <c r="D217">
        <v>3</v>
      </c>
      <c r="E217" t="s">
        <v>2510</v>
      </c>
      <c r="F217" t="s">
        <v>2372</v>
      </c>
      <c r="G217" t="s">
        <v>552</v>
      </c>
      <c r="H217" t="s">
        <v>141</v>
      </c>
      <c r="I217" t="s">
        <v>142</v>
      </c>
      <c r="J217" t="s">
        <v>16</v>
      </c>
      <c r="K217" t="s">
        <v>454</v>
      </c>
    </row>
    <row r="218" spans="1:11" x14ac:dyDescent="0.35">
      <c r="A218" t="s">
        <v>553</v>
      </c>
      <c r="B218" t="s">
        <v>66</v>
      </c>
      <c r="C218" t="s">
        <v>2268</v>
      </c>
      <c r="D218">
        <v>3</v>
      </c>
      <c r="E218" t="s">
        <v>2402</v>
      </c>
      <c r="F218" t="s">
        <v>2487</v>
      </c>
      <c r="G218" t="s">
        <v>547</v>
      </c>
      <c r="H218" t="s">
        <v>173</v>
      </c>
      <c r="I218" t="s">
        <v>174</v>
      </c>
      <c r="J218" t="s">
        <v>16</v>
      </c>
      <c r="K218" t="s">
        <v>496</v>
      </c>
    </row>
    <row r="219" spans="1:11" x14ac:dyDescent="0.35">
      <c r="A219" t="s">
        <v>554</v>
      </c>
      <c r="B219" t="s">
        <v>66</v>
      </c>
      <c r="C219" t="s">
        <v>2264</v>
      </c>
      <c r="D219">
        <v>3</v>
      </c>
      <c r="E219" t="s">
        <v>2383</v>
      </c>
      <c r="F219" t="s">
        <v>2495</v>
      </c>
      <c r="G219" t="s">
        <v>555</v>
      </c>
      <c r="H219" t="s">
        <v>405</v>
      </c>
      <c r="I219" t="s">
        <v>406</v>
      </c>
      <c r="J219" t="s">
        <v>16</v>
      </c>
      <c r="K219" t="s">
        <v>407</v>
      </c>
    </row>
    <row r="220" spans="1:11" x14ac:dyDescent="0.35">
      <c r="A220" t="s">
        <v>556</v>
      </c>
      <c r="B220" t="s">
        <v>66</v>
      </c>
      <c r="C220" t="s">
        <v>2268</v>
      </c>
      <c r="D220">
        <v>4</v>
      </c>
      <c r="E220" t="s">
        <v>2511</v>
      </c>
      <c r="F220" t="s">
        <v>2341</v>
      </c>
      <c r="G220" t="s">
        <v>557</v>
      </c>
      <c r="H220" t="s">
        <v>14</v>
      </c>
      <c r="I220" t="s">
        <v>15</v>
      </c>
      <c r="J220" t="s">
        <v>16</v>
      </c>
      <c r="K220" t="s">
        <v>509</v>
      </c>
    </row>
    <row r="221" spans="1:11" x14ac:dyDescent="0.35">
      <c r="A221" t="s">
        <v>558</v>
      </c>
      <c r="B221" t="s">
        <v>18</v>
      </c>
      <c r="C221" t="s">
        <v>2264</v>
      </c>
      <c r="D221">
        <v>7</v>
      </c>
      <c r="E221" t="s">
        <v>2512</v>
      </c>
      <c r="F221" t="s">
        <v>2513</v>
      </c>
      <c r="G221" t="s">
        <v>559</v>
      </c>
      <c r="H221" t="s">
        <v>241</v>
      </c>
      <c r="I221" t="s">
        <v>242</v>
      </c>
      <c r="J221" t="s">
        <v>16</v>
      </c>
    </row>
    <row r="222" spans="1:11" x14ac:dyDescent="0.35">
      <c r="A222" t="s">
        <v>560</v>
      </c>
      <c r="B222" t="s">
        <v>18</v>
      </c>
      <c r="C222" t="s">
        <v>2332</v>
      </c>
      <c r="D222">
        <v>6</v>
      </c>
      <c r="E222" t="s">
        <v>2285</v>
      </c>
      <c r="F222" t="s">
        <v>2514</v>
      </c>
      <c r="G222" t="s">
        <v>561</v>
      </c>
      <c r="H222" t="s">
        <v>154</v>
      </c>
      <c r="I222" t="s">
        <v>155</v>
      </c>
      <c r="J222" t="s">
        <v>16</v>
      </c>
    </row>
    <row r="223" spans="1:11" x14ac:dyDescent="0.35">
      <c r="A223" t="s">
        <v>562</v>
      </c>
      <c r="B223" t="s">
        <v>251</v>
      </c>
      <c r="C223" t="s">
        <v>2268</v>
      </c>
      <c r="D223">
        <v>1</v>
      </c>
      <c r="E223" t="s">
        <v>2302</v>
      </c>
      <c r="F223" t="s">
        <v>2515</v>
      </c>
      <c r="G223" t="s">
        <v>563</v>
      </c>
      <c r="H223" t="s">
        <v>564</v>
      </c>
      <c r="I223" t="s">
        <v>565</v>
      </c>
      <c r="J223" t="s">
        <v>16</v>
      </c>
      <c r="K223" t="s">
        <v>257</v>
      </c>
    </row>
    <row r="224" spans="1:11" x14ac:dyDescent="0.35">
      <c r="A224" t="s">
        <v>566</v>
      </c>
      <c r="B224" t="s">
        <v>18</v>
      </c>
      <c r="C224" t="s">
        <v>2359</v>
      </c>
      <c r="D224">
        <v>6</v>
      </c>
      <c r="E224" t="s">
        <v>2516</v>
      </c>
      <c r="F224" t="s">
        <v>2270</v>
      </c>
      <c r="G224" t="s">
        <v>163</v>
      </c>
      <c r="H224" t="s">
        <v>164</v>
      </c>
      <c r="I224" t="s">
        <v>165</v>
      </c>
      <c r="J224" t="s">
        <v>16</v>
      </c>
      <c r="K224" t="s">
        <v>567</v>
      </c>
    </row>
    <row r="225" spans="1:11" x14ac:dyDescent="0.35">
      <c r="A225" t="s">
        <v>568</v>
      </c>
      <c r="B225" t="s">
        <v>18</v>
      </c>
      <c r="C225" t="s">
        <v>2250</v>
      </c>
      <c r="D225">
        <v>7</v>
      </c>
      <c r="E225" t="s">
        <v>2517</v>
      </c>
      <c r="F225" t="s">
        <v>2518</v>
      </c>
      <c r="G225" t="s">
        <v>569</v>
      </c>
      <c r="H225" t="s">
        <v>570</v>
      </c>
      <c r="I225" t="s">
        <v>571</v>
      </c>
      <c r="J225" t="s">
        <v>16</v>
      </c>
      <c r="K225" t="s">
        <v>230</v>
      </c>
    </row>
    <row r="226" spans="1:11" x14ac:dyDescent="0.35">
      <c r="A226" t="s">
        <v>572</v>
      </c>
      <c r="B226" t="s">
        <v>18</v>
      </c>
      <c r="C226" t="s">
        <v>2264</v>
      </c>
      <c r="D226">
        <v>5</v>
      </c>
      <c r="E226" t="s">
        <v>2337</v>
      </c>
      <c r="F226" t="s">
        <v>2303</v>
      </c>
      <c r="G226" t="s">
        <v>573</v>
      </c>
      <c r="H226" t="s">
        <v>145</v>
      </c>
      <c r="I226" t="s">
        <v>146</v>
      </c>
      <c r="J226" t="s">
        <v>16</v>
      </c>
      <c r="K226" t="s">
        <v>574</v>
      </c>
    </row>
    <row r="227" spans="1:11" x14ac:dyDescent="0.35">
      <c r="A227" t="s">
        <v>575</v>
      </c>
      <c r="B227" t="s">
        <v>12</v>
      </c>
      <c r="C227" t="s">
        <v>2264</v>
      </c>
      <c r="D227">
        <v>3</v>
      </c>
      <c r="E227" t="s">
        <v>2519</v>
      </c>
      <c r="F227" t="s">
        <v>2520</v>
      </c>
      <c r="G227" t="s">
        <v>576</v>
      </c>
      <c r="H227" t="s">
        <v>373</v>
      </c>
      <c r="I227" t="s">
        <v>374</v>
      </c>
      <c r="J227" t="s">
        <v>16</v>
      </c>
    </row>
    <row r="228" spans="1:11" x14ac:dyDescent="0.35">
      <c r="A228" t="s">
        <v>577</v>
      </c>
      <c r="B228" t="s">
        <v>18</v>
      </c>
      <c r="C228" t="s">
        <v>2250</v>
      </c>
      <c r="D228">
        <v>4</v>
      </c>
      <c r="E228" t="s">
        <v>2289</v>
      </c>
      <c r="F228" t="s">
        <v>2476</v>
      </c>
      <c r="G228" t="s">
        <v>578</v>
      </c>
      <c r="H228" t="s">
        <v>14</v>
      </c>
      <c r="I228" t="s">
        <v>15</v>
      </c>
      <c r="J228" t="s">
        <v>16</v>
      </c>
    </row>
    <row r="229" spans="1:11" x14ac:dyDescent="0.35">
      <c r="A229" t="s">
        <v>579</v>
      </c>
      <c r="B229" t="s">
        <v>66</v>
      </c>
      <c r="C229" t="s">
        <v>2264</v>
      </c>
      <c r="D229">
        <v>3</v>
      </c>
      <c r="E229" t="s">
        <v>2444</v>
      </c>
      <c r="F229" t="s">
        <v>2521</v>
      </c>
      <c r="G229" t="s">
        <v>580</v>
      </c>
      <c r="H229" t="s">
        <v>373</v>
      </c>
      <c r="I229" t="s">
        <v>374</v>
      </c>
      <c r="J229" t="s">
        <v>16</v>
      </c>
    </row>
    <row r="230" spans="1:11" x14ac:dyDescent="0.35">
      <c r="A230" t="s">
        <v>581</v>
      </c>
      <c r="B230" t="s">
        <v>66</v>
      </c>
      <c r="C230" t="s">
        <v>2268</v>
      </c>
      <c r="D230">
        <v>5</v>
      </c>
      <c r="E230" t="s">
        <v>2352</v>
      </c>
      <c r="F230" t="s">
        <v>2353</v>
      </c>
      <c r="G230" t="s">
        <v>217</v>
      </c>
      <c r="H230" t="s">
        <v>218</v>
      </c>
      <c r="I230" t="s">
        <v>219</v>
      </c>
      <c r="J230" t="s">
        <v>16</v>
      </c>
    </row>
    <row r="231" spans="1:11" x14ac:dyDescent="0.35">
      <c r="A231" t="s">
        <v>582</v>
      </c>
      <c r="B231" t="s">
        <v>18</v>
      </c>
      <c r="C231" t="s">
        <v>2250</v>
      </c>
      <c r="D231">
        <v>5</v>
      </c>
      <c r="E231" t="s">
        <v>2306</v>
      </c>
      <c r="F231" t="s">
        <v>2412</v>
      </c>
      <c r="G231" t="s">
        <v>583</v>
      </c>
      <c r="H231" t="s">
        <v>145</v>
      </c>
      <c r="I231" t="s">
        <v>146</v>
      </c>
      <c r="J231" t="s">
        <v>16</v>
      </c>
      <c r="K231" t="s">
        <v>574</v>
      </c>
    </row>
    <row r="232" spans="1:11" x14ac:dyDescent="0.35">
      <c r="A232" t="s">
        <v>584</v>
      </c>
      <c r="B232" t="s">
        <v>2274</v>
      </c>
      <c r="C232" t="s">
        <v>2250</v>
      </c>
      <c r="D232">
        <v>5</v>
      </c>
      <c r="E232" t="s">
        <v>2483</v>
      </c>
      <c r="F232" t="s">
        <v>2522</v>
      </c>
      <c r="G232" t="s">
        <v>585</v>
      </c>
      <c r="H232" t="s">
        <v>586</v>
      </c>
      <c r="I232" t="s">
        <v>587</v>
      </c>
      <c r="J232" t="s">
        <v>16</v>
      </c>
    </row>
    <row r="233" spans="1:11" x14ac:dyDescent="0.35">
      <c r="A233" t="s">
        <v>588</v>
      </c>
      <c r="B233" t="s">
        <v>2274</v>
      </c>
      <c r="E233" t="s">
        <v>2279</v>
      </c>
      <c r="F233" t="s">
        <v>2523</v>
      </c>
      <c r="G233" t="s">
        <v>2524</v>
      </c>
      <c r="H233" t="s">
        <v>14</v>
      </c>
      <c r="I233" t="s">
        <v>15</v>
      </c>
      <c r="J233" t="s">
        <v>16</v>
      </c>
      <c r="K233" t="s">
        <v>531</v>
      </c>
    </row>
    <row r="234" spans="1:11" x14ac:dyDescent="0.35">
      <c r="A234" t="s">
        <v>589</v>
      </c>
      <c r="B234" t="s">
        <v>18</v>
      </c>
      <c r="C234" t="s">
        <v>2359</v>
      </c>
      <c r="D234">
        <v>5</v>
      </c>
      <c r="E234" t="s">
        <v>2312</v>
      </c>
      <c r="F234" t="s">
        <v>2387</v>
      </c>
      <c r="G234" t="s">
        <v>590</v>
      </c>
      <c r="H234" t="s">
        <v>591</v>
      </c>
      <c r="I234" t="s">
        <v>592</v>
      </c>
      <c r="J234" t="s">
        <v>16</v>
      </c>
    </row>
    <row r="235" spans="1:11" x14ac:dyDescent="0.35">
      <c r="A235" t="s">
        <v>593</v>
      </c>
      <c r="B235" t="s">
        <v>18</v>
      </c>
      <c r="C235" t="s">
        <v>2297</v>
      </c>
      <c r="D235">
        <v>7</v>
      </c>
      <c r="E235" t="s">
        <v>2258</v>
      </c>
      <c r="F235" t="s">
        <v>2303</v>
      </c>
      <c r="G235" t="s">
        <v>594</v>
      </c>
      <c r="H235" t="s">
        <v>173</v>
      </c>
      <c r="I235" t="s">
        <v>174</v>
      </c>
      <c r="J235" t="s">
        <v>16</v>
      </c>
    </row>
    <row r="236" spans="1:11" x14ac:dyDescent="0.35">
      <c r="A236" t="s">
        <v>595</v>
      </c>
      <c r="B236" t="s">
        <v>12</v>
      </c>
      <c r="C236" t="s">
        <v>2268</v>
      </c>
      <c r="D236">
        <v>3</v>
      </c>
      <c r="E236" t="s">
        <v>2525</v>
      </c>
      <c r="F236" t="s">
        <v>2305</v>
      </c>
      <c r="G236" t="s">
        <v>358</v>
      </c>
      <c r="H236" t="s">
        <v>218</v>
      </c>
      <c r="I236" t="s">
        <v>219</v>
      </c>
      <c r="J236" t="s">
        <v>16</v>
      </c>
      <c r="K236" t="s">
        <v>50</v>
      </c>
    </row>
    <row r="237" spans="1:11" x14ac:dyDescent="0.35">
      <c r="A237" t="s">
        <v>596</v>
      </c>
      <c r="B237" t="s">
        <v>18</v>
      </c>
      <c r="C237" t="s">
        <v>2297</v>
      </c>
      <c r="D237">
        <v>6</v>
      </c>
      <c r="E237" t="s">
        <v>2358</v>
      </c>
      <c r="F237" t="s">
        <v>2257</v>
      </c>
      <c r="G237" t="s">
        <v>597</v>
      </c>
      <c r="H237" t="s">
        <v>154</v>
      </c>
      <c r="I237" t="s">
        <v>155</v>
      </c>
      <c r="J237" t="s">
        <v>16</v>
      </c>
    </row>
    <row r="238" spans="1:11" x14ac:dyDescent="0.35">
      <c r="A238" t="s">
        <v>598</v>
      </c>
      <c r="B238" t="s">
        <v>66</v>
      </c>
      <c r="C238" t="s">
        <v>2264</v>
      </c>
      <c r="D238">
        <v>3</v>
      </c>
      <c r="E238" t="s">
        <v>2406</v>
      </c>
      <c r="F238" t="s">
        <v>2343</v>
      </c>
      <c r="G238" t="s">
        <v>599</v>
      </c>
      <c r="H238" t="s">
        <v>195</v>
      </c>
      <c r="I238" t="s">
        <v>196</v>
      </c>
      <c r="J238" t="s">
        <v>16</v>
      </c>
      <c r="K238" t="s">
        <v>50</v>
      </c>
    </row>
    <row r="239" spans="1:11" x14ac:dyDescent="0.35">
      <c r="A239" t="s">
        <v>600</v>
      </c>
      <c r="B239" t="s">
        <v>18</v>
      </c>
      <c r="C239" t="s">
        <v>2264</v>
      </c>
      <c r="D239">
        <v>5</v>
      </c>
      <c r="E239" t="s">
        <v>2526</v>
      </c>
      <c r="F239" t="s">
        <v>2527</v>
      </c>
      <c r="G239" t="s">
        <v>601</v>
      </c>
      <c r="H239" t="s">
        <v>164</v>
      </c>
      <c r="I239" t="s">
        <v>165</v>
      </c>
      <c r="J239" t="s">
        <v>16</v>
      </c>
      <c r="K239" t="s">
        <v>602</v>
      </c>
    </row>
    <row r="240" spans="1:11" x14ac:dyDescent="0.35">
      <c r="A240" t="s">
        <v>603</v>
      </c>
      <c r="B240" t="s">
        <v>66</v>
      </c>
      <c r="C240" t="s">
        <v>2268</v>
      </c>
      <c r="D240">
        <v>3</v>
      </c>
      <c r="E240" t="s">
        <v>2505</v>
      </c>
      <c r="F240" t="s">
        <v>2528</v>
      </c>
      <c r="G240" t="s">
        <v>604</v>
      </c>
      <c r="H240" t="s">
        <v>241</v>
      </c>
      <c r="I240" t="s">
        <v>242</v>
      </c>
      <c r="J240" t="s">
        <v>16</v>
      </c>
      <c r="K240" t="s">
        <v>602</v>
      </c>
    </row>
    <row r="241" spans="1:11" x14ac:dyDescent="0.35">
      <c r="A241" t="s">
        <v>605</v>
      </c>
      <c r="B241" t="s">
        <v>18</v>
      </c>
      <c r="C241" t="s">
        <v>2250</v>
      </c>
      <c r="D241">
        <v>8</v>
      </c>
      <c r="E241" t="s">
        <v>2529</v>
      </c>
      <c r="F241" t="s">
        <v>2530</v>
      </c>
      <c r="G241" t="s">
        <v>606</v>
      </c>
      <c r="H241" t="s">
        <v>173</v>
      </c>
      <c r="I241" t="s">
        <v>174</v>
      </c>
      <c r="J241" t="s">
        <v>16</v>
      </c>
    </row>
    <row r="242" spans="1:11" x14ac:dyDescent="0.35">
      <c r="A242" t="s">
        <v>607</v>
      </c>
      <c r="B242" t="s">
        <v>18</v>
      </c>
      <c r="C242" t="s">
        <v>2359</v>
      </c>
      <c r="D242">
        <v>5</v>
      </c>
      <c r="E242" t="s">
        <v>2531</v>
      </c>
      <c r="F242" t="s">
        <v>2270</v>
      </c>
      <c r="G242" t="s">
        <v>608</v>
      </c>
      <c r="H242" t="s">
        <v>494</v>
      </c>
      <c r="I242" t="s">
        <v>495</v>
      </c>
      <c r="J242" t="s">
        <v>16</v>
      </c>
      <c r="K242" t="s">
        <v>609</v>
      </c>
    </row>
    <row r="243" spans="1:11" x14ac:dyDescent="0.35">
      <c r="A243" t="s">
        <v>610</v>
      </c>
      <c r="B243" t="s">
        <v>2271</v>
      </c>
      <c r="E243" t="s">
        <v>2355</v>
      </c>
      <c r="F243" t="s">
        <v>2532</v>
      </c>
      <c r="G243" t="s">
        <v>611</v>
      </c>
      <c r="H243" t="s">
        <v>68</v>
      </c>
      <c r="I243" t="s">
        <v>69</v>
      </c>
      <c r="J243" t="s">
        <v>16</v>
      </c>
    </row>
    <row r="244" spans="1:11" x14ac:dyDescent="0.35">
      <c r="A244" t="s">
        <v>612</v>
      </c>
      <c r="B244" t="s">
        <v>18</v>
      </c>
      <c r="C244" t="s">
        <v>2247</v>
      </c>
      <c r="D244">
        <v>6</v>
      </c>
      <c r="E244" t="s">
        <v>2323</v>
      </c>
      <c r="F244" t="s">
        <v>2423</v>
      </c>
      <c r="G244" t="s">
        <v>613</v>
      </c>
      <c r="H244" t="s">
        <v>97</v>
      </c>
      <c r="I244" t="s">
        <v>98</v>
      </c>
      <c r="J244" t="s">
        <v>16</v>
      </c>
      <c r="K244" t="s">
        <v>415</v>
      </c>
    </row>
    <row r="245" spans="1:11" x14ac:dyDescent="0.35">
      <c r="A245" t="s">
        <v>614</v>
      </c>
      <c r="B245" t="s">
        <v>18</v>
      </c>
      <c r="C245" t="s">
        <v>2247</v>
      </c>
      <c r="D245">
        <v>5</v>
      </c>
      <c r="E245" t="s">
        <v>2533</v>
      </c>
      <c r="F245" t="s">
        <v>2255</v>
      </c>
      <c r="G245" t="s">
        <v>615</v>
      </c>
      <c r="H245" t="s">
        <v>169</v>
      </c>
      <c r="I245" t="s">
        <v>170</v>
      </c>
      <c r="J245" t="s">
        <v>16</v>
      </c>
      <c r="K245" t="s">
        <v>616</v>
      </c>
    </row>
    <row r="246" spans="1:11" x14ac:dyDescent="0.35">
      <c r="A246" t="s">
        <v>617</v>
      </c>
      <c r="B246" t="s">
        <v>18</v>
      </c>
      <c r="C246" t="s">
        <v>2359</v>
      </c>
      <c r="D246">
        <v>7</v>
      </c>
      <c r="E246" t="s">
        <v>2289</v>
      </c>
      <c r="F246" t="s">
        <v>2360</v>
      </c>
      <c r="G246" t="s">
        <v>618</v>
      </c>
      <c r="H246" t="s">
        <v>164</v>
      </c>
      <c r="I246" t="s">
        <v>165</v>
      </c>
      <c r="J246" t="s">
        <v>16</v>
      </c>
    </row>
    <row r="247" spans="1:11" x14ac:dyDescent="0.35">
      <c r="A247" t="s">
        <v>619</v>
      </c>
      <c r="B247" t="s">
        <v>12</v>
      </c>
      <c r="C247" t="s">
        <v>2264</v>
      </c>
      <c r="D247">
        <v>6</v>
      </c>
      <c r="E247" t="s">
        <v>2534</v>
      </c>
      <c r="F247" t="s">
        <v>2336</v>
      </c>
      <c r="G247" t="s">
        <v>13</v>
      </c>
      <c r="H247" t="s">
        <v>14</v>
      </c>
      <c r="I247" t="s">
        <v>15</v>
      </c>
      <c r="J247" t="s">
        <v>16</v>
      </c>
      <c r="K247" t="s">
        <v>620</v>
      </c>
    </row>
    <row r="248" spans="1:11" x14ac:dyDescent="0.35">
      <c r="A248" t="s">
        <v>621</v>
      </c>
      <c r="B248" t="s">
        <v>18</v>
      </c>
      <c r="C248" t="s">
        <v>2359</v>
      </c>
      <c r="D248">
        <v>7</v>
      </c>
      <c r="E248" t="s">
        <v>2300</v>
      </c>
      <c r="F248" t="s">
        <v>2535</v>
      </c>
      <c r="G248" t="s">
        <v>259</v>
      </c>
      <c r="H248" t="s">
        <v>173</v>
      </c>
      <c r="I248" t="s">
        <v>174</v>
      </c>
      <c r="J248" t="s">
        <v>16</v>
      </c>
      <c r="K248" t="s">
        <v>574</v>
      </c>
    </row>
    <row r="249" spans="1:11" x14ac:dyDescent="0.35">
      <c r="A249" t="s">
        <v>622</v>
      </c>
      <c r="B249" t="s">
        <v>66</v>
      </c>
      <c r="C249" t="s">
        <v>2250</v>
      </c>
      <c r="D249">
        <v>3</v>
      </c>
      <c r="E249" t="s">
        <v>2450</v>
      </c>
      <c r="F249" t="s">
        <v>2249</v>
      </c>
      <c r="G249" t="s">
        <v>623</v>
      </c>
      <c r="H249" t="s">
        <v>73</v>
      </c>
      <c r="I249" t="s">
        <v>74</v>
      </c>
      <c r="J249" t="s">
        <v>16</v>
      </c>
      <c r="K249" t="s">
        <v>624</v>
      </c>
    </row>
    <row r="250" spans="1:11" x14ac:dyDescent="0.35">
      <c r="A250" t="s">
        <v>625</v>
      </c>
      <c r="B250" t="s">
        <v>66</v>
      </c>
      <c r="C250" t="s">
        <v>2264</v>
      </c>
      <c r="D250">
        <v>4</v>
      </c>
      <c r="E250" t="s">
        <v>2536</v>
      </c>
      <c r="F250" t="s">
        <v>2249</v>
      </c>
      <c r="G250" t="s">
        <v>626</v>
      </c>
      <c r="H250" t="s">
        <v>218</v>
      </c>
      <c r="I250" t="s">
        <v>219</v>
      </c>
      <c r="J250" t="s">
        <v>16</v>
      </c>
      <c r="K250" t="s">
        <v>624</v>
      </c>
    </row>
    <row r="251" spans="1:11" x14ac:dyDescent="0.35">
      <c r="A251" t="s">
        <v>627</v>
      </c>
      <c r="B251" t="s">
        <v>12</v>
      </c>
      <c r="C251" t="s">
        <v>2247</v>
      </c>
      <c r="D251">
        <v>4</v>
      </c>
      <c r="E251" t="s">
        <v>2467</v>
      </c>
      <c r="F251" t="s">
        <v>2356</v>
      </c>
      <c r="G251" t="s">
        <v>628</v>
      </c>
      <c r="H251" t="s">
        <v>430</v>
      </c>
      <c r="I251" t="s">
        <v>431</v>
      </c>
      <c r="J251" t="s">
        <v>16</v>
      </c>
      <c r="K251" t="s">
        <v>624</v>
      </c>
    </row>
    <row r="252" spans="1:11" x14ac:dyDescent="0.35">
      <c r="A252" t="s">
        <v>629</v>
      </c>
      <c r="B252" t="s">
        <v>18</v>
      </c>
      <c r="C252" t="s">
        <v>2250</v>
      </c>
      <c r="D252">
        <v>3</v>
      </c>
      <c r="E252" t="s">
        <v>2537</v>
      </c>
      <c r="F252" t="s">
        <v>2538</v>
      </c>
      <c r="G252" t="s">
        <v>2539</v>
      </c>
      <c r="H252" t="s">
        <v>630</v>
      </c>
      <c r="I252" t="s">
        <v>631</v>
      </c>
      <c r="J252" t="s">
        <v>16</v>
      </c>
    </row>
    <row r="253" spans="1:11" x14ac:dyDescent="0.35">
      <c r="A253" t="s">
        <v>632</v>
      </c>
      <c r="B253" t="s">
        <v>12</v>
      </c>
      <c r="C253" t="s">
        <v>2268</v>
      </c>
      <c r="D253">
        <v>4</v>
      </c>
      <c r="E253" t="s">
        <v>2260</v>
      </c>
      <c r="F253" t="s">
        <v>2322</v>
      </c>
      <c r="G253" t="s">
        <v>47</v>
      </c>
      <c r="H253" t="s">
        <v>48</v>
      </c>
      <c r="I253" t="s">
        <v>49</v>
      </c>
      <c r="J253" t="s">
        <v>16</v>
      </c>
    </row>
    <row r="254" spans="1:11" x14ac:dyDescent="0.35">
      <c r="A254" t="s">
        <v>633</v>
      </c>
      <c r="B254" t="s">
        <v>66</v>
      </c>
      <c r="C254" t="s">
        <v>2268</v>
      </c>
      <c r="D254">
        <v>3</v>
      </c>
      <c r="E254" t="s">
        <v>2352</v>
      </c>
      <c r="F254" t="s">
        <v>2387</v>
      </c>
      <c r="G254" t="s">
        <v>634</v>
      </c>
      <c r="H254" t="s">
        <v>218</v>
      </c>
      <c r="I254" t="s">
        <v>219</v>
      </c>
      <c r="J254" t="s">
        <v>16</v>
      </c>
    </row>
    <row r="255" spans="1:11" x14ac:dyDescent="0.35">
      <c r="A255" t="s">
        <v>635</v>
      </c>
      <c r="B255" t="s">
        <v>12</v>
      </c>
      <c r="C255" t="s">
        <v>2264</v>
      </c>
      <c r="D255">
        <v>5</v>
      </c>
      <c r="E255" t="s">
        <v>2260</v>
      </c>
      <c r="F255" t="s">
        <v>2322</v>
      </c>
      <c r="G255" t="s">
        <v>47</v>
      </c>
      <c r="H255" t="s">
        <v>48</v>
      </c>
      <c r="I255" t="s">
        <v>49</v>
      </c>
      <c r="J255" t="s">
        <v>16</v>
      </c>
    </row>
    <row r="256" spans="1:11" x14ac:dyDescent="0.35">
      <c r="A256" t="s">
        <v>636</v>
      </c>
      <c r="B256" t="s">
        <v>66</v>
      </c>
      <c r="C256" t="s">
        <v>2268</v>
      </c>
      <c r="D256">
        <v>5</v>
      </c>
      <c r="E256" t="s">
        <v>2352</v>
      </c>
      <c r="F256" t="s">
        <v>2353</v>
      </c>
      <c r="G256" t="s">
        <v>217</v>
      </c>
      <c r="H256" t="s">
        <v>218</v>
      </c>
      <c r="I256" t="s">
        <v>219</v>
      </c>
      <c r="J256" t="s">
        <v>16</v>
      </c>
      <c r="K256" t="s">
        <v>50</v>
      </c>
    </row>
    <row r="257" spans="1:11" x14ac:dyDescent="0.35">
      <c r="A257" t="s">
        <v>637</v>
      </c>
      <c r="B257" t="s">
        <v>12</v>
      </c>
      <c r="C257" t="s">
        <v>2264</v>
      </c>
      <c r="D257">
        <v>4</v>
      </c>
      <c r="E257" t="s">
        <v>2258</v>
      </c>
      <c r="F257" t="s">
        <v>2311</v>
      </c>
      <c r="G257" t="s">
        <v>471</v>
      </c>
      <c r="H257" t="s">
        <v>14</v>
      </c>
      <c r="I257" t="s">
        <v>15</v>
      </c>
      <c r="J257" t="s">
        <v>16</v>
      </c>
      <c r="K257" t="s">
        <v>50</v>
      </c>
    </row>
    <row r="258" spans="1:11" x14ac:dyDescent="0.35">
      <c r="A258" t="s">
        <v>638</v>
      </c>
      <c r="B258" t="s">
        <v>12</v>
      </c>
      <c r="C258" t="s">
        <v>2268</v>
      </c>
      <c r="D258">
        <v>3</v>
      </c>
      <c r="E258" t="s">
        <v>2248</v>
      </c>
      <c r="F258" t="s">
        <v>2311</v>
      </c>
      <c r="G258" t="s">
        <v>471</v>
      </c>
      <c r="H258" t="s">
        <v>14</v>
      </c>
      <c r="I258" t="s">
        <v>15</v>
      </c>
      <c r="J258" t="s">
        <v>16</v>
      </c>
      <c r="K258" t="s">
        <v>50</v>
      </c>
    </row>
    <row r="259" spans="1:11" x14ac:dyDescent="0.35">
      <c r="A259" t="s">
        <v>639</v>
      </c>
      <c r="B259" t="s">
        <v>18</v>
      </c>
      <c r="C259" t="s">
        <v>2268</v>
      </c>
      <c r="D259">
        <v>4</v>
      </c>
      <c r="E259" t="s">
        <v>2258</v>
      </c>
      <c r="F259" t="s">
        <v>2540</v>
      </c>
      <c r="G259" t="s">
        <v>640</v>
      </c>
      <c r="H259" t="s">
        <v>373</v>
      </c>
      <c r="I259" t="s">
        <v>374</v>
      </c>
      <c r="J259" t="s">
        <v>16</v>
      </c>
      <c r="K259" t="s">
        <v>641</v>
      </c>
    </row>
    <row r="260" spans="1:11" x14ac:dyDescent="0.35">
      <c r="A260" t="s">
        <v>642</v>
      </c>
      <c r="B260" t="s">
        <v>66</v>
      </c>
      <c r="C260" t="s">
        <v>2264</v>
      </c>
      <c r="D260">
        <v>4</v>
      </c>
      <c r="E260" t="s">
        <v>2378</v>
      </c>
      <c r="F260" t="s">
        <v>2379</v>
      </c>
      <c r="G260" t="s">
        <v>261</v>
      </c>
      <c r="H260" t="s">
        <v>186</v>
      </c>
      <c r="I260" t="s">
        <v>187</v>
      </c>
      <c r="J260" t="s">
        <v>16</v>
      </c>
      <c r="K260" t="s">
        <v>50</v>
      </c>
    </row>
    <row r="261" spans="1:11" x14ac:dyDescent="0.35">
      <c r="A261" t="s">
        <v>643</v>
      </c>
      <c r="B261" t="s">
        <v>12</v>
      </c>
      <c r="C261" t="s">
        <v>2264</v>
      </c>
      <c r="D261">
        <v>4</v>
      </c>
      <c r="E261" t="s">
        <v>2248</v>
      </c>
      <c r="F261" t="s">
        <v>2311</v>
      </c>
      <c r="G261" t="s">
        <v>644</v>
      </c>
      <c r="H261" t="s">
        <v>14</v>
      </c>
      <c r="I261" t="s">
        <v>15</v>
      </c>
      <c r="J261" t="s">
        <v>16</v>
      </c>
      <c r="K261" t="s">
        <v>50</v>
      </c>
    </row>
    <row r="262" spans="1:11" x14ac:dyDescent="0.35">
      <c r="A262" t="s">
        <v>645</v>
      </c>
      <c r="B262" t="s">
        <v>2271</v>
      </c>
      <c r="E262" t="s">
        <v>2393</v>
      </c>
      <c r="F262" t="s">
        <v>2382</v>
      </c>
      <c r="G262" t="s">
        <v>611</v>
      </c>
      <c r="H262" t="s">
        <v>68</v>
      </c>
      <c r="I262" t="s">
        <v>69</v>
      </c>
      <c r="J262" t="s">
        <v>16</v>
      </c>
    </row>
    <row r="263" spans="1:11" x14ac:dyDescent="0.35">
      <c r="A263" t="s">
        <v>646</v>
      </c>
      <c r="B263" t="s">
        <v>18</v>
      </c>
      <c r="C263" t="s">
        <v>2264</v>
      </c>
      <c r="D263">
        <v>3</v>
      </c>
      <c r="E263" t="s">
        <v>2541</v>
      </c>
      <c r="F263" t="s">
        <v>2333</v>
      </c>
      <c r="G263" t="s">
        <v>647</v>
      </c>
      <c r="H263" t="s">
        <v>145</v>
      </c>
      <c r="I263" t="s">
        <v>146</v>
      </c>
      <c r="J263" t="s">
        <v>16</v>
      </c>
    </row>
    <row r="264" spans="1:11" x14ac:dyDescent="0.35">
      <c r="A264" t="s">
        <v>648</v>
      </c>
      <c r="B264" t="s">
        <v>18</v>
      </c>
      <c r="C264" t="s">
        <v>2264</v>
      </c>
      <c r="D264">
        <v>5</v>
      </c>
      <c r="E264" t="s">
        <v>2542</v>
      </c>
      <c r="F264" t="s">
        <v>2543</v>
      </c>
      <c r="G264" t="s">
        <v>649</v>
      </c>
      <c r="H264" t="s">
        <v>494</v>
      </c>
      <c r="I264" t="s">
        <v>495</v>
      </c>
      <c r="J264" t="s">
        <v>16</v>
      </c>
      <c r="K264" t="s">
        <v>650</v>
      </c>
    </row>
    <row r="265" spans="1:11" x14ac:dyDescent="0.35">
      <c r="A265" t="s">
        <v>651</v>
      </c>
      <c r="B265" t="s">
        <v>18</v>
      </c>
      <c r="C265" t="s">
        <v>2250</v>
      </c>
      <c r="D265">
        <v>3</v>
      </c>
      <c r="E265" t="s">
        <v>2544</v>
      </c>
      <c r="F265" t="s">
        <v>2515</v>
      </c>
      <c r="G265" t="s">
        <v>652</v>
      </c>
      <c r="H265" t="s">
        <v>145</v>
      </c>
      <c r="I265" t="s">
        <v>146</v>
      </c>
      <c r="J265" t="s">
        <v>16</v>
      </c>
      <c r="K265" t="s">
        <v>653</v>
      </c>
    </row>
    <row r="266" spans="1:11" x14ac:dyDescent="0.35">
      <c r="A266" t="s">
        <v>654</v>
      </c>
      <c r="B266" t="s">
        <v>18</v>
      </c>
      <c r="C266" t="s">
        <v>2297</v>
      </c>
      <c r="D266">
        <v>4</v>
      </c>
      <c r="E266" t="s">
        <v>2406</v>
      </c>
      <c r="F266" t="s">
        <v>2545</v>
      </c>
      <c r="G266" t="s">
        <v>221</v>
      </c>
      <c r="H266" t="s">
        <v>173</v>
      </c>
      <c r="I266" t="s">
        <v>174</v>
      </c>
      <c r="J266" t="s">
        <v>16</v>
      </c>
    </row>
    <row r="267" spans="1:11" x14ac:dyDescent="0.35">
      <c r="A267" t="s">
        <v>655</v>
      </c>
      <c r="B267" t="s">
        <v>12</v>
      </c>
      <c r="C267" t="s">
        <v>2264</v>
      </c>
      <c r="D267">
        <v>3</v>
      </c>
      <c r="E267" t="s">
        <v>2260</v>
      </c>
      <c r="F267" t="s">
        <v>2322</v>
      </c>
      <c r="G267" t="s">
        <v>122</v>
      </c>
      <c r="H267" t="s">
        <v>48</v>
      </c>
      <c r="I267" t="s">
        <v>49</v>
      </c>
      <c r="J267" t="s">
        <v>16</v>
      </c>
      <c r="K267" t="s">
        <v>50</v>
      </c>
    </row>
    <row r="268" spans="1:11" x14ac:dyDescent="0.35">
      <c r="A268" t="s">
        <v>656</v>
      </c>
      <c r="B268" t="s">
        <v>66</v>
      </c>
      <c r="C268" t="s">
        <v>2264</v>
      </c>
      <c r="D268">
        <v>4</v>
      </c>
      <c r="E268" t="s">
        <v>2546</v>
      </c>
      <c r="F268" t="s">
        <v>2351</v>
      </c>
      <c r="G268" t="s">
        <v>657</v>
      </c>
      <c r="H268" t="s">
        <v>154</v>
      </c>
      <c r="I268" t="s">
        <v>155</v>
      </c>
      <c r="J268" t="s">
        <v>16</v>
      </c>
    </row>
    <row r="269" spans="1:11" x14ac:dyDescent="0.35">
      <c r="A269" t="s">
        <v>658</v>
      </c>
      <c r="B269" t="s">
        <v>18</v>
      </c>
      <c r="C269" t="s">
        <v>2264</v>
      </c>
      <c r="D269">
        <v>4</v>
      </c>
      <c r="E269" t="s">
        <v>2355</v>
      </c>
      <c r="F269" t="s">
        <v>2257</v>
      </c>
      <c r="G269" t="s">
        <v>578</v>
      </c>
      <c r="H269" t="s">
        <v>14</v>
      </c>
      <c r="I269" t="s">
        <v>15</v>
      </c>
      <c r="J269" t="s">
        <v>16</v>
      </c>
      <c r="K269" t="s">
        <v>574</v>
      </c>
    </row>
    <row r="270" spans="1:11" x14ac:dyDescent="0.35">
      <c r="A270" t="s">
        <v>659</v>
      </c>
      <c r="B270" t="s">
        <v>12</v>
      </c>
      <c r="C270" t="s">
        <v>2268</v>
      </c>
      <c r="D270">
        <v>3</v>
      </c>
      <c r="E270" t="s">
        <v>2503</v>
      </c>
      <c r="F270" t="s">
        <v>2449</v>
      </c>
      <c r="G270" t="s">
        <v>283</v>
      </c>
      <c r="H270" t="s">
        <v>145</v>
      </c>
      <c r="I270" t="s">
        <v>146</v>
      </c>
      <c r="J270" t="s">
        <v>16</v>
      </c>
    </row>
    <row r="271" spans="1:11" x14ac:dyDescent="0.35">
      <c r="A271" t="s">
        <v>660</v>
      </c>
      <c r="B271" t="s">
        <v>66</v>
      </c>
      <c r="C271" t="s">
        <v>2268</v>
      </c>
      <c r="D271">
        <v>3</v>
      </c>
      <c r="E271" t="s">
        <v>2376</v>
      </c>
      <c r="F271" t="s">
        <v>2497</v>
      </c>
      <c r="G271" t="s">
        <v>661</v>
      </c>
      <c r="H271" t="s">
        <v>662</v>
      </c>
      <c r="I271" t="s">
        <v>663</v>
      </c>
      <c r="J271" t="s">
        <v>16</v>
      </c>
      <c r="K271" t="s">
        <v>257</v>
      </c>
    </row>
    <row r="272" spans="1:11" x14ac:dyDescent="0.35">
      <c r="A272" t="s">
        <v>664</v>
      </c>
      <c r="B272" t="s">
        <v>18</v>
      </c>
      <c r="C272" t="s">
        <v>2264</v>
      </c>
      <c r="D272">
        <v>8</v>
      </c>
      <c r="E272" t="s">
        <v>2547</v>
      </c>
      <c r="F272" t="s">
        <v>2548</v>
      </c>
      <c r="G272" t="s">
        <v>665</v>
      </c>
      <c r="H272" t="s">
        <v>666</v>
      </c>
      <c r="I272" t="s">
        <v>667</v>
      </c>
      <c r="J272" t="s">
        <v>16</v>
      </c>
      <c r="K272" t="s">
        <v>668</v>
      </c>
    </row>
    <row r="273" spans="1:11" x14ac:dyDescent="0.35">
      <c r="A273" t="s">
        <v>669</v>
      </c>
      <c r="B273" t="s">
        <v>66</v>
      </c>
      <c r="C273" t="s">
        <v>2268</v>
      </c>
      <c r="D273">
        <v>3</v>
      </c>
      <c r="E273" t="s">
        <v>2549</v>
      </c>
      <c r="F273" t="s">
        <v>2317</v>
      </c>
      <c r="G273" t="s">
        <v>670</v>
      </c>
      <c r="H273" t="s">
        <v>145</v>
      </c>
      <c r="I273" t="s">
        <v>146</v>
      </c>
      <c r="J273" t="s">
        <v>16</v>
      </c>
    </row>
    <row r="274" spans="1:11" x14ac:dyDescent="0.35">
      <c r="A274" t="s">
        <v>671</v>
      </c>
      <c r="B274" t="s">
        <v>12</v>
      </c>
      <c r="C274" t="s">
        <v>2268</v>
      </c>
      <c r="D274">
        <v>3</v>
      </c>
      <c r="E274" t="s">
        <v>2248</v>
      </c>
      <c r="F274" t="s">
        <v>2311</v>
      </c>
      <c r="G274" t="s">
        <v>13</v>
      </c>
      <c r="H274" t="s">
        <v>14</v>
      </c>
      <c r="I274" t="s">
        <v>15</v>
      </c>
      <c r="J274" t="s">
        <v>16</v>
      </c>
      <c r="K274" t="s">
        <v>50</v>
      </c>
    </row>
    <row r="275" spans="1:11" x14ac:dyDescent="0.35">
      <c r="A275" t="s">
        <v>672</v>
      </c>
      <c r="B275" t="s">
        <v>66</v>
      </c>
      <c r="C275" t="s">
        <v>2268</v>
      </c>
      <c r="D275">
        <v>3</v>
      </c>
      <c r="E275" t="s">
        <v>2342</v>
      </c>
      <c r="F275" t="s">
        <v>2343</v>
      </c>
      <c r="G275" t="s">
        <v>599</v>
      </c>
      <c r="H275" t="s">
        <v>195</v>
      </c>
      <c r="I275" t="s">
        <v>196</v>
      </c>
      <c r="J275" t="s">
        <v>16</v>
      </c>
      <c r="K275" t="s">
        <v>50</v>
      </c>
    </row>
    <row r="276" spans="1:11" x14ac:dyDescent="0.35">
      <c r="A276" t="s">
        <v>673</v>
      </c>
      <c r="B276" t="s">
        <v>18</v>
      </c>
      <c r="C276" t="s">
        <v>2247</v>
      </c>
      <c r="D276">
        <v>4</v>
      </c>
      <c r="E276" t="s">
        <v>2406</v>
      </c>
      <c r="F276" t="s">
        <v>2257</v>
      </c>
      <c r="G276" t="s">
        <v>674</v>
      </c>
      <c r="H276" t="s">
        <v>675</v>
      </c>
      <c r="I276" t="s">
        <v>676</v>
      </c>
      <c r="J276" t="s">
        <v>16</v>
      </c>
      <c r="K276" t="s">
        <v>230</v>
      </c>
    </row>
    <row r="277" spans="1:11" x14ac:dyDescent="0.35">
      <c r="A277" t="s">
        <v>677</v>
      </c>
      <c r="B277" t="s">
        <v>18</v>
      </c>
      <c r="C277" t="s">
        <v>2268</v>
      </c>
      <c r="D277">
        <v>5</v>
      </c>
      <c r="E277" t="s">
        <v>2406</v>
      </c>
      <c r="F277" t="s">
        <v>2550</v>
      </c>
      <c r="G277" t="s">
        <v>678</v>
      </c>
      <c r="H277" t="s">
        <v>233</v>
      </c>
      <c r="I277" t="s">
        <v>234</v>
      </c>
      <c r="J277" t="s">
        <v>16</v>
      </c>
    </row>
    <row r="278" spans="1:11" x14ac:dyDescent="0.35">
      <c r="A278" t="s">
        <v>679</v>
      </c>
      <c r="B278" t="s">
        <v>2271</v>
      </c>
      <c r="E278" t="s">
        <v>2302</v>
      </c>
      <c r="F278" t="s">
        <v>2551</v>
      </c>
      <c r="G278" t="s">
        <v>680</v>
      </c>
      <c r="H278" t="s">
        <v>118</v>
      </c>
      <c r="I278" t="s">
        <v>119</v>
      </c>
      <c r="J278" t="s">
        <v>16</v>
      </c>
    </row>
    <row r="279" spans="1:11" x14ac:dyDescent="0.35">
      <c r="A279" t="s">
        <v>681</v>
      </c>
      <c r="B279" t="s">
        <v>2271</v>
      </c>
      <c r="E279" t="s">
        <v>2552</v>
      </c>
      <c r="F279" t="s">
        <v>2553</v>
      </c>
      <c r="G279" t="s">
        <v>682</v>
      </c>
      <c r="H279" t="s">
        <v>16</v>
      </c>
      <c r="I279" t="s">
        <v>224</v>
      </c>
    </row>
    <row r="280" spans="1:11" x14ac:dyDescent="0.35">
      <c r="A280" t="s">
        <v>683</v>
      </c>
      <c r="B280" t="s">
        <v>66</v>
      </c>
      <c r="C280" t="s">
        <v>2268</v>
      </c>
      <c r="D280">
        <v>3</v>
      </c>
      <c r="E280" t="s">
        <v>2440</v>
      </c>
      <c r="F280" t="s">
        <v>2353</v>
      </c>
      <c r="G280" t="s">
        <v>580</v>
      </c>
      <c r="H280" t="s">
        <v>373</v>
      </c>
      <c r="I280" t="s">
        <v>374</v>
      </c>
      <c r="J280" t="s">
        <v>16</v>
      </c>
    </row>
    <row r="281" spans="1:11" x14ac:dyDescent="0.35">
      <c r="A281" t="s">
        <v>684</v>
      </c>
      <c r="B281" t="s">
        <v>2271</v>
      </c>
      <c r="E281" t="s">
        <v>2554</v>
      </c>
      <c r="F281" t="s">
        <v>2555</v>
      </c>
      <c r="G281" t="s">
        <v>685</v>
      </c>
      <c r="H281" t="s">
        <v>686</v>
      </c>
      <c r="I281" t="s">
        <v>687</v>
      </c>
      <c r="J281" t="s">
        <v>16</v>
      </c>
      <c r="K281" t="s">
        <v>688</v>
      </c>
    </row>
    <row r="282" spans="1:11" x14ac:dyDescent="0.35">
      <c r="A282" t="s">
        <v>689</v>
      </c>
      <c r="B282" t="s">
        <v>66</v>
      </c>
      <c r="C282" t="s">
        <v>2247</v>
      </c>
      <c r="D282">
        <v>3</v>
      </c>
      <c r="E282" t="s">
        <v>2439</v>
      </c>
      <c r="F282" t="s">
        <v>2286</v>
      </c>
      <c r="G282" t="s">
        <v>690</v>
      </c>
      <c r="H282" t="s">
        <v>382</v>
      </c>
      <c r="I282" t="s">
        <v>383</v>
      </c>
      <c r="J282" t="s">
        <v>16</v>
      </c>
    </row>
    <row r="283" spans="1:11" x14ac:dyDescent="0.35">
      <c r="A283" t="s">
        <v>691</v>
      </c>
      <c r="B283" t="s">
        <v>66</v>
      </c>
      <c r="C283" t="s">
        <v>2268</v>
      </c>
      <c r="D283">
        <v>3</v>
      </c>
      <c r="E283" t="s">
        <v>2277</v>
      </c>
      <c r="F283" t="s">
        <v>2278</v>
      </c>
      <c r="G283" t="s">
        <v>692</v>
      </c>
      <c r="H283" t="s">
        <v>68</v>
      </c>
      <c r="I283" t="s">
        <v>69</v>
      </c>
      <c r="J283" t="s">
        <v>16</v>
      </c>
      <c r="K283" t="s">
        <v>70</v>
      </c>
    </row>
    <row r="284" spans="1:11" x14ac:dyDescent="0.35">
      <c r="A284" t="s">
        <v>693</v>
      </c>
      <c r="B284" t="s">
        <v>2271</v>
      </c>
      <c r="E284" t="s">
        <v>2279</v>
      </c>
      <c r="F284" t="s">
        <v>2556</v>
      </c>
      <c r="G284" t="s">
        <v>694</v>
      </c>
      <c r="H284" t="s">
        <v>695</v>
      </c>
      <c r="I284" t="s">
        <v>696</v>
      </c>
      <c r="J284" t="s">
        <v>16</v>
      </c>
    </row>
    <row r="285" spans="1:11" x14ac:dyDescent="0.35">
      <c r="A285" t="s">
        <v>697</v>
      </c>
      <c r="B285" t="s">
        <v>66</v>
      </c>
      <c r="C285" t="s">
        <v>2268</v>
      </c>
      <c r="D285">
        <v>4</v>
      </c>
      <c r="E285" t="s">
        <v>2557</v>
      </c>
      <c r="F285" t="s">
        <v>2414</v>
      </c>
      <c r="G285" t="s">
        <v>698</v>
      </c>
      <c r="H285" t="s">
        <v>145</v>
      </c>
      <c r="I285" t="s">
        <v>146</v>
      </c>
      <c r="J285" t="s">
        <v>16</v>
      </c>
      <c r="K285" t="s">
        <v>699</v>
      </c>
    </row>
    <row r="286" spans="1:11" x14ac:dyDescent="0.35">
      <c r="A286" t="s">
        <v>700</v>
      </c>
      <c r="B286" t="s">
        <v>66</v>
      </c>
      <c r="C286" t="s">
        <v>2268</v>
      </c>
      <c r="D286">
        <v>3</v>
      </c>
      <c r="E286" t="s">
        <v>2380</v>
      </c>
      <c r="F286" t="s">
        <v>2313</v>
      </c>
      <c r="G286" t="s">
        <v>138</v>
      </c>
      <c r="H286" t="s">
        <v>14</v>
      </c>
      <c r="I286" t="s">
        <v>15</v>
      </c>
      <c r="J286" t="s">
        <v>16</v>
      </c>
      <c r="K286" t="s">
        <v>50</v>
      </c>
    </row>
    <row r="287" spans="1:11" x14ac:dyDescent="0.35">
      <c r="A287" t="s">
        <v>701</v>
      </c>
      <c r="B287" t="s">
        <v>2271</v>
      </c>
      <c r="E287" t="s">
        <v>2558</v>
      </c>
      <c r="F287" t="s">
        <v>2270</v>
      </c>
      <c r="G287" t="s">
        <v>702</v>
      </c>
      <c r="H287" t="s">
        <v>125</v>
      </c>
      <c r="I287" t="s">
        <v>126</v>
      </c>
      <c r="J287" t="s">
        <v>16</v>
      </c>
    </row>
    <row r="288" spans="1:11" x14ac:dyDescent="0.35">
      <c r="A288" t="s">
        <v>703</v>
      </c>
      <c r="B288" t="s">
        <v>18</v>
      </c>
      <c r="C288" t="s">
        <v>2250</v>
      </c>
      <c r="D288">
        <v>5</v>
      </c>
      <c r="E288" t="s">
        <v>2399</v>
      </c>
      <c r="F288" t="s">
        <v>2270</v>
      </c>
      <c r="G288" t="s">
        <v>704</v>
      </c>
      <c r="H288" t="s">
        <v>58</v>
      </c>
      <c r="I288" t="s">
        <v>59</v>
      </c>
      <c r="J288" t="s">
        <v>16</v>
      </c>
      <c r="K288" t="s">
        <v>705</v>
      </c>
    </row>
    <row r="289" spans="1:11" x14ac:dyDescent="0.35">
      <c r="A289" t="s">
        <v>706</v>
      </c>
      <c r="B289" t="s">
        <v>12</v>
      </c>
      <c r="C289" t="s">
        <v>2264</v>
      </c>
      <c r="D289">
        <v>4</v>
      </c>
      <c r="E289" t="s">
        <v>2462</v>
      </c>
      <c r="F289" t="s">
        <v>2559</v>
      </c>
      <c r="G289" t="s">
        <v>707</v>
      </c>
      <c r="H289" t="s">
        <v>387</v>
      </c>
      <c r="I289" t="s">
        <v>388</v>
      </c>
      <c r="J289" t="s">
        <v>16</v>
      </c>
      <c r="K289" t="s">
        <v>440</v>
      </c>
    </row>
    <row r="290" spans="1:11" x14ac:dyDescent="0.35">
      <c r="A290" t="s">
        <v>708</v>
      </c>
      <c r="B290" t="s">
        <v>12</v>
      </c>
      <c r="C290" t="s">
        <v>2268</v>
      </c>
      <c r="D290">
        <v>3</v>
      </c>
      <c r="E290" t="s">
        <v>2260</v>
      </c>
      <c r="F290" t="s">
        <v>2322</v>
      </c>
      <c r="G290" t="s">
        <v>280</v>
      </c>
      <c r="H290" t="s">
        <v>48</v>
      </c>
      <c r="I290" t="s">
        <v>49</v>
      </c>
      <c r="J290" t="s">
        <v>16</v>
      </c>
      <c r="K290" t="s">
        <v>50</v>
      </c>
    </row>
    <row r="291" spans="1:11" x14ac:dyDescent="0.35">
      <c r="A291" t="s">
        <v>709</v>
      </c>
      <c r="B291" t="s">
        <v>12</v>
      </c>
      <c r="C291" t="s">
        <v>2268</v>
      </c>
      <c r="D291">
        <v>3</v>
      </c>
      <c r="E291" t="s">
        <v>2260</v>
      </c>
      <c r="F291" t="s">
        <v>2322</v>
      </c>
      <c r="G291" t="s">
        <v>710</v>
      </c>
      <c r="H291" t="s">
        <v>48</v>
      </c>
      <c r="I291" t="s">
        <v>49</v>
      </c>
      <c r="J291" t="s">
        <v>16</v>
      </c>
      <c r="K291" t="s">
        <v>50</v>
      </c>
    </row>
    <row r="292" spans="1:11" x14ac:dyDescent="0.35">
      <c r="A292" t="s">
        <v>711</v>
      </c>
      <c r="B292" t="s">
        <v>66</v>
      </c>
      <c r="C292" t="s">
        <v>2268</v>
      </c>
      <c r="D292">
        <v>3</v>
      </c>
      <c r="E292" t="s">
        <v>2560</v>
      </c>
      <c r="F292" t="s">
        <v>2280</v>
      </c>
      <c r="G292" t="s">
        <v>712</v>
      </c>
      <c r="H292" t="s">
        <v>125</v>
      </c>
      <c r="I292" t="s">
        <v>126</v>
      </c>
      <c r="J292" t="s">
        <v>16</v>
      </c>
      <c r="K292" t="s">
        <v>407</v>
      </c>
    </row>
    <row r="293" spans="1:11" x14ac:dyDescent="0.35">
      <c r="A293" t="s">
        <v>713</v>
      </c>
      <c r="B293" t="s">
        <v>12</v>
      </c>
      <c r="C293" t="s">
        <v>2268</v>
      </c>
      <c r="D293">
        <v>3</v>
      </c>
      <c r="E293" t="s">
        <v>2312</v>
      </c>
      <c r="F293" t="s">
        <v>2317</v>
      </c>
      <c r="G293" t="s">
        <v>76</v>
      </c>
      <c r="H293" t="s">
        <v>28</v>
      </c>
      <c r="I293" t="s">
        <v>29</v>
      </c>
      <c r="J293" t="s">
        <v>16</v>
      </c>
      <c r="K293" t="s">
        <v>407</v>
      </c>
    </row>
    <row r="294" spans="1:11" x14ac:dyDescent="0.35">
      <c r="A294" t="s">
        <v>714</v>
      </c>
      <c r="B294" t="s">
        <v>18</v>
      </c>
      <c r="C294" t="s">
        <v>2264</v>
      </c>
      <c r="D294">
        <v>4</v>
      </c>
      <c r="E294" t="s">
        <v>2547</v>
      </c>
      <c r="F294" t="s">
        <v>2321</v>
      </c>
      <c r="G294" t="s">
        <v>715</v>
      </c>
      <c r="H294" t="s">
        <v>716</v>
      </c>
      <c r="I294" t="s">
        <v>717</v>
      </c>
      <c r="J294" t="s">
        <v>16</v>
      </c>
    </row>
    <row r="295" spans="1:11" x14ac:dyDescent="0.35">
      <c r="A295" t="s">
        <v>718</v>
      </c>
      <c r="B295" t="s">
        <v>12</v>
      </c>
      <c r="C295" t="s">
        <v>2268</v>
      </c>
      <c r="D295">
        <v>3</v>
      </c>
      <c r="E295" t="s">
        <v>2561</v>
      </c>
      <c r="F295" t="s">
        <v>2562</v>
      </c>
      <c r="G295" t="s">
        <v>719</v>
      </c>
      <c r="H295" t="s">
        <v>586</v>
      </c>
      <c r="I295" t="s">
        <v>587</v>
      </c>
      <c r="J295" t="s">
        <v>16</v>
      </c>
    </row>
    <row r="296" spans="1:11" x14ac:dyDescent="0.35">
      <c r="A296" t="s">
        <v>720</v>
      </c>
      <c r="B296" t="s">
        <v>18</v>
      </c>
      <c r="C296" t="s">
        <v>2247</v>
      </c>
      <c r="D296">
        <v>5</v>
      </c>
      <c r="E296" t="s">
        <v>2563</v>
      </c>
      <c r="F296" t="s">
        <v>2564</v>
      </c>
      <c r="G296" t="s">
        <v>721</v>
      </c>
      <c r="H296" t="s">
        <v>387</v>
      </c>
      <c r="I296" t="s">
        <v>388</v>
      </c>
      <c r="J296" t="s">
        <v>16</v>
      </c>
      <c r="K296" t="s">
        <v>2565</v>
      </c>
    </row>
    <row r="297" spans="1:11" x14ac:dyDescent="0.35">
      <c r="A297" t="s">
        <v>722</v>
      </c>
      <c r="B297" t="s">
        <v>66</v>
      </c>
      <c r="C297" t="s">
        <v>2264</v>
      </c>
      <c r="D297">
        <v>3</v>
      </c>
      <c r="E297" t="s">
        <v>2402</v>
      </c>
      <c r="F297" t="s">
        <v>2343</v>
      </c>
      <c r="G297" t="s">
        <v>723</v>
      </c>
      <c r="H297" t="s">
        <v>154</v>
      </c>
      <c r="I297" t="s">
        <v>155</v>
      </c>
      <c r="J297" t="s">
        <v>16</v>
      </c>
      <c r="K297" t="s">
        <v>464</v>
      </c>
    </row>
    <row r="298" spans="1:11" x14ac:dyDescent="0.35">
      <c r="A298" t="s">
        <v>724</v>
      </c>
      <c r="B298" t="s">
        <v>18</v>
      </c>
      <c r="C298" t="s">
        <v>2264</v>
      </c>
      <c r="D298">
        <v>4</v>
      </c>
      <c r="E298" t="s">
        <v>2279</v>
      </c>
      <c r="F298" t="s">
        <v>2326</v>
      </c>
      <c r="G298" t="s">
        <v>725</v>
      </c>
      <c r="H298" t="s">
        <v>726</v>
      </c>
      <c r="I298" t="s">
        <v>727</v>
      </c>
      <c r="J298" t="s">
        <v>16</v>
      </c>
      <c r="K298" t="s">
        <v>728</v>
      </c>
    </row>
    <row r="299" spans="1:11" x14ac:dyDescent="0.35">
      <c r="A299" t="s">
        <v>729</v>
      </c>
      <c r="B299" t="s">
        <v>12</v>
      </c>
      <c r="C299" t="s">
        <v>2264</v>
      </c>
      <c r="D299">
        <v>3</v>
      </c>
      <c r="E299" t="s">
        <v>2566</v>
      </c>
      <c r="F299" t="s">
        <v>2387</v>
      </c>
      <c r="G299" t="s">
        <v>317</v>
      </c>
      <c r="H299" t="s">
        <v>14</v>
      </c>
      <c r="I299" t="s">
        <v>15</v>
      </c>
      <c r="J299" t="s">
        <v>16</v>
      </c>
      <c r="K299" t="s">
        <v>730</v>
      </c>
    </row>
    <row r="300" spans="1:11" x14ac:dyDescent="0.35">
      <c r="A300" t="s">
        <v>731</v>
      </c>
      <c r="B300" t="s">
        <v>12</v>
      </c>
      <c r="C300" t="s">
        <v>2264</v>
      </c>
      <c r="D300">
        <v>3</v>
      </c>
      <c r="E300" t="s">
        <v>2391</v>
      </c>
      <c r="F300" t="s">
        <v>2335</v>
      </c>
      <c r="G300" t="s">
        <v>576</v>
      </c>
      <c r="H300" t="s">
        <v>373</v>
      </c>
      <c r="I300" t="s">
        <v>374</v>
      </c>
      <c r="J300" t="s">
        <v>16</v>
      </c>
      <c r="K300" t="s">
        <v>730</v>
      </c>
    </row>
    <row r="301" spans="1:11" x14ac:dyDescent="0.35">
      <c r="A301" t="s">
        <v>732</v>
      </c>
      <c r="B301" t="s">
        <v>18</v>
      </c>
      <c r="C301" t="s">
        <v>2359</v>
      </c>
      <c r="D301">
        <v>6</v>
      </c>
      <c r="E301" t="s">
        <v>2567</v>
      </c>
      <c r="F301" t="s">
        <v>2568</v>
      </c>
      <c r="G301" t="s">
        <v>733</v>
      </c>
      <c r="H301" t="s">
        <v>734</v>
      </c>
      <c r="I301" t="s">
        <v>735</v>
      </c>
      <c r="J301" t="s">
        <v>16</v>
      </c>
      <c r="K301" t="s">
        <v>736</v>
      </c>
    </row>
    <row r="302" spans="1:11" x14ac:dyDescent="0.35">
      <c r="A302" t="s">
        <v>737</v>
      </c>
      <c r="B302" t="s">
        <v>66</v>
      </c>
      <c r="C302" t="s">
        <v>2268</v>
      </c>
      <c r="D302">
        <v>3</v>
      </c>
      <c r="E302" t="s">
        <v>2352</v>
      </c>
      <c r="F302" t="s">
        <v>2387</v>
      </c>
      <c r="G302" t="s">
        <v>634</v>
      </c>
      <c r="H302" t="s">
        <v>218</v>
      </c>
      <c r="I302" t="s">
        <v>219</v>
      </c>
      <c r="J302" t="s">
        <v>16</v>
      </c>
    </row>
    <row r="303" spans="1:11" x14ac:dyDescent="0.35">
      <c r="A303" t="s">
        <v>738</v>
      </c>
      <c r="B303" t="s">
        <v>66</v>
      </c>
      <c r="C303" t="s">
        <v>2264</v>
      </c>
      <c r="D303">
        <v>4</v>
      </c>
      <c r="E303" t="s">
        <v>2569</v>
      </c>
      <c r="F303" t="s">
        <v>2266</v>
      </c>
      <c r="G303" t="s">
        <v>547</v>
      </c>
      <c r="H303" t="s">
        <v>173</v>
      </c>
      <c r="I303" t="s">
        <v>174</v>
      </c>
      <c r="J303" t="s">
        <v>16</v>
      </c>
    </row>
    <row r="304" spans="1:11" x14ac:dyDescent="0.35">
      <c r="A304" t="s">
        <v>739</v>
      </c>
      <c r="B304" t="s">
        <v>66</v>
      </c>
      <c r="C304" t="s">
        <v>2268</v>
      </c>
      <c r="D304">
        <v>3</v>
      </c>
      <c r="E304" t="s">
        <v>2570</v>
      </c>
      <c r="F304" t="s">
        <v>2571</v>
      </c>
      <c r="G304" t="s">
        <v>236</v>
      </c>
      <c r="H304" t="s">
        <v>145</v>
      </c>
      <c r="I304" t="s">
        <v>146</v>
      </c>
      <c r="J304" t="s">
        <v>16</v>
      </c>
    </row>
    <row r="305" spans="1:11" x14ac:dyDescent="0.35">
      <c r="A305" t="s">
        <v>740</v>
      </c>
      <c r="B305" t="s">
        <v>12</v>
      </c>
      <c r="C305" t="s">
        <v>2250</v>
      </c>
      <c r="D305">
        <v>3</v>
      </c>
      <c r="E305" t="s">
        <v>2296</v>
      </c>
      <c r="F305" t="s">
        <v>2572</v>
      </c>
      <c r="G305" t="s">
        <v>741</v>
      </c>
      <c r="H305" t="s">
        <v>14</v>
      </c>
      <c r="I305" t="s">
        <v>15</v>
      </c>
      <c r="J305" t="s">
        <v>16</v>
      </c>
    </row>
    <row r="306" spans="1:11" x14ac:dyDescent="0.35">
      <c r="A306" t="s">
        <v>742</v>
      </c>
      <c r="B306" t="s">
        <v>12</v>
      </c>
      <c r="C306" t="s">
        <v>2250</v>
      </c>
      <c r="D306">
        <v>3</v>
      </c>
      <c r="E306" t="s">
        <v>2573</v>
      </c>
      <c r="F306" t="s">
        <v>2305</v>
      </c>
      <c r="G306" t="s">
        <v>317</v>
      </c>
      <c r="H306" t="s">
        <v>14</v>
      </c>
      <c r="I306" t="s">
        <v>15</v>
      </c>
      <c r="J306" t="s">
        <v>16</v>
      </c>
      <c r="K306" t="s">
        <v>454</v>
      </c>
    </row>
    <row r="307" spans="1:11" x14ac:dyDescent="0.35">
      <c r="A307" t="s">
        <v>743</v>
      </c>
      <c r="B307" t="s">
        <v>18</v>
      </c>
      <c r="C307" t="s">
        <v>2297</v>
      </c>
      <c r="D307">
        <v>4</v>
      </c>
      <c r="E307" t="s">
        <v>2574</v>
      </c>
      <c r="F307" t="s">
        <v>2420</v>
      </c>
      <c r="G307" t="s">
        <v>578</v>
      </c>
      <c r="H307" t="s">
        <v>14</v>
      </c>
      <c r="I307" t="s">
        <v>15</v>
      </c>
      <c r="J307" t="s">
        <v>16</v>
      </c>
      <c r="K307" t="s">
        <v>454</v>
      </c>
    </row>
    <row r="308" spans="1:11" x14ac:dyDescent="0.35">
      <c r="A308" t="s">
        <v>744</v>
      </c>
      <c r="B308" t="s">
        <v>18</v>
      </c>
      <c r="C308" t="s">
        <v>2268</v>
      </c>
      <c r="D308">
        <v>5</v>
      </c>
      <c r="E308" t="s">
        <v>2575</v>
      </c>
      <c r="F308" t="s">
        <v>2418</v>
      </c>
      <c r="G308" t="s">
        <v>2576</v>
      </c>
      <c r="H308" t="s">
        <v>745</v>
      </c>
      <c r="I308" t="s">
        <v>746</v>
      </c>
      <c r="J308" t="s">
        <v>16</v>
      </c>
      <c r="K308" t="s">
        <v>747</v>
      </c>
    </row>
    <row r="309" spans="1:11" x14ac:dyDescent="0.35">
      <c r="A309" t="s">
        <v>748</v>
      </c>
      <c r="B309" t="s">
        <v>66</v>
      </c>
      <c r="C309" t="s">
        <v>2268</v>
      </c>
      <c r="D309">
        <v>3</v>
      </c>
      <c r="E309" t="s">
        <v>2383</v>
      </c>
      <c r="F309" t="s">
        <v>2392</v>
      </c>
      <c r="G309" t="s">
        <v>749</v>
      </c>
      <c r="H309" t="s">
        <v>186</v>
      </c>
      <c r="I309" t="s">
        <v>187</v>
      </c>
      <c r="J309" t="s">
        <v>16</v>
      </c>
      <c r="K309" t="s">
        <v>50</v>
      </c>
    </row>
    <row r="310" spans="1:11" x14ac:dyDescent="0.35">
      <c r="A310" t="s">
        <v>750</v>
      </c>
      <c r="B310" t="s">
        <v>18</v>
      </c>
      <c r="C310" t="s">
        <v>2577</v>
      </c>
      <c r="D310">
        <v>3</v>
      </c>
      <c r="E310" t="s">
        <v>2578</v>
      </c>
      <c r="F310" t="s">
        <v>2382</v>
      </c>
      <c r="G310" t="s">
        <v>751</v>
      </c>
      <c r="H310" t="s">
        <v>58</v>
      </c>
      <c r="I310" t="s">
        <v>59</v>
      </c>
      <c r="J310" t="s">
        <v>16</v>
      </c>
      <c r="K310" t="s">
        <v>705</v>
      </c>
    </row>
    <row r="311" spans="1:11" x14ac:dyDescent="0.35">
      <c r="A311" t="s">
        <v>752</v>
      </c>
      <c r="B311" t="s">
        <v>66</v>
      </c>
      <c r="C311" t="s">
        <v>2268</v>
      </c>
      <c r="D311">
        <v>3</v>
      </c>
      <c r="E311" t="s">
        <v>2477</v>
      </c>
      <c r="F311" t="s">
        <v>2579</v>
      </c>
      <c r="G311" t="s">
        <v>547</v>
      </c>
      <c r="H311" t="s">
        <v>173</v>
      </c>
      <c r="I311" t="s">
        <v>174</v>
      </c>
      <c r="J311" t="s">
        <v>16</v>
      </c>
      <c r="K311" t="s">
        <v>496</v>
      </c>
    </row>
    <row r="312" spans="1:11" x14ac:dyDescent="0.35">
      <c r="A312" t="s">
        <v>753</v>
      </c>
      <c r="B312" t="s">
        <v>12</v>
      </c>
      <c r="C312" t="s">
        <v>2268</v>
      </c>
      <c r="D312">
        <v>4</v>
      </c>
      <c r="E312" t="s">
        <v>2519</v>
      </c>
      <c r="F312" t="s">
        <v>2455</v>
      </c>
      <c r="G312" t="s">
        <v>754</v>
      </c>
      <c r="H312" t="s">
        <v>382</v>
      </c>
      <c r="I312" t="s">
        <v>383</v>
      </c>
      <c r="J312" t="s">
        <v>16</v>
      </c>
      <c r="K312" t="s">
        <v>407</v>
      </c>
    </row>
    <row r="313" spans="1:11" x14ac:dyDescent="0.35">
      <c r="A313" t="s">
        <v>755</v>
      </c>
      <c r="B313" t="s">
        <v>66</v>
      </c>
      <c r="C313" t="s">
        <v>2264</v>
      </c>
      <c r="D313">
        <v>3</v>
      </c>
      <c r="E313" t="s">
        <v>2279</v>
      </c>
      <c r="F313" t="s">
        <v>2523</v>
      </c>
      <c r="G313" t="s">
        <v>756</v>
      </c>
      <c r="H313" t="s">
        <v>14</v>
      </c>
      <c r="I313" t="s">
        <v>15</v>
      </c>
      <c r="J313" t="s">
        <v>16</v>
      </c>
      <c r="K313" t="s">
        <v>509</v>
      </c>
    </row>
    <row r="314" spans="1:11" x14ac:dyDescent="0.35">
      <c r="A314" t="s">
        <v>757</v>
      </c>
      <c r="B314" t="s">
        <v>66</v>
      </c>
      <c r="C314" t="s">
        <v>2268</v>
      </c>
      <c r="D314">
        <v>4</v>
      </c>
      <c r="E314" t="s">
        <v>2279</v>
      </c>
      <c r="F314" t="s">
        <v>2523</v>
      </c>
      <c r="G314" t="s">
        <v>756</v>
      </c>
      <c r="H314" t="s">
        <v>14</v>
      </c>
      <c r="I314" t="s">
        <v>15</v>
      </c>
      <c r="J314" t="s">
        <v>16</v>
      </c>
      <c r="K314" t="s">
        <v>509</v>
      </c>
    </row>
    <row r="315" spans="1:11" x14ac:dyDescent="0.35">
      <c r="A315" t="s">
        <v>758</v>
      </c>
      <c r="B315" t="s">
        <v>66</v>
      </c>
      <c r="C315" t="s">
        <v>2268</v>
      </c>
      <c r="D315">
        <v>2</v>
      </c>
      <c r="E315" t="s">
        <v>2380</v>
      </c>
      <c r="F315" t="s">
        <v>2449</v>
      </c>
      <c r="G315" t="s">
        <v>236</v>
      </c>
      <c r="H315" t="s">
        <v>145</v>
      </c>
      <c r="I315" t="s">
        <v>146</v>
      </c>
      <c r="J315" t="s">
        <v>16</v>
      </c>
      <c r="K315" t="s">
        <v>759</v>
      </c>
    </row>
    <row r="316" spans="1:11" x14ac:dyDescent="0.35">
      <c r="A316" t="s">
        <v>760</v>
      </c>
      <c r="B316" t="s">
        <v>18</v>
      </c>
      <c r="C316" t="s">
        <v>2491</v>
      </c>
      <c r="D316">
        <v>6</v>
      </c>
      <c r="E316" t="s">
        <v>2580</v>
      </c>
      <c r="F316" t="s">
        <v>2527</v>
      </c>
      <c r="G316" t="s">
        <v>761</v>
      </c>
      <c r="H316" t="s">
        <v>35</v>
      </c>
      <c r="I316" t="s">
        <v>36</v>
      </c>
      <c r="J316" t="s">
        <v>16</v>
      </c>
      <c r="K316" t="s">
        <v>512</v>
      </c>
    </row>
    <row r="317" spans="1:11" x14ac:dyDescent="0.35">
      <c r="A317" t="s">
        <v>762</v>
      </c>
      <c r="B317" t="s">
        <v>66</v>
      </c>
      <c r="C317" t="s">
        <v>2268</v>
      </c>
      <c r="D317">
        <v>3</v>
      </c>
      <c r="E317" t="s">
        <v>2581</v>
      </c>
      <c r="F317" t="s">
        <v>2500</v>
      </c>
      <c r="G317" t="s">
        <v>763</v>
      </c>
      <c r="H317" t="s">
        <v>405</v>
      </c>
      <c r="I317" t="s">
        <v>406</v>
      </c>
      <c r="J317" t="s">
        <v>16</v>
      </c>
      <c r="K317" t="s">
        <v>764</v>
      </c>
    </row>
    <row r="318" spans="1:11" x14ac:dyDescent="0.35">
      <c r="A318" t="s">
        <v>765</v>
      </c>
      <c r="B318" t="s">
        <v>12</v>
      </c>
      <c r="C318" t="s">
        <v>2264</v>
      </c>
      <c r="D318">
        <v>5</v>
      </c>
      <c r="E318" t="s">
        <v>2582</v>
      </c>
      <c r="F318" t="s">
        <v>2326</v>
      </c>
      <c r="G318" t="s">
        <v>766</v>
      </c>
      <c r="H318" t="s">
        <v>28</v>
      </c>
      <c r="I318" t="s">
        <v>29</v>
      </c>
      <c r="J318" t="s">
        <v>16</v>
      </c>
      <c r="K318" t="s">
        <v>407</v>
      </c>
    </row>
    <row r="319" spans="1:11" x14ac:dyDescent="0.35">
      <c r="A319" t="s">
        <v>767</v>
      </c>
      <c r="B319" t="s">
        <v>18</v>
      </c>
      <c r="C319" t="s">
        <v>2359</v>
      </c>
      <c r="D319">
        <v>7</v>
      </c>
      <c r="E319" t="s">
        <v>2300</v>
      </c>
      <c r="F319" t="s">
        <v>2255</v>
      </c>
      <c r="G319" t="s">
        <v>768</v>
      </c>
      <c r="H319" t="s">
        <v>125</v>
      </c>
      <c r="I319" t="s">
        <v>126</v>
      </c>
      <c r="J319" t="s">
        <v>16</v>
      </c>
      <c r="K319" t="s">
        <v>769</v>
      </c>
    </row>
    <row r="320" spans="1:11" x14ac:dyDescent="0.35">
      <c r="A320" t="s">
        <v>770</v>
      </c>
      <c r="B320" t="s">
        <v>12</v>
      </c>
      <c r="C320" t="s">
        <v>2264</v>
      </c>
      <c r="D320">
        <v>3</v>
      </c>
      <c r="E320" t="s">
        <v>2352</v>
      </c>
      <c r="F320" t="s">
        <v>2392</v>
      </c>
      <c r="G320" t="s">
        <v>771</v>
      </c>
      <c r="H320" t="s">
        <v>772</v>
      </c>
      <c r="I320" t="s">
        <v>773</v>
      </c>
      <c r="J320" t="s">
        <v>16</v>
      </c>
    </row>
    <row r="321" spans="1:11" x14ac:dyDescent="0.35">
      <c r="A321" t="s">
        <v>774</v>
      </c>
      <c r="B321" t="s">
        <v>12</v>
      </c>
      <c r="C321" t="s">
        <v>2268</v>
      </c>
      <c r="D321">
        <v>3</v>
      </c>
      <c r="E321" t="s">
        <v>2583</v>
      </c>
      <c r="F321" t="s">
        <v>2497</v>
      </c>
      <c r="G321" t="s">
        <v>775</v>
      </c>
      <c r="H321" t="s">
        <v>154</v>
      </c>
      <c r="I321" t="s">
        <v>155</v>
      </c>
      <c r="J321" t="s">
        <v>16</v>
      </c>
      <c r="K321" t="s">
        <v>50</v>
      </c>
    </row>
    <row r="322" spans="1:11" x14ac:dyDescent="0.35">
      <c r="A322" t="s">
        <v>776</v>
      </c>
      <c r="B322" t="s">
        <v>18</v>
      </c>
      <c r="C322" t="s">
        <v>2268</v>
      </c>
      <c r="D322">
        <v>2</v>
      </c>
      <c r="E322" t="s">
        <v>2511</v>
      </c>
      <c r="F322" t="s">
        <v>2584</v>
      </c>
      <c r="G322" t="s">
        <v>777</v>
      </c>
      <c r="H322" t="s">
        <v>169</v>
      </c>
      <c r="I322" t="s">
        <v>170</v>
      </c>
      <c r="J322" t="s">
        <v>16</v>
      </c>
      <c r="K322" t="s">
        <v>230</v>
      </c>
    </row>
    <row r="323" spans="1:11" x14ac:dyDescent="0.35">
      <c r="A323" t="s">
        <v>778</v>
      </c>
      <c r="B323" t="s">
        <v>66</v>
      </c>
      <c r="C323" t="s">
        <v>2268</v>
      </c>
      <c r="D323">
        <v>3</v>
      </c>
      <c r="E323" t="s">
        <v>2525</v>
      </c>
      <c r="F323" t="s">
        <v>2392</v>
      </c>
      <c r="G323" t="s">
        <v>779</v>
      </c>
      <c r="H323" t="s">
        <v>154</v>
      </c>
      <c r="I323" t="s">
        <v>155</v>
      </c>
      <c r="J323" t="s">
        <v>16</v>
      </c>
      <c r="K323" t="s">
        <v>50</v>
      </c>
    </row>
    <row r="324" spans="1:11" x14ac:dyDescent="0.35">
      <c r="A324" t="s">
        <v>780</v>
      </c>
      <c r="B324" t="s">
        <v>18</v>
      </c>
      <c r="C324" t="s">
        <v>2247</v>
      </c>
      <c r="D324">
        <v>4</v>
      </c>
      <c r="E324" t="s">
        <v>2585</v>
      </c>
      <c r="F324" t="s">
        <v>2418</v>
      </c>
      <c r="G324" t="s">
        <v>781</v>
      </c>
      <c r="H324" t="s">
        <v>169</v>
      </c>
      <c r="I324" t="s">
        <v>170</v>
      </c>
      <c r="J324" t="s">
        <v>16</v>
      </c>
      <c r="K324" t="s">
        <v>230</v>
      </c>
    </row>
    <row r="325" spans="1:11" x14ac:dyDescent="0.35">
      <c r="A325" t="s">
        <v>782</v>
      </c>
      <c r="B325" t="s">
        <v>12</v>
      </c>
      <c r="C325" t="s">
        <v>2264</v>
      </c>
      <c r="D325">
        <v>3</v>
      </c>
      <c r="E325" t="s">
        <v>2435</v>
      </c>
      <c r="F325" t="s">
        <v>2433</v>
      </c>
      <c r="G325" t="s">
        <v>783</v>
      </c>
      <c r="H325" t="s">
        <v>218</v>
      </c>
      <c r="I325" t="s">
        <v>219</v>
      </c>
      <c r="J325" t="s">
        <v>16</v>
      </c>
    </row>
    <row r="326" spans="1:11" x14ac:dyDescent="0.35">
      <c r="A326" t="s">
        <v>784</v>
      </c>
      <c r="B326" t="s">
        <v>12</v>
      </c>
      <c r="C326" t="s">
        <v>2268</v>
      </c>
      <c r="D326">
        <v>3</v>
      </c>
      <c r="E326" t="s">
        <v>2352</v>
      </c>
      <c r="F326" t="s">
        <v>2586</v>
      </c>
      <c r="G326" t="s">
        <v>785</v>
      </c>
      <c r="H326" t="s">
        <v>772</v>
      </c>
      <c r="I326" t="s">
        <v>773</v>
      </c>
      <c r="J326" t="s">
        <v>16</v>
      </c>
    </row>
    <row r="327" spans="1:11" x14ac:dyDescent="0.35">
      <c r="A327" t="s">
        <v>786</v>
      </c>
      <c r="B327" t="s">
        <v>12</v>
      </c>
      <c r="C327" t="s">
        <v>2264</v>
      </c>
      <c r="D327">
        <v>3</v>
      </c>
      <c r="E327" t="s">
        <v>2248</v>
      </c>
      <c r="F327" t="s">
        <v>2311</v>
      </c>
      <c r="G327" t="s">
        <v>317</v>
      </c>
      <c r="H327" t="s">
        <v>14</v>
      </c>
      <c r="I327" t="s">
        <v>15</v>
      </c>
      <c r="J327" t="s">
        <v>16</v>
      </c>
    </row>
    <row r="328" spans="1:11" x14ac:dyDescent="0.35">
      <c r="A328" t="s">
        <v>787</v>
      </c>
      <c r="B328" t="s">
        <v>12</v>
      </c>
      <c r="C328" t="s">
        <v>2247</v>
      </c>
      <c r="D328">
        <v>3</v>
      </c>
      <c r="E328" t="s">
        <v>2386</v>
      </c>
      <c r="F328" t="s">
        <v>2587</v>
      </c>
      <c r="G328" t="s">
        <v>317</v>
      </c>
      <c r="H328" t="s">
        <v>14</v>
      </c>
      <c r="I328" t="s">
        <v>15</v>
      </c>
      <c r="J328" t="s">
        <v>16</v>
      </c>
    </row>
    <row r="329" spans="1:11" x14ac:dyDescent="0.35">
      <c r="A329" t="s">
        <v>788</v>
      </c>
      <c r="B329" t="s">
        <v>66</v>
      </c>
      <c r="C329" t="s">
        <v>2268</v>
      </c>
      <c r="D329">
        <v>3</v>
      </c>
      <c r="E329" t="s">
        <v>2462</v>
      </c>
      <c r="F329" t="s">
        <v>2588</v>
      </c>
      <c r="G329" t="s">
        <v>789</v>
      </c>
      <c r="H329" t="s">
        <v>125</v>
      </c>
      <c r="I329" t="s">
        <v>126</v>
      </c>
      <c r="J329" t="s">
        <v>16</v>
      </c>
    </row>
    <row r="330" spans="1:11" x14ac:dyDescent="0.35">
      <c r="A330" t="s">
        <v>790</v>
      </c>
      <c r="B330" t="s">
        <v>18</v>
      </c>
      <c r="C330" t="s">
        <v>2250</v>
      </c>
      <c r="D330">
        <v>5</v>
      </c>
      <c r="E330" t="s">
        <v>2589</v>
      </c>
      <c r="F330" t="s">
        <v>2590</v>
      </c>
      <c r="G330" t="s">
        <v>221</v>
      </c>
      <c r="H330" t="s">
        <v>173</v>
      </c>
      <c r="I330" t="s">
        <v>174</v>
      </c>
      <c r="J330" t="s">
        <v>16</v>
      </c>
    </row>
    <row r="331" spans="1:11" x14ac:dyDescent="0.35">
      <c r="A331" t="s">
        <v>791</v>
      </c>
      <c r="B331" t="s">
        <v>12</v>
      </c>
      <c r="C331" t="s">
        <v>2264</v>
      </c>
      <c r="D331">
        <v>5</v>
      </c>
      <c r="E331" t="s">
        <v>2260</v>
      </c>
      <c r="F331" t="s">
        <v>2322</v>
      </c>
      <c r="G331" t="s">
        <v>47</v>
      </c>
      <c r="H331" t="s">
        <v>48</v>
      </c>
      <c r="I331" t="s">
        <v>49</v>
      </c>
      <c r="J331" t="s">
        <v>16</v>
      </c>
      <c r="K331" t="s">
        <v>50</v>
      </c>
    </row>
    <row r="332" spans="1:11" x14ac:dyDescent="0.35">
      <c r="A332" t="s">
        <v>792</v>
      </c>
      <c r="B332" t="s">
        <v>12</v>
      </c>
      <c r="C332" t="s">
        <v>2268</v>
      </c>
      <c r="D332">
        <v>3</v>
      </c>
      <c r="E332" t="s">
        <v>2260</v>
      </c>
      <c r="F332" t="s">
        <v>2322</v>
      </c>
      <c r="G332" t="s">
        <v>477</v>
      </c>
      <c r="H332" t="s">
        <v>195</v>
      </c>
      <c r="I332" t="s">
        <v>196</v>
      </c>
      <c r="J332" t="s">
        <v>16</v>
      </c>
      <c r="K332" t="s">
        <v>50</v>
      </c>
    </row>
    <row r="333" spans="1:11" x14ac:dyDescent="0.35">
      <c r="A333" t="s">
        <v>793</v>
      </c>
      <c r="B333" t="s">
        <v>12</v>
      </c>
      <c r="C333" t="s">
        <v>2264</v>
      </c>
      <c r="D333">
        <v>4</v>
      </c>
      <c r="E333" t="s">
        <v>2248</v>
      </c>
      <c r="F333" t="s">
        <v>2311</v>
      </c>
      <c r="G333" t="s">
        <v>317</v>
      </c>
      <c r="H333" t="s">
        <v>14</v>
      </c>
      <c r="I333" t="s">
        <v>15</v>
      </c>
      <c r="J333" t="s">
        <v>16</v>
      </c>
      <c r="K333" t="s">
        <v>50</v>
      </c>
    </row>
    <row r="334" spans="1:11" x14ac:dyDescent="0.35">
      <c r="A334" t="s">
        <v>794</v>
      </c>
      <c r="B334" t="s">
        <v>66</v>
      </c>
      <c r="C334" t="s">
        <v>2264</v>
      </c>
      <c r="D334">
        <v>3</v>
      </c>
      <c r="E334" t="s">
        <v>2482</v>
      </c>
      <c r="F334" t="s">
        <v>2313</v>
      </c>
      <c r="G334" t="s">
        <v>138</v>
      </c>
      <c r="H334" t="s">
        <v>14</v>
      </c>
      <c r="I334" t="s">
        <v>15</v>
      </c>
      <c r="J334" t="s">
        <v>16</v>
      </c>
      <c r="K334" t="s">
        <v>50</v>
      </c>
    </row>
    <row r="335" spans="1:11" x14ac:dyDescent="0.35">
      <c r="A335" t="s">
        <v>795</v>
      </c>
      <c r="B335" t="s">
        <v>66</v>
      </c>
      <c r="C335" t="s">
        <v>2268</v>
      </c>
      <c r="D335">
        <v>3</v>
      </c>
      <c r="E335" t="s">
        <v>2312</v>
      </c>
      <c r="F335" t="s">
        <v>2313</v>
      </c>
      <c r="G335" t="s">
        <v>138</v>
      </c>
      <c r="H335" t="s">
        <v>14</v>
      </c>
      <c r="I335" t="s">
        <v>15</v>
      </c>
      <c r="J335" t="s">
        <v>16</v>
      </c>
      <c r="K335" t="s">
        <v>50</v>
      </c>
    </row>
    <row r="336" spans="1:11" x14ac:dyDescent="0.35">
      <c r="A336" t="s">
        <v>796</v>
      </c>
      <c r="B336" t="s">
        <v>66</v>
      </c>
      <c r="C336" t="s">
        <v>2268</v>
      </c>
      <c r="D336">
        <v>4</v>
      </c>
      <c r="E336" t="s">
        <v>2378</v>
      </c>
      <c r="F336" t="s">
        <v>2379</v>
      </c>
      <c r="G336" t="s">
        <v>797</v>
      </c>
      <c r="H336" t="s">
        <v>186</v>
      </c>
      <c r="I336" t="s">
        <v>187</v>
      </c>
      <c r="J336" t="s">
        <v>16</v>
      </c>
      <c r="K336" t="s">
        <v>50</v>
      </c>
    </row>
    <row r="337" spans="1:11" x14ac:dyDescent="0.35">
      <c r="A337" t="s">
        <v>798</v>
      </c>
      <c r="B337" t="s">
        <v>12</v>
      </c>
      <c r="C337" t="s">
        <v>2268</v>
      </c>
      <c r="D337">
        <v>3</v>
      </c>
      <c r="E337" t="s">
        <v>2386</v>
      </c>
      <c r="F337" t="s">
        <v>2259</v>
      </c>
      <c r="G337" t="s">
        <v>799</v>
      </c>
      <c r="H337" t="s">
        <v>405</v>
      </c>
      <c r="I337" t="s">
        <v>406</v>
      </c>
      <c r="J337" t="s">
        <v>16</v>
      </c>
      <c r="K337" t="s">
        <v>407</v>
      </c>
    </row>
    <row r="338" spans="1:11" x14ac:dyDescent="0.35">
      <c r="A338" t="s">
        <v>800</v>
      </c>
      <c r="B338" t="s">
        <v>18</v>
      </c>
      <c r="C338" t="s">
        <v>2247</v>
      </c>
      <c r="D338">
        <v>6</v>
      </c>
      <c r="E338" t="s">
        <v>2591</v>
      </c>
      <c r="F338" t="s">
        <v>2592</v>
      </c>
      <c r="G338" t="s">
        <v>259</v>
      </c>
      <c r="H338" t="s">
        <v>173</v>
      </c>
      <c r="I338" t="s">
        <v>174</v>
      </c>
      <c r="J338" t="s">
        <v>16</v>
      </c>
      <c r="K338" t="s">
        <v>514</v>
      </c>
    </row>
    <row r="339" spans="1:11" x14ac:dyDescent="0.35">
      <c r="A339" t="s">
        <v>801</v>
      </c>
      <c r="B339" t="s">
        <v>12</v>
      </c>
      <c r="C339" t="s">
        <v>2268</v>
      </c>
      <c r="D339">
        <v>3</v>
      </c>
      <c r="E339" t="s">
        <v>2432</v>
      </c>
      <c r="F339" t="s">
        <v>2433</v>
      </c>
      <c r="G339" t="s">
        <v>358</v>
      </c>
      <c r="H339" t="s">
        <v>218</v>
      </c>
      <c r="I339" t="s">
        <v>219</v>
      </c>
      <c r="J339" t="s">
        <v>16</v>
      </c>
    </row>
    <row r="340" spans="1:11" x14ac:dyDescent="0.35">
      <c r="A340" t="s">
        <v>802</v>
      </c>
      <c r="B340" t="s">
        <v>18</v>
      </c>
      <c r="C340" t="s">
        <v>2250</v>
      </c>
      <c r="D340">
        <v>7</v>
      </c>
      <c r="E340" t="s">
        <v>2593</v>
      </c>
      <c r="F340" t="s">
        <v>2594</v>
      </c>
      <c r="G340" t="s">
        <v>803</v>
      </c>
      <c r="H340" t="s">
        <v>169</v>
      </c>
      <c r="I340" t="s">
        <v>170</v>
      </c>
      <c r="J340" t="s">
        <v>16</v>
      </c>
    </row>
    <row r="341" spans="1:11" x14ac:dyDescent="0.35">
      <c r="A341" t="s">
        <v>804</v>
      </c>
      <c r="B341" t="s">
        <v>12</v>
      </c>
      <c r="C341" t="s">
        <v>2250</v>
      </c>
      <c r="D341">
        <v>3</v>
      </c>
      <c r="E341" t="s">
        <v>2466</v>
      </c>
      <c r="F341" t="s">
        <v>2595</v>
      </c>
      <c r="G341" t="s">
        <v>805</v>
      </c>
      <c r="H341" t="s">
        <v>264</v>
      </c>
      <c r="I341" t="s">
        <v>265</v>
      </c>
      <c r="J341" t="s">
        <v>16</v>
      </c>
      <c r="K341" t="s">
        <v>392</v>
      </c>
    </row>
    <row r="342" spans="1:11" x14ac:dyDescent="0.35">
      <c r="A342" t="s">
        <v>806</v>
      </c>
      <c r="B342" t="s">
        <v>18</v>
      </c>
      <c r="C342" t="s">
        <v>2250</v>
      </c>
      <c r="D342">
        <v>6</v>
      </c>
      <c r="E342" t="s">
        <v>2596</v>
      </c>
      <c r="F342" t="s">
        <v>2449</v>
      </c>
      <c r="G342" t="s">
        <v>807</v>
      </c>
      <c r="H342" t="s">
        <v>169</v>
      </c>
      <c r="I342" t="s">
        <v>170</v>
      </c>
      <c r="J342" t="s">
        <v>16</v>
      </c>
      <c r="K342" t="s">
        <v>808</v>
      </c>
    </row>
    <row r="343" spans="1:11" x14ac:dyDescent="0.35">
      <c r="A343" t="s">
        <v>809</v>
      </c>
      <c r="B343" t="s">
        <v>18</v>
      </c>
      <c r="C343" t="s">
        <v>2359</v>
      </c>
      <c r="D343">
        <v>5</v>
      </c>
      <c r="E343" t="s">
        <v>2597</v>
      </c>
      <c r="F343" t="s">
        <v>2598</v>
      </c>
      <c r="G343" t="s">
        <v>810</v>
      </c>
      <c r="H343" t="s">
        <v>570</v>
      </c>
      <c r="I343" t="s">
        <v>571</v>
      </c>
      <c r="J343" t="s">
        <v>16</v>
      </c>
    </row>
    <row r="344" spans="1:11" x14ac:dyDescent="0.35">
      <c r="A344" t="s">
        <v>811</v>
      </c>
      <c r="B344" t="s">
        <v>66</v>
      </c>
      <c r="C344" t="s">
        <v>2268</v>
      </c>
      <c r="D344">
        <v>3</v>
      </c>
      <c r="E344" t="s">
        <v>2296</v>
      </c>
      <c r="F344" t="s">
        <v>2599</v>
      </c>
      <c r="G344" t="s">
        <v>812</v>
      </c>
      <c r="H344" t="s">
        <v>382</v>
      </c>
      <c r="I344" t="s">
        <v>383</v>
      </c>
      <c r="J344" t="s">
        <v>16</v>
      </c>
      <c r="K344" t="s">
        <v>77</v>
      </c>
    </row>
    <row r="345" spans="1:11" x14ac:dyDescent="0.35">
      <c r="A345" t="s">
        <v>813</v>
      </c>
      <c r="B345" t="s">
        <v>66</v>
      </c>
      <c r="C345" t="s">
        <v>2268</v>
      </c>
      <c r="D345">
        <v>2</v>
      </c>
      <c r="E345" t="s">
        <v>2374</v>
      </c>
      <c r="F345" t="s">
        <v>2336</v>
      </c>
      <c r="G345" t="s">
        <v>814</v>
      </c>
      <c r="H345" t="s">
        <v>169</v>
      </c>
      <c r="I345" t="s">
        <v>170</v>
      </c>
      <c r="J345" t="s">
        <v>16</v>
      </c>
      <c r="K345" t="s">
        <v>252</v>
      </c>
    </row>
    <row r="346" spans="1:11" x14ac:dyDescent="0.35">
      <c r="A346" t="s">
        <v>815</v>
      </c>
      <c r="B346" t="s">
        <v>66</v>
      </c>
      <c r="C346" t="s">
        <v>2268</v>
      </c>
      <c r="D346">
        <v>3</v>
      </c>
      <c r="E346" t="s">
        <v>2600</v>
      </c>
      <c r="F346" t="s">
        <v>2601</v>
      </c>
      <c r="G346" t="s">
        <v>816</v>
      </c>
      <c r="H346" t="s">
        <v>173</v>
      </c>
      <c r="I346" t="s">
        <v>174</v>
      </c>
      <c r="J346" t="s">
        <v>16</v>
      </c>
      <c r="K346" t="s">
        <v>496</v>
      </c>
    </row>
    <row r="347" spans="1:11" x14ac:dyDescent="0.35">
      <c r="A347" t="s">
        <v>817</v>
      </c>
      <c r="B347" t="s">
        <v>12</v>
      </c>
      <c r="C347" t="s">
        <v>2268</v>
      </c>
      <c r="D347">
        <v>3</v>
      </c>
      <c r="E347" t="s">
        <v>2490</v>
      </c>
      <c r="F347" t="s">
        <v>2343</v>
      </c>
      <c r="G347" t="s">
        <v>818</v>
      </c>
      <c r="H347" t="s">
        <v>141</v>
      </c>
      <c r="I347" t="s">
        <v>142</v>
      </c>
      <c r="J347" t="s">
        <v>16</v>
      </c>
      <c r="K347" t="s">
        <v>509</v>
      </c>
    </row>
    <row r="348" spans="1:11" x14ac:dyDescent="0.35">
      <c r="A348" t="s">
        <v>819</v>
      </c>
      <c r="B348" t="s">
        <v>12</v>
      </c>
      <c r="C348" t="s">
        <v>2250</v>
      </c>
      <c r="D348">
        <v>5</v>
      </c>
      <c r="E348" t="s">
        <v>2602</v>
      </c>
      <c r="F348" t="s">
        <v>2286</v>
      </c>
      <c r="G348" t="s">
        <v>820</v>
      </c>
      <c r="H348" t="s">
        <v>264</v>
      </c>
      <c r="I348" t="s">
        <v>265</v>
      </c>
      <c r="J348" t="s">
        <v>16</v>
      </c>
    </row>
    <row r="349" spans="1:11" x14ac:dyDescent="0.35">
      <c r="A349" t="s">
        <v>821</v>
      </c>
      <c r="B349" t="s">
        <v>18</v>
      </c>
      <c r="C349" t="s">
        <v>2250</v>
      </c>
      <c r="D349">
        <v>5</v>
      </c>
      <c r="E349" t="s">
        <v>2603</v>
      </c>
      <c r="F349" t="s">
        <v>2360</v>
      </c>
      <c r="G349" t="s">
        <v>561</v>
      </c>
      <c r="H349" t="s">
        <v>154</v>
      </c>
      <c r="I349" t="s">
        <v>155</v>
      </c>
      <c r="J349" t="s">
        <v>16</v>
      </c>
    </row>
    <row r="350" spans="1:11" x14ac:dyDescent="0.35">
      <c r="A350" t="s">
        <v>822</v>
      </c>
      <c r="B350" t="s">
        <v>18</v>
      </c>
      <c r="C350" t="s">
        <v>2250</v>
      </c>
      <c r="D350">
        <v>4</v>
      </c>
      <c r="E350" t="s">
        <v>2604</v>
      </c>
      <c r="F350" t="s">
        <v>2514</v>
      </c>
      <c r="G350" t="s">
        <v>31</v>
      </c>
      <c r="H350" t="s">
        <v>14</v>
      </c>
      <c r="I350" t="s">
        <v>15</v>
      </c>
      <c r="J350" t="s">
        <v>16</v>
      </c>
    </row>
    <row r="351" spans="1:11" x14ac:dyDescent="0.35">
      <c r="A351" t="s">
        <v>823</v>
      </c>
      <c r="B351" t="s">
        <v>66</v>
      </c>
      <c r="C351" t="s">
        <v>2268</v>
      </c>
      <c r="D351">
        <v>2</v>
      </c>
      <c r="E351" t="s">
        <v>2605</v>
      </c>
      <c r="F351" t="s">
        <v>2257</v>
      </c>
      <c r="G351" t="s">
        <v>824</v>
      </c>
      <c r="H351" t="s">
        <v>825</v>
      </c>
      <c r="I351" t="s">
        <v>826</v>
      </c>
      <c r="J351" t="s">
        <v>16</v>
      </c>
    </row>
    <row r="352" spans="1:11" x14ac:dyDescent="0.35">
      <c r="A352" t="s">
        <v>827</v>
      </c>
      <c r="B352" t="s">
        <v>18</v>
      </c>
      <c r="C352" t="s">
        <v>2264</v>
      </c>
      <c r="D352">
        <v>4</v>
      </c>
      <c r="E352" t="s">
        <v>2606</v>
      </c>
      <c r="F352" t="s">
        <v>2607</v>
      </c>
      <c r="G352" t="s">
        <v>828</v>
      </c>
      <c r="H352" t="s">
        <v>346</v>
      </c>
      <c r="I352" t="s">
        <v>347</v>
      </c>
      <c r="J352" t="s">
        <v>16</v>
      </c>
    </row>
    <row r="353" spans="1:11" x14ac:dyDescent="0.35">
      <c r="A353" t="s">
        <v>829</v>
      </c>
      <c r="B353" t="s">
        <v>18</v>
      </c>
      <c r="C353" t="s">
        <v>2264</v>
      </c>
      <c r="D353">
        <v>6</v>
      </c>
      <c r="E353" t="s">
        <v>2536</v>
      </c>
      <c r="F353" t="s">
        <v>2608</v>
      </c>
      <c r="G353" t="s">
        <v>830</v>
      </c>
      <c r="H353" t="s">
        <v>145</v>
      </c>
      <c r="I353" t="s">
        <v>146</v>
      </c>
      <c r="J353" t="s">
        <v>16</v>
      </c>
    </row>
    <row r="354" spans="1:11" x14ac:dyDescent="0.35">
      <c r="A354" t="s">
        <v>831</v>
      </c>
      <c r="B354" t="s">
        <v>18</v>
      </c>
      <c r="C354" t="s">
        <v>2250</v>
      </c>
      <c r="D354">
        <v>3</v>
      </c>
      <c r="E354" t="s">
        <v>2569</v>
      </c>
      <c r="F354" t="s">
        <v>2305</v>
      </c>
      <c r="G354" t="s">
        <v>832</v>
      </c>
      <c r="H354" t="s">
        <v>80</v>
      </c>
      <c r="I354" t="s">
        <v>81</v>
      </c>
      <c r="J354" t="s">
        <v>16</v>
      </c>
    </row>
    <row r="355" spans="1:11" x14ac:dyDescent="0.35">
      <c r="A355" t="s">
        <v>833</v>
      </c>
      <c r="B355" t="s">
        <v>66</v>
      </c>
      <c r="C355" t="s">
        <v>2268</v>
      </c>
      <c r="D355">
        <v>3</v>
      </c>
      <c r="E355" t="s">
        <v>2609</v>
      </c>
      <c r="F355" t="s">
        <v>2305</v>
      </c>
      <c r="G355" t="s">
        <v>261</v>
      </c>
      <c r="H355" t="s">
        <v>186</v>
      </c>
      <c r="I355" t="s">
        <v>187</v>
      </c>
      <c r="J355" t="s">
        <v>16</v>
      </c>
    </row>
    <row r="356" spans="1:11" x14ac:dyDescent="0.35">
      <c r="A356" t="s">
        <v>834</v>
      </c>
      <c r="B356" t="s">
        <v>12</v>
      </c>
      <c r="C356" t="s">
        <v>2264</v>
      </c>
      <c r="D356">
        <v>5</v>
      </c>
      <c r="E356" t="s">
        <v>2386</v>
      </c>
      <c r="F356" t="s">
        <v>2269</v>
      </c>
      <c r="G356" t="s">
        <v>775</v>
      </c>
      <c r="H356" t="s">
        <v>154</v>
      </c>
      <c r="I356" t="s">
        <v>155</v>
      </c>
      <c r="J356" t="s">
        <v>16</v>
      </c>
      <c r="K356" t="s">
        <v>50</v>
      </c>
    </row>
    <row r="357" spans="1:11" x14ac:dyDescent="0.35">
      <c r="A357" t="s">
        <v>835</v>
      </c>
      <c r="B357" t="s">
        <v>12</v>
      </c>
      <c r="C357" t="s">
        <v>2268</v>
      </c>
      <c r="D357">
        <v>3</v>
      </c>
      <c r="E357" t="s">
        <v>2260</v>
      </c>
      <c r="F357" t="s">
        <v>2322</v>
      </c>
      <c r="G357" t="s">
        <v>477</v>
      </c>
      <c r="H357" t="s">
        <v>195</v>
      </c>
      <c r="I357" t="s">
        <v>196</v>
      </c>
      <c r="J357" t="s">
        <v>16</v>
      </c>
      <c r="K357" t="s">
        <v>50</v>
      </c>
    </row>
    <row r="358" spans="1:11" x14ac:dyDescent="0.35">
      <c r="A358" t="s">
        <v>836</v>
      </c>
      <c r="B358" t="s">
        <v>66</v>
      </c>
      <c r="C358" t="s">
        <v>2268</v>
      </c>
      <c r="D358">
        <v>3</v>
      </c>
      <c r="E358" t="s">
        <v>2511</v>
      </c>
      <c r="F358" t="s">
        <v>2341</v>
      </c>
      <c r="G358" t="s">
        <v>138</v>
      </c>
      <c r="H358" t="s">
        <v>14</v>
      </c>
      <c r="I358" t="s">
        <v>15</v>
      </c>
      <c r="J358" t="s">
        <v>16</v>
      </c>
      <c r="K358" t="s">
        <v>50</v>
      </c>
    </row>
    <row r="359" spans="1:11" x14ac:dyDescent="0.35">
      <c r="A359" t="s">
        <v>837</v>
      </c>
      <c r="B359" t="s">
        <v>66</v>
      </c>
      <c r="C359" t="s">
        <v>2250</v>
      </c>
      <c r="D359">
        <v>3</v>
      </c>
      <c r="E359" t="s">
        <v>2463</v>
      </c>
      <c r="F359" t="s">
        <v>2610</v>
      </c>
      <c r="G359" t="s">
        <v>838</v>
      </c>
      <c r="H359" t="s">
        <v>68</v>
      </c>
      <c r="I359" t="s">
        <v>69</v>
      </c>
      <c r="J359" t="s">
        <v>16</v>
      </c>
      <c r="K359" t="s">
        <v>426</v>
      </c>
    </row>
    <row r="360" spans="1:11" x14ac:dyDescent="0.35">
      <c r="A360" t="s">
        <v>839</v>
      </c>
      <c r="B360" t="s">
        <v>12</v>
      </c>
      <c r="C360" t="s">
        <v>2268</v>
      </c>
      <c r="D360">
        <v>4</v>
      </c>
      <c r="E360" t="s">
        <v>2406</v>
      </c>
      <c r="F360" t="s">
        <v>2322</v>
      </c>
      <c r="G360" t="s">
        <v>47</v>
      </c>
      <c r="H360" t="s">
        <v>48</v>
      </c>
      <c r="I360" t="s">
        <v>49</v>
      </c>
      <c r="J360" t="s">
        <v>16</v>
      </c>
      <c r="K360" t="s">
        <v>50</v>
      </c>
    </row>
    <row r="361" spans="1:11" x14ac:dyDescent="0.35">
      <c r="A361" t="s">
        <v>840</v>
      </c>
      <c r="B361" t="s">
        <v>12</v>
      </c>
      <c r="C361" t="s">
        <v>2264</v>
      </c>
      <c r="D361">
        <v>4</v>
      </c>
      <c r="E361" t="s">
        <v>2248</v>
      </c>
      <c r="F361" t="s">
        <v>2311</v>
      </c>
      <c r="G361" t="s">
        <v>317</v>
      </c>
      <c r="H361" t="s">
        <v>14</v>
      </c>
      <c r="I361" t="s">
        <v>15</v>
      </c>
      <c r="J361" t="s">
        <v>16</v>
      </c>
      <c r="K361" t="s">
        <v>50</v>
      </c>
    </row>
    <row r="362" spans="1:11" x14ac:dyDescent="0.35">
      <c r="A362" t="s">
        <v>841</v>
      </c>
      <c r="B362" t="s">
        <v>18</v>
      </c>
      <c r="C362" t="s">
        <v>2264</v>
      </c>
      <c r="D362">
        <v>4</v>
      </c>
      <c r="E362" t="s">
        <v>2611</v>
      </c>
      <c r="F362" t="s">
        <v>2612</v>
      </c>
      <c r="G362" t="s">
        <v>842</v>
      </c>
      <c r="H362" t="s">
        <v>14</v>
      </c>
      <c r="I362" t="s">
        <v>15</v>
      </c>
      <c r="J362" t="s">
        <v>16</v>
      </c>
      <c r="K362" t="s">
        <v>624</v>
      </c>
    </row>
    <row r="363" spans="1:11" x14ac:dyDescent="0.35">
      <c r="A363" t="s">
        <v>843</v>
      </c>
      <c r="B363" t="s">
        <v>12</v>
      </c>
      <c r="C363" t="s">
        <v>2250</v>
      </c>
      <c r="D363">
        <v>4</v>
      </c>
      <c r="E363" t="s">
        <v>2609</v>
      </c>
      <c r="F363" t="s">
        <v>2317</v>
      </c>
      <c r="G363" t="s">
        <v>844</v>
      </c>
      <c r="H363" t="s">
        <v>264</v>
      </c>
      <c r="I363" t="s">
        <v>265</v>
      </c>
      <c r="J363" t="s">
        <v>16</v>
      </c>
    </row>
    <row r="364" spans="1:11" x14ac:dyDescent="0.35">
      <c r="A364" t="s">
        <v>845</v>
      </c>
      <c r="B364" t="s">
        <v>18</v>
      </c>
      <c r="C364" t="s">
        <v>2264</v>
      </c>
      <c r="D364">
        <v>7</v>
      </c>
      <c r="E364" t="s">
        <v>2302</v>
      </c>
      <c r="F364" t="s">
        <v>2307</v>
      </c>
      <c r="G364" t="s">
        <v>259</v>
      </c>
      <c r="H364" t="s">
        <v>173</v>
      </c>
      <c r="I364" t="s">
        <v>174</v>
      </c>
      <c r="J364" t="s">
        <v>16</v>
      </c>
    </row>
    <row r="365" spans="1:11" x14ac:dyDescent="0.35">
      <c r="A365" t="s">
        <v>846</v>
      </c>
      <c r="B365" t="s">
        <v>18</v>
      </c>
      <c r="C365" t="s">
        <v>2491</v>
      </c>
      <c r="D365">
        <v>10</v>
      </c>
      <c r="E365" t="s">
        <v>2613</v>
      </c>
      <c r="F365" t="s">
        <v>2468</v>
      </c>
      <c r="G365" t="s">
        <v>259</v>
      </c>
      <c r="H365" t="s">
        <v>173</v>
      </c>
      <c r="I365" t="s">
        <v>174</v>
      </c>
      <c r="J365" t="s">
        <v>16</v>
      </c>
    </row>
    <row r="366" spans="1:11" x14ac:dyDescent="0.35">
      <c r="A366" t="s">
        <v>847</v>
      </c>
      <c r="B366" t="s">
        <v>18</v>
      </c>
      <c r="C366" t="s">
        <v>2359</v>
      </c>
      <c r="D366">
        <v>5</v>
      </c>
      <c r="E366" t="s">
        <v>2419</v>
      </c>
      <c r="F366" t="s">
        <v>2527</v>
      </c>
      <c r="G366" t="s">
        <v>848</v>
      </c>
      <c r="H366" t="s">
        <v>849</v>
      </c>
      <c r="I366" t="s">
        <v>850</v>
      </c>
      <c r="J366" t="s">
        <v>16</v>
      </c>
    </row>
    <row r="367" spans="1:11" x14ac:dyDescent="0.35">
      <c r="A367" t="s">
        <v>851</v>
      </c>
      <c r="B367" t="s">
        <v>18</v>
      </c>
      <c r="C367" t="s">
        <v>2491</v>
      </c>
      <c r="D367">
        <v>10</v>
      </c>
      <c r="E367" t="s">
        <v>2614</v>
      </c>
      <c r="F367" t="s">
        <v>2408</v>
      </c>
      <c r="G367" t="s">
        <v>852</v>
      </c>
      <c r="H367" t="s">
        <v>382</v>
      </c>
      <c r="I367" t="s">
        <v>383</v>
      </c>
      <c r="J367" t="s">
        <v>16</v>
      </c>
    </row>
    <row r="368" spans="1:11" x14ac:dyDescent="0.35">
      <c r="A368" t="s">
        <v>853</v>
      </c>
      <c r="B368" t="s">
        <v>12</v>
      </c>
      <c r="C368" t="s">
        <v>2250</v>
      </c>
      <c r="D368">
        <v>6</v>
      </c>
      <c r="E368" t="s">
        <v>2260</v>
      </c>
      <c r="F368" t="s">
        <v>2322</v>
      </c>
      <c r="G368" t="s">
        <v>854</v>
      </c>
      <c r="H368" t="s">
        <v>48</v>
      </c>
      <c r="I368" t="s">
        <v>49</v>
      </c>
      <c r="J368" t="s">
        <v>16</v>
      </c>
      <c r="K368" t="s">
        <v>50</v>
      </c>
    </row>
    <row r="369" spans="1:11" x14ac:dyDescent="0.35">
      <c r="A369" t="s">
        <v>855</v>
      </c>
      <c r="B369" t="s">
        <v>66</v>
      </c>
      <c r="C369" t="s">
        <v>2264</v>
      </c>
      <c r="D369">
        <v>5</v>
      </c>
      <c r="E369" t="s">
        <v>2279</v>
      </c>
      <c r="F369" t="s">
        <v>2615</v>
      </c>
      <c r="G369" t="s">
        <v>128</v>
      </c>
      <c r="H369" t="s">
        <v>68</v>
      </c>
      <c r="I369" t="s">
        <v>69</v>
      </c>
      <c r="J369" t="s">
        <v>16</v>
      </c>
      <c r="K369" t="s">
        <v>426</v>
      </c>
    </row>
    <row r="370" spans="1:11" x14ac:dyDescent="0.35">
      <c r="A370" t="s">
        <v>856</v>
      </c>
      <c r="B370" t="s">
        <v>12</v>
      </c>
      <c r="C370" t="s">
        <v>2250</v>
      </c>
      <c r="D370">
        <v>5</v>
      </c>
      <c r="E370" t="s">
        <v>2300</v>
      </c>
      <c r="F370" t="s">
        <v>2346</v>
      </c>
      <c r="G370" t="s">
        <v>857</v>
      </c>
      <c r="H370" t="s">
        <v>154</v>
      </c>
      <c r="I370" t="s">
        <v>155</v>
      </c>
      <c r="J370" t="s">
        <v>16</v>
      </c>
    </row>
    <row r="371" spans="1:11" x14ac:dyDescent="0.35">
      <c r="A371" t="s">
        <v>858</v>
      </c>
      <c r="B371" t="s">
        <v>12</v>
      </c>
      <c r="C371" t="s">
        <v>2429</v>
      </c>
      <c r="D371">
        <v>3</v>
      </c>
      <c r="E371" t="s">
        <v>2260</v>
      </c>
      <c r="F371" t="s">
        <v>2322</v>
      </c>
      <c r="G371" t="s">
        <v>280</v>
      </c>
      <c r="H371" t="s">
        <v>48</v>
      </c>
      <c r="I371" t="s">
        <v>49</v>
      </c>
      <c r="J371" t="s">
        <v>16</v>
      </c>
      <c r="K371" t="s">
        <v>50</v>
      </c>
    </row>
    <row r="372" spans="1:11" x14ac:dyDescent="0.35">
      <c r="A372" t="s">
        <v>859</v>
      </c>
      <c r="B372" t="s">
        <v>12</v>
      </c>
      <c r="C372" t="s">
        <v>2268</v>
      </c>
      <c r="D372">
        <v>4</v>
      </c>
      <c r="E372" t="s">
        <v>2289</v>
      </c>
      <c r="F372" t="s">
        <v>2351</v>
      </c>
      <c r="G372" t="s">
        <v>860</v>
      </c>
      <c r="H372" t="s">
        <v>382</v>
      </c>
      <c r="I372" t="s">
        <v>383</v>
      </c>
      <c r="J372" t="s">
        <v>16</v>
      </c>
      <c r="K372" t="s">
        <v>415</v>
      </c>
    </row>
    <row r="373" spans="1:11" x14ac:dyDescent="0.35">
      <c r="A373" t="s">
        <v>861</v>
      </c>
      <c r="B373" t="s">
        <v>18</v>
      </c>
      <c r="C373" t="s">
        <v>2268</v>
      </c>
      <c r="D373">
        <v>4</v>
      </c>
      <c r="E373" t="s">
        <v>2616</v>
      </c>
      <c r="F373" t="s">
        <v>2410</v>
      </c>
      <c r="G373" t="s">
        <v>307</v>
      </c>
      <c r="H373" t="s">
        <v>233</v>
      </c>
      <c r="I373" t="s">
        <v>234</v>
      </c>
      <c r="J373" t="s">
        <v>16</v>
      </c>
      <c r="K373" t="s">
        <v>415</v>
      </c>
    </row>
    <row r="374" spans="1:11" x14ac:dyDescent="0.35">
      <c r="A374" t="s">
        <v>862</v>
      </c>
      <c r="B374" t="s">
        <v>66</v>
      </c>
      <c r="C374" t="s">
        <v>2268</v>
      </c>
      <c r="D374">
        <v>4</v>
      </c>
      <c r="E374" t="s">
        <v>2600</v>
      </c>
      <c r="F374" t="s">
        <v>2428</v>
      </c>
      <c r="G374" t="s">
        <v>863</v>
      </c>
      <c r="H374" t="s">
        <v>173</v>
      </c>
      <c r="I374" t="s">
        <v>174</v>
      </c>
      <c r="J374" t="s">
        <v>16</v>
      </c>
      <c r="K374" t="s">
        <v>496</v>
      </c>
    </row>
    <row r="375" spans="1:11" x14ac:dyDescent="0.35">
      <c r="A375" t="s">
        <v>864</v>
      </c>
      <c r="B375" t="s">
        <v>66</v>
      </c>
      <c r="C375" t="s">
        <v>2268</v>
      </c>
      <c r="D375">
        <v>4</v>
      </c>
      <c r="E375" t="s">
        <v>2617</v>
      </c>
      <c r="F375" t="s">
        <v>2618</v>
      </c>
      <c r="G375" t="s">
        <v>865</v>
      </c>
      <c r="H375" t="s">
        <v>494</v>
      </c>
      <c r="I375" t="s">
        <v>495</v>
      </c>
      <c r="J375" t="s">
        <v>16</v>
      </c>
      <c r="K375" t="s">
        <v>496</v>
      </c>
    </row>
    <row r="376" spans="1:11" x14ac:dyDescent="0.35">
      <c r="A376" t="s">
        <v>866</v>
      </c>
      <c r="B376" t="s">
        <v>12</v>
      </c>
      <c r="C376" t="s">
        <v>2268</v>
      </c>
      <c r="D376">
        <v>4</v>
      </c>
      <c r="E376" t="s">
        <v>2490</v>
      </c>
      <c r="F376" t="s">
        <v>2249</v>
      </c>
      <c r="G376" t="s">
        <v>580</v>
      </c>
      <c r="H376" t="s">
        <v>373</v>
      </c>
      <c r="I376" t="s">
        <v>374</v>
      </c>
      <c r="J376" t="s">
        <v>16</v>
      </c>
    </row>
    <row r="377" spans="1:11" x14ac:dyDescent="0.35">
      <c r="A377" t="s">
        <v>867</v>
      </c>
      <c r="B377" t="s">
        <v>66</v>
      </c>
      <c r="C377" t="s">
        <v>2268</v>
      </c>
      <c r="D377">
        <v>3</v>
      </c>
      <c r="E377" t="s">
        <v>2312</v>
      </c>
      <c r="F377" t="s">
        <v>2480</v>
      </c>
      <c r="G377" t="s">
        <v>323</v>
      </c>
      <c r="H377" t="s">
        <v>141</v>
      </c>
      <c r="I377" t="s">
        <v>142</v>
      </c>
      <c r="J377" t="s">
        <v>16</v>
      </c>
    </row>
    <row r="378" spans="1:11" x14ac:dyDescent="0.35">
      <c r="A378" t="s">
        <v>868</v>
      </c>
      <c r="B378" t="s">
        <v>12</v>
      </c>
      <c r="C378" t="s">
        <v>2264</v>
      </c>
      <c r="D378">
        <v>4</v>
      </c>
      <c r="E378" t="s">
        <v>2248</v>
      </c>
      <c r="F378" t="s">
        <v>2311</v>
      </c>
      <c r="G378" t="s">
        <v>317</v>
      </c>
      <c r="H378" t="s">
        <v>14</v>
      </c>
      <c r="I378" t="s">
        <v>15</v>
      </c>
      <c r="J378" t="s">
        <v>16</v>
      </c>
    </row>
    <row r="379" spans="1:11" x14ac:dyDescent="0.35">
      <c r="A379" t="s">
        <v>869</v>
      </c>
      <c r="B379" t="s">
        <v>2271</v>
      </c>
      <c r="E379" t="s">
        <v>2251</v>
      </c>
      <c r="F379" t="s">
        <v>2619</v>
      </c>
      <c r="G379" t="s">
        <v>870</v>
      </c>
      <c r="H379" t="s">
        <v>871</v>
      </c>
      <c r="I379" t="s">
        <v>872</v>
      </c>
      <c r="J379" t="s">
        <v>16</v>
      </c>
    </row>
    <row r="380" spans="1:11" x14ac:dyDescent="0.35">
      <c r="A380" t="s">
        <v>873</v>
      </c>
      <c r="B380" t="s">
        <v>66</v>
      </c>
      <c r="C380" t="s">
        <v>2264</v>
      </c>
      <c r="D380">
        <v>4</v>
      </c>
      <c r="E380" t="s">
        <v>2482</v>
      </c>
      <c r="F380" t="s">
        <v>2620</v>
      </c>
      <c r="G380" t="s">
        <v>874</v>
      </c>
      <c r="H380" t="s">
        <v>28</v>
      </c>
      <c r="I380" t="s">
        <v>29</v>
      </c>
      <c r="J380" t="s">
        <v>16</v>
      </c>
    </row>
    <row r="381" spans="1:11" x14ac:dyDescent="0.35">
      <c r="A381" t="s">
        <v>875</v>
      </c>
      <c r="B381" t="s">
        <v>66</v>
      </c>
      <c r="C381" t="s">
        <v>2268</v>
      </c>
      <c r="D381">
        <v>3</v>
      </c>
      <c r="E381" t="s">
        <v>2352</v>
      </c>
      <c r="F381" t="s">
        <v>2387</v>
      </c>
      <c r="G381" t="s">
        <v>634</v>
      </c>
      <c r="H381" t="s">
        <v>218</v>
      </c>
      <c r="I381" t="s">
        <v>219</v>
      </c>
      <c r="J381" t="s">
        <v>16</v>
      </c>
      <c r="K381" t="s">
        <v>50</v>
      </c>
    </row>
    <row r="382" spans="1:11" x14ac:dyDescent="0.35">
      <c r="A382" t="s">
        <v>876</v>
      </c>
      <c r="B382" t="s">
        <v>12</v>
      </c>
      <c r="C382" t="s">
        <v>2268</v>
      </c>
      <c r="D382">
        <v>3</v>
      </c>
      <c r="E382" t="s">
        <v>2260</v>
      </c>
      <c r="F382" t="s">
        <v>2269</v>
      </c>
      <c r="G382" t="s">
        <v>877</v>
      </c>
      <c r="H382" t="s">
        <v>48</v>
      </c>
      <c r="I382" t="s">
        <v>49</v>
      </c>
      <c r="J382" t="s">
        <v>16</v>
      </c>
      <c r="K382" t="s">
        <v>50</v>
      </c>
    </row>
    <row r="383" spans="1:11" x14ac:dyDescent="0.35">
      <c r="A383" t="s">
        <v>878</v>
      </c>
      <c r="B383" t="s">
        <v>66</v>
      </c>
      <c r="C383" t="s">
        <v>2268</v>
      </c>
      <c r="D383">
        <v>3</v>
      </c>
      <c r="E383" t="s">
        <v>2312</v>
      </c>
      <c r="F383" t="s">
        <v>2314</v>
      </c>
      <c r="G383" t="s">
        <v>879</v>
      </c>
      <c r="H383" t="s">
        <v>141</v>
      </c>
      <c r="I383" t="s">
        <v>142</v>
      </c>
      <c r="J383" t="s">
        <v>16</v>
      </c>
      <c r="K383" t="s">
        <v>50</v>
      </c>
    </row>
    <row r="384" spans="1:11" x14ac:dyDescent="0.35">
      <c r="A384" t="s">
        <v>880</v>
      </c>
      <c r="B384" t="s">
        <v>66</v>
      </c>
      <c r="C384" t="s">
        <v>2268</v>
      </c>
      <c r="D384">
        <v>3</v>
      </c>
      <c r="E384" t="s">
        <v>2312</v>
      </c>
      <c r="F384" t="s">
        <v>2314</v>
      </c>
      <c r="G384" t="s">
        <v>881</v>
      </c>
      <c r="H384" t="s">
        <v>141</v>
      </c>
      <c r="I384" t="s">
        <v>142</v>
      </c>
      <c r="J384" t="s">
        <v>16</v>
      </c>
      <c r="K384" t="s">
        <v>50</v>
      </c>
    </row>
    <row r="385" spans="1:11" x14ac:dyDescent="0.35">
      <c r="A385" t="s">
        <v>882</v>
      </c>
      <c r="B385" t="s">
        <v>12</v>
      </c>
      <c r="C385" t="s">
        <v>2247</v>
      </c>
      <c r="D385">
        <v>3</v>
      </c>
      <c r="E385" t="s">
        <v>2621</v>
      </c>
      <c r="F385" t="s">
        <v>2414</v>
      </c>
      <c r="G385" t="s">
        <v>410</v>
      </c>
      <c r="H385" t="s">
        <v>169</v>
      </c>
      <c r="I385" t="s">
        <v>170</v>
      </c>
      <c r="J385" t="s">
        <v>16</v>
      </c>
      <c r="K385" t="s">
        <v>883</v>
      </c>
    </row>
    <row r="386" spans="1:11" x14ac:dyDescent="0.35">
      <c r="A386" t="s">
        <v>884</v>
      </c>
      <c r="B386" t="s">
        <v>18</v>
      </c>
      <c r="C386" t="s">
        <v>2491</v>
      </c>
      <c r="D386">
        <v>10</v>
      </c>
      <c r="E386" t="s">
        <v>2622</v>
      </c>
      <c r="F386" t="s">
        <v>2623</v>
      </c>
      <c r="G386" t="s">
        <v>885</v>
      </c>
      <c r="H386" t="s">
        <v>255</v>
      </c>
      <c r="I386" t="s">
        <v>256</v>
      </c>
      <c r="J386" t="s">
        <v>16</v>
      </c>
    </row>
    <row r="387" spans="1:11" x14ac:dyDescent="0.35">
      <c r="A387" t="s">
        <v>886</v>
      </c>
      <c r="B387" t="s">
        <v>66</v>
      </c>
      <c r="C387" t="s">
        <v>2268</v>
      </c>
      <c r="D387">
        <v>4</v>
      </c>
      <c r="E387" t="s">
        <v>2279</v>
      </c>
      <c r="F387" t="s">
        <v>2523</v>
      </c>
      <c r="G387" t="s">
        <v>756</v>
      </c>
      <c r="H387" t="s">
        <v>14</v>
      </c>
      <c r="I387" t="s">
        <v>15</v>
      </c>
      <c r="J387" t="s">
        <v>16</v>
      </c>
      <c r="K387" t="s">
        <v>509</v>
      </c>
    </row>
    <row r="388" spans="1:11" x14ac:dyDescent="0.35">
      <c r="A388" t="s">
        <v>887</v>
      </c>
      <c r="B388" t="s">
        <v>12</v>
      </c>
      <c r="C388" t="s">
        <v>2268</v>
      </c>
      <c r="D388">
        <v>3</v>
      </c>
      <c r="E388" t="s">
        <v>2260</v>
      </c>
      <c r="F388" t="s">
        <v>2269</v>
      </c>
      <c r="G388" t="s">
        <v>161</v>
      </c>
      <c r="H388" t="s">
        <v>48</v>
      </c>
      <c r="I388" t="s">
        <v>49</v>
      </c>
      <c r="J388" t="s">
        <v>16</v>
      </c>
      <c r="K388" t="s">
        <v>50</v>
      </c>
    </row>
    <row r="389" spans="1:11" x14ac:dyDescent="0.35">
      <c r="A389" t="s">
        <v>888</v>
      </c>
      <c r="B389" t="s">
        <v>12</v>
      </c>
      <c r="C389" t="s">
        <v>2268</v>
      </c>
      <c r="D389">
        <v>3</v>
      </c>
      <c r="E389" t="s">
        <v>2450</v>
      </c>
      <c r="F389" t="s">
        <v>2269</v>
      </c>
      <c r="G389" t="s">
        <v>889</v>
      </c>
      <c r="H389" t="s">
        <v>154</v>
      </c>
      <c r="I389" t="s">
        <v>155</v>
      </c>
      <c r="J389" t="s">
        <v>16</v>
      </c>
      <c r="K389" t="s">
        <v>50</v>
      </c>
    </row>
    <row r="390" spans="1:11" x14ac:dyDescent="0.35">
      <c r="A390" t="s">
        <v>890</v>
      </c>
      <c r="B390" t="s">
        <v>18</v>
      </c>
      <c r="C390" t="s">
        <v>2250</v>
      </c>
      <c r="D390">
        <v>4</v>
      </c>
      <c r="E390" t="s">
        <v>2347</v>
      </c>
      <c r="F390" t="s">
        <v>2518</v>
      </c>
      <c r="G390" t="s">
        <v>891</v>
      </c>
      <c r="H390" t="s">
        <v>164</v>
      </c>
      <c r="I390" t="s">
        <v>165</v>
      </c>
      <c r="J390" t="s">
        <v>16</v>
      </c>
      <c r="K390" t="s">
        <v>892</v>
      </c>
    </row>
    <row r="391" spans="1:11" x14ac:dyDescent="0.35">
      <c r="A391" t="s">
        <v>893</v>
      </c>
      <c r="B391" t="s">
        <v>2274</v>
      </c>
      <c r="C391" t="s">
        <v>2253</v>
      </c>
      <c r="D391">
        <v>7</v>
      </c>
      <c r="E391" t="s">
        <v>2624</v>
      </c>
      <c r="F391" t="s">
        <v>2255</v>
      </c>
      <c r="G391" t="s">
        <v>894</v>
      </c>
      <c r="H391" t="s">
        <v>895</v>
      </c>
      <c r="I391" t="s">
        <v>896</v>
      </c>
      <c r="J391" t="s">
        <v>16</v>
      </c>
    </row>
    <row r="392" spans="1:11" x14ac:dyDescent="0.35">
      <c r="A392" t="s">
        <v>897</v>
      </c>
      <c r="B392" t="s">
        <v>12</v>
      </c>
      <c r="C392" t="s">
        <v>2264</v>
      </c>
      <c r="D392">
        <v>3</v>
      </c>
      <c r="E392" t="s">
        <v>2260</v>
      </c>
      <c r="F392" t="s">
        <v>2322</v>
      </c>
      <c r="G392" t="s">
        <v>280</v>
      </c>
      <c r="H392" t="s">
        <v>48</v>
      </c>
      <c r="I392" t="s">
        <v>49</v>
      </c>
      <c r="J392" t="s">
        <v>16</v>
      </c>
      <c r="K392" t="s">
        <v>50</v>
      </c>
    </row>
    <row r="393" spans="1:11" x14ac:dyDescent="0.35">
      <c r="A393" t="s">
        <v>898</v>
      </c>
      <c r="B393" t="s">
        <v>12</v>
      </c>
      <c r="C393" t="s">
        <v>2264</v>
      </c>
      <c r="D393">
        <v>3</v>
      </c>
      <c r="E393" t="s">
        <v>2260</v>
      </c>
      <c r="F393" t="s">
        <v>2322</v>
      </c>
      <c r="G393" t="s">
        <v>280</v>
      </c>
      <c r="H393" t="s">
        <v>48</v>
      </c>
      <c r="I393" t="s">
        <v>49</v>
      </c>
      <c r="J393" t="s">
        <v>16</v>
      </c>
      <c r="K393" t="s">
        <v>50</v>
      </c>
    </row>
    <row r="394" spans="1:11" x14ac:dyDescent="0.35">
      <c r="A394" t="s">
        <v>899</v>
      </c>
      <c r="B394" t="s">
        <v>12</v>
      </c>
      <c r="C394" t="s">
        <v>2250</v>
      </c>
      <c r="D394">
        <v>4</v>
      </c>
      <c r="E394" t="s">
        <v>2625</v>
      </c>
      <c r="F394" t="s">
        <v>2372</v>
      </c>
      <c r="G394" t="s">
        <v>317</v>
      </c>
      <c r="H394" t="s">
        <v>14</v>
      </c>
      <c r="I394" t="s">
        <v>15</v>
      </c>
      <c r="J394" t="s">
        <v>16</v>
      </c>
    </row>
    <row r="395" spans="1:11" x14ac:dyDescent="0.35">
      <c r="A395" t="s">
        <v>900</v>
      </c>
      <c r="B395" t="s">
        <v>18</v>
      </c>
      <c r="C395" t="s">
        <v>2264</v>
      </c>
      <c r="D395">
        <v>6</v>
      </c>
      <c r="E395" t="s">
        <v>2300</v>
      </c>
      <c r="F395" t="s">
        <v>2307</v>
      </c>
      <c r="G395" t="s">
        <v>901</v>
      </c>
      <c r="H395" t="s">
        <v>382</v>
      </c>
      <c r="I395" t="s">
        <v>383</v>
      </c>
      <c r="J395" t="s">
        <v>16</v>
      </c>
    </row>
    <row r="396" spans="1:11" x14ac:dyDescent="0.35">
      <c r="A396" t="s">
        <v>902</v>
      </c>
      <c r="B396" t="s">
        <v>18</v>
      </c>
      <c r="C396" t="s">
        <v>2268</v>
      </c>
      <c r="D396">
        <v>3</v>
      </c>
      <c r="E396" t="s">
        <v>2626</v>
      </c>
      <c r="F396" t="s">
        <v>2317</v>
      </c>
      <c r="G396" t="s">
        <v>807</v>
      </c>
      <c r="H396" t="s">
        <v>169</v>
      </c>
      <c r="I396" t="s">
        <v>170</v>
      </c>
      <c r="J396" t="s">
        <v>16</v>
      </c>
    </row>
    <row r="397" spans="1:11" x14ac:dyDescent="0.35">
      <c r="A397" t="s">
        <v>903</v>
      </c>
      <c r="B397" t="s">
        <v>66</v>
      </c>
      <c r="C397" t="s">
        <v>2264</v>
      </c>
      <c r="D397">
        <v>3</v>
      </c>
      <c r="E397" t="s">
        <v>2627</v>
      </c>
      <c r="F397" t="s">
        <v>2423</v>
      </c>
      <c r="G397" t="s">
        <v>547</v>
      </c>
      <c r="H397" t="s">
        <v>173</v>
      </c>
      <c r="I397" t="s">
        <v>174</v>
      </c>
      <c r="J397" t="s">
        <v>16</v>
      </c>
    </row>
    <row r="398" spans="1:11" x14ac:dyDescent="0.35">
      <c r="A398" t="s">
        <v>904</v>
      </c>
      <c r="B398" t="s">
        <v>66</v>
      </c>
      <c r="C398" t="s">
        <v>2268</v>
      </c>
      <c r="D398">
        <v>3</v>
      </c>
      <c r="E398" t="s">
        <v>2505</v>
      </c>
      <c r="F398" t="s">
        <v>2628</v>
      </c>
      <c r="G398" t="s">
        <v>547</v>
      </c>
      <c r="H398" t="s">
        <v>173</v>
      </c>
      <c r="I398" t="s">
        <v>174</v>
      </c>
      <c r="J398" t="s">
        <v>16</v>
      </c>
      <c r="K398" t="s">
        <v>496</v>
      </c>
    </row>
    <row r="399" spans="1:11" x14ac:dyDescent="0.35">
      <c r="A399" t="s">
        <v>905</v>
      </c>
      <c r="B399" t="s">
        <v>18</v>
      </c>
      <c r="C399" t="s">
        <v>2250</v>
      </c>
      <c r="D399">
        <v>5</v>
      </c>
      <c r="E399" t="s">
        <v>2526</v>
      </c>
      <c r="F399" t="s">
        <v>2527</v>
      </c>
      <c r="G399" t="s">
        <v>163</v>
      </c>
      <c r="H399" t="s">
        <v>164</v>
      </c>
      <c r="I399" t="s">
        <v>165</v>
      </c>
      <c r="J399" t="s">
        <v>16</v>
      </c>
    </row>
    <row r="400" spans="1:11" x14ac:dyDescent="0.35">
      <c r="A400" t="s">
        <v>906</v>
      </c>
      <c r="B400" t="s">
        <v>12</v>
      </c>
      <c r="C400" t="s">
        <v>2250</v>
      </c>
      <c r="D400">
        <v>4</v>
      </c>
      <c r="E400" t="s">
        <v>2391</v>
      </c>
      <c r="F400" t="s">
        <v>2497</v>
      </c>
      <c r="G400" t="s">
        <v>907</v>
      </c>
      <c r="H400" t="s">
        <v>772</v>
      </c>
      <c r="I400" t="s">
        <v>773</v>
      </c>
      <c r="J400" t="s">
        <v>16</v>
      </c>
    </row>
    <row r="401" spans="1:11" x14ac:dyDescent="0.35">
      <c r="A401" t="s">
        <v>908</v>
      </c>
      <c r="B401" t="s">
        <v>66</v>
      </c>
      <c r="C401" t="s">
        <v>2268</v>
      </c>
      <c r="D401">
        <v>3</v>
      </c>
      <c r="E401" t="s">
        <v>2463</v>
      </c>
      <c r="F401" t="s">
        <v>2584</v>
      </c>
      <c r="G401" t="s">
        <v>909</v>
      </c>
      <c r="H401" t="s">
        <v>382</v>
      </c>
      <c r="I401" t="s">
        <v>383</v>
      </c>
      <c r="J401" t="s">
        <v>16</v>
      </c>
      <c r="K401" t="s">
        <v>77</v>
      </c>
    </row>
    <row r="402" spans="1:11" x14ac:dyDescent="0.35">
      <c r="A402" t="s">
        <v>910</v>
      </c>
      <c r="B402" t="s">
        <v>12</v>
      </c>
      <c r="C402" t="s">
        <v>2268</v>
      </c>
      <c r="D402">
        <v>3</v>
      </c>
      <c r="E402" t="s">
        <v>2260</v>
      </c>
      <c r="F402" t="s">
        <v>2322</v>
      </c>
      <c r="G402" t="s">
        <v>280</v>
      </c>
      <c r="H402" t="s">
        <v>48</v>
      </c>
      <c r="I402" t="s">
        <v>49</v>
      </c>
      <c r="J402" t="s">
        <v>16</v>
      </c>
    </row>
    <row r="403" spans="1:11" x14ac:dyDescent="0.35">
      <c r="A403" t="s">
        <v>911</v>
      </c>
      <c r="B403" t="s">
        <v>18</v>
      </c>
      <c r="C403" t="s">
        <v>2247</v>
      </c>
      <c r="D403">
        <v>6</v>
      </c>
      <c r="E403" t="s">
        <v>2258</v>
      </c>
      <c r="F403" t="s">
        <v>2410</v>
      </c>
      <c r="G403" t="s">
        <v>852</v>
      </c>
      <c r="H403" t="s">
        <v>382</v>
      </c>
      <c r="I403" t="s">
        <v>383</v>
      </c>
      <c r="J403" t="s">
        <v>16</v>
      </c>
    </row>
    <row r="404" spans="1:11" x14ac:dyDescent="0.35">
      <c r="A404" t="s">
        <v>912</v>
      </c>
      <c r="B404" t="s">
        <v>66</v>
      </c>
      <c r="C404" t="s">
        <v>2268</v>
      </c>
      <c r="D404">
        <v>3</v>
      </c>
      <c r="E404" t="s">
        <v>2482</v>
      </c>
      <c r="F404" t="s">
        <v>2587</v>
      </c>
      <c r="G404" t="s">
        <v>913</v>
      </c>
      <c r="H404" t="s">
        <v>154</v>
      </c>
      <c r="I404" t="s">
        <v>155</v>
      </c>
      <c r="J404" t="s">
        <v>16</v>
      </c>
    </row>
    <row r="405" spans="1:11" x14ac:dyDescent="0.35">
      <c r="A405" t="s">
        <v>914</v>
      </c>
      <c r="B405" t="s">
        <v>2271</v>
      </c>
      <c r="E405" t="s">
        <v>2384</v>
      </c>
      <c r="F405" t="s">
        <v>2629</v>
      </c>
      <c r="G405" t="s">
        <v>915</v>
      </c>
      <c r="H405" t="s">
        <v>105</v>
      </c>
      <c r="I405" t="s">
        <v>106</v>
      </c>
      <c r="J405" t="s">
        <v>16</v>
      </c>
    </row>
    <row r="406" spans="1:11" x14ac:dyDescent="0.35">
      <c r="A406" t="s">
        <v>916</v>
      </c>
      <c r="B406" t="s">
        <v>12</v>
      </c>
      <c r="C406" t="s">
        <v>2250</v>
      </c>
      <c r="D406">
        <v>4</v>
      </c>
      <c r="E406" t="s">
        <v>2399</v>
      </c>
      <c r="F406" t="s">
        <v>2259</v>
      </c>
      <c r="G406" t="s">
        <v>917</v>
      </c>
      <c r="H406" t="s">
        <v>73</v>
      </c>
      <c r="I406" t="s">
        <v>74</v>
      </c>
      <c r="J406" t="s">
        <v>16</v>
      </c>
      <c r="K406" t="s">
        <v>918</v>
      </c>
    </row>
    <row r="407" spans="1:11" x14ac:dyDescent="0.35">
      <c r="A407" t="s">
        <v>919</v>
      </c>
      <c r="B407" t="s">
        <v>12</v>
      </c>
      <c r="C407" t="s">
        <v>2250</v>
      </c>
      <c r="D407">
        <v>4</v>
      </c>
      <c r="E407" t="s">
        <v>2389</v>
      </c>
      <c r="F407" t="s">
        <v>2286</v>
      </c>
      <c r="G407" t="s">
        <v>920</v>
      </c>
      <c r="H407" t="s">
        <v>264</v>
      </c>
      <c r="I407" t="s">
        <v>265</v>
      </c>
      <c r="J407" t="s">
        <v>16</v>
      </c>
      <c r="K407" t="s">
        <v>45</v>
      </c>
    </row>
    <row r="408" spans="1:11" x14ac:dyDescent="0.35">
      <c r="A408" t="s">
        <v>921</v>
      </c>
      <c r="B408" t="s">
        <v>18</v>
      </c>
      <c r="C408" t="s">
        <v>2332</v>
      </c>
      <c r="D408">
        <v>6</v>
      </c>
      <c r="E408" t="s">
        <v>2630</v>
      </c>
      <c r="F408" t="s">
        <v>2423</v>
      </c>
      <c r="G408" t="s">
        <v>922</v>
      </c>
      <c r="H408" t="s">
        <v>923</v>
      </c>
      <c r="I408" t="s">
        <v>924</v>
      </c>
      <c r="J408" t="s">
        <v>16</v>
      </c>
      <c r="K408" t="s">
        <v>45</v>
      </c>
    </row>
    <row r="409" spans="1:11" x14ac:dyDescent="0.35">
      <c r="A409" t="s">
        <v>925</v>
      </c>
      <c r="B409" t="s">
        <v>18</v>
      </c>
      <c r="C409" t="s">
        <v>2247</v>
      </c>
      <c r="D409">
        <v>5</v>
      </c>
      <c r="E409" t="s">
        <v>2347</v>
      </c>
      <c r="F409" t="s">
        <v>2317</v>
      </c>
      <c r="G409" t="s">
        <v>848</v>
      </c>
      <c r="H409" t="s">
        <v>849</v>
      </c>
      <c r="I409" t="s">
        <v>850</v>
      </c>
      <c r="J409" t="s">
        <v>16</v>
      </c>
      <c r="K409" t="s">
        <v>574</v>
      </c>
    </row>
    <row r="410" spans="1:11" x14ac:dyDescent="0.35">
      <c r="A410" t="s">
        <v>926</v>
      </c>
      <c r="B410" t="s">
        <v>18</v>
      </c>
      <c r="C410" t="s">
        <v>2250</v>
      </c>
      <c r="D410">
        <v>6</v>
      </c>
      <c r="E410" t="s">
        <v>2281</v>
      </c>
      <c r="F410" t="s">
        <v>2427</v>
      </c>
      <c r="G410" t="s">
        <v>594</v>
      </c>
      <c r="H410" t="s">
        <v>173</v>
      </c>
      <c r="I410" t="s">
        <v>174</v>
      </c>
      <c r="J410" t="s">
        <v>16</v>
      </c>
      <c r="K410" t="s">
        <v>927</v>
      </c>
    </row>
    <row r="411" spans="1:11" x14ac:dyDescent="0.35">
      <c r="A411" t="s">
        <v>928</v>
      </c>
      <c r="B411" t="s">
        <v>251</v>
      </c>
      <c r="C411" t="s">
        <v>2429</v>
      </c>
      <c r="D411">
        <v>1</v>
      </c>
      <c r="E411" t="s">
        <v>2631</v>
      </c>
      <c r="F411" t="s">
        <v>2515</v>
      </c>
      <c r="G411" t="s">
        <v>929</v>
      </c>
      <c r="H411" t="s">
        <v>173</v>
      </c>
      <c r="I411" t="s">
        <v>174</v>
      </c>
      <c r="J411" t="s">
        <v>16</v>
      </c>
    </row>
    <row r="412" spans="1:11" x14ac:dyDescent="0.35">
      <c r="A412" t="s">
        <v>930</v>
      </c>
      <c r="B412" t="s">
        <v>12</v>
      </c>
      <c r="C412" t="s">
        <v>2264</v>
      </c>
      <c r="D412">
        <v>3</v>
      </c>
      <c r="E412" t="s">
        <v>2260</v>
      </c>
      <c r="F412" t="s">
        <v>2322</v>
      </c>
      <c r="G412" t="s">
        <v>931</v>
      </c>
      <c r="H412" t="s">
        <v>48</v>
      </c>
      <c r="I412" t="s">
        <v>49</v>
      </c>
      <c r="J412" t="s">
        <v>16</v>
      </c>
      <c r="K412" t="s">
        <v>50</v>
      </c>
    </row>
    <row r="413" spans="1:11" x14ac:dyDescent="0.35">
      <c r="A413" t="s">
        <v>932</v>
      </c>
      <c r="B413" t="s">
        <v>12</v>
      </c>
      <c r="C413" t="s">
        <v>2268</v>
      </c>
      <c r="D413">
        <v>3</v>
      </c>
      <c r="E413" t="s">
        <v>2260</v>
      </c>
      <c r="F413" t="s">
        <v>2322</v>
      </c>
      <c r="G413" t="s">
        <v>161</v>
      </c>
      <c r="H413" t="s">
        <v>48</v>
      </c>
      <c r="I413" t="s">
        <v>49</v>
      </c>
      <c r="J413" t="s">
        <v>16</v>
      </c>
      <c r="K413" t="s">
        <v>50</v>
      </c>
    </row>
    <row r="414" spans="1:11" x14ac:dyDescent="0.35">
      <c r="A414" t="s">
        <v>933</v>
      </c>
      <c r="B414" t="s">
        <v>12</v>
      </c>
      <c r="C414" t="s">
        <v>2268</v>
      </c>
      <c r="D414">
        <v>3</v>
      </c>
      <c r="E414" t="s">
        <v>2260</v>
      </c>
      <c r="F414" t="s">
        <v>2322</v>
      </c>
      <c r="G414" t="s">
        <v>934</v>
      </c>
      <c r="H414" t="s">
        <v>48</v>
      </c>
      <c r="I414" t="s">
        <v>49</v>
      </c>
      <c r="J414" t="s">
        <v>16</v>
      </c>
      <c r="K414" t="s">
        <v>50</v>
      </c>
    </row>
    <row r="415" spans="1:11" x14ac:dyDescent="0.35">
      <c r="A415" t="s">
        <v>935</v>
      </c>
      <c r="B415" t="s">
        <v>66</v>
      </c>
      <c r="C415" t="s">
        <v>2264</v>
      </c>
      <c r="D415">
        <v>3</v>
      </c>
      <c r="E415" t="s">
        <v>2384</v>
      </c>
      <c r="F415" t="s">
        <v>2449</v>
      </c>
      <c r="G415" t="s">
        <v>936</v>
      </c>
      <c r="H415" t="s">
        <v>28</v>
      </c>
      <c r="I415" t="s">
        <v>29</v>
      </c>
      <c r="J415" t="s">
        <v>16</v>
      </c>
    </row>
    <row r="416" spans="1:11" x14ac:dyDescent="0.35">
      <c r="A416" t="s">
        <v>937</v>
      </c>
      <c r="B416" t="s">
        <v>12</v>
      </c>
      <c r="C416" t="s">
        <v>2264</v>
      </c>
      <c r="D416">
        <v>3</v>
      </c>
      <c r="E416" t="s">
        <v>2260</v>
      </c>
      <c r="F416" t="s">
        <v>2322</v>
      </c>
      <c r="G416" t="s">
        <v>2632</v>
      </c>
      <c r="H416" t="s">
        <v>48</v>
      </c>
      <c r="I416" t="s">
        <v>49</v>
      </c>
      <c r="J416" t="s">
        <v>16</v>
      </c>
      <c r="K416" t="s">
        <v>50</v>
      </c>
    </row>
    <row r="417" spans="1:11" x14ac:dyDescent="0.35">
      <c r="A417" t="s">
        <v>938</v>
      </c>
      <c r="B417" t="s">
        <v>12</v>
      </c>
      <c r="C417" t="s">
        <v>2268</v>
      </c>
      <c r="D417">
        <v>4</v>
      </c>
      <c r="E417" t="s">
        <v>2260</v>
      </c>
      <c r="F417" t="s">
        <v>2322</v>
      </c>
      <c r="G417" t="s">
        <v>122</v>
      </c>
      <c r="H417" t="s">
        <v>48</v>
      </c>
      <c r="I417" t="s">
        <v>49</v>
      </c>
      <c r="J417" t="s">
        <v>16</v>
      </c>
      <c r="K417" t="s">
        <v>50</v>
      </c>
    </row>
    <row r="418" spans="1:11" x14ac:dyDescent="0.35">
      <c r="A418" t="s">
        <v>939</v>
      </c>
      <c r="B418" t="s">
        <v>12</v>
      </c>
      <c r="C418" t="s">
        <v>2268</v>
      </c>
      <c r="D418">
        <v>3</v>
      </c>
      <c r="E418" t="s">
        <v>2406</v>
      </c>
      <c r="F418" t="s">
        <v>2322</v>
      </c>
      <c r="G418" t="s">
        <v>47</v>
      </c>
      <c r="H418" t="s">
        <v>48</v>
      </c>
      <c r="I418" t="s">
        <v>49</v>
      </c>
      <c r="J418" t="s">
        <v>16</v>
      </c>
      <c r="K418" t="s">
        <v>50</v>
      </c>
    </row>
    <row r="419" spans="1:11" x14ac:dyDescent="0.35">
      <c r="A419" t="s">
        <v>940</v>
      </c>
      <c r="B419" t="s">
        <v>2274</v>
      </c>
      <c r="C419" t="s">
        <v>2429</v>
      </c>
      <c r="D419">
        <v>2</v>
      </c>
      <c r="E419" t="s">
        <v>2260</v>
      </c>
      <c r="F419" t="s">
        <v>2255</v>
      </c>
      <c r="G419" t="s">
        <v>941</v>
      </c>
      <c r="H419" t="s">
        <v>942</v>
      </c>
      <c r="I419" t="s">
        <v>943</v>
      </c>
      <c r="J419" t="s">
        <v>16</v>
      </c>
    </row>
    <row r="420" spans="1:11" x14ac:dyDescent="0.35">
      <c r="A420" t="s">
        <v>944</v>
      </c>
      <c r="B420" t="s">
        <v>18</v>
      </c>
      <c r="C420" t="s">
        <v>2359</v>
      </c>
      <c r="D420">
        <v>4</v>
      </c>
      <c r="E420" t="s">
        <v>2367</v>
      </c>
      <c r="F420" t="s">
        <v>2476</v>
      </c>
      <c r="G420" t="s">
        <v>945</v>
      </c>
      <c r="H420" t="s">
        <v>169</v>
      </c>
      <c r="I420" t="s">
        <v>170</v>
      </c>
      <c r="J420" t="s">
        <v>16</v>
      </c>
      <c r="K420" t="s">
        <v>499</v>
      </c>
    </row>
    <row r="421" spans="1:11" x14ac:dyDescent="0.35">
      <c r="A421" t="s">
        <v>946</v>
      </c>
      <c r="B421" t="s">
        <v>18</v>
      </c>
      <c r="C421" t="s">
        <v>2253</v>
      </c>
      <c r="D421">
        <v>11</v>
      </c>
      <c r="E421" t="s">
        <v>2633</v>
      </c>
      <c r="F421" t="s">
        <v>2286</v>
      </c>
      <c r="G421" t="s">
        <v>947</v>
      </c>
      <c r="H421" t="s">
        <v>141</v>
      </c>
      <c r="I421" t="s">
        <v>142</v>
      </c>
      <c r="J421" t="s">
        <v>16</v>
      </c>
      <c r="K421" t="s">
        <v>948</v>
      </c>
    </row>
    <row r="422" spans="1:11" x14ac:dyDescent="0.35">
      <c r="A422" t="s">
        <v>949</v>
      </c>
      <c r="B422" t="s">
        <v>18</v>
      </c>
      <c r="C422" t="s">
        <v>2491</v>
      </c>
      <c r="D422">
        <v>9</v>
      </c>
      <c r="E422" t="s">
        <v>2272</v>
      </c>
      <c r="F422" t="s">
        <v>2515</v>
      </c>
      <c r="G422" t="s">
        <v>852</v>
      </c>
      <c r="H422" t="s">
        <v>382</v>
      </c>
      <c r="I422" t="s">
        <v>383</v>
      </c>
      <c r="J422" t="s">
        <v>16</v>
      </c>
    </row>
    <row r="423" spans="1:11" x14ac:dyDescent="0.35">
      <c r="A423" t="s">
        <v>950</v>
      </c>
      <c r="B423" t="s">
        <v>66</v>
      </c>
      <c r="C423" t="s">
        <v>2268</v>
      </c>
      <c r="D423">
        <v>3</v>
      </c>
      <c r="E423" t="s">
        <v>2477</v>
      </c>
      <c r="F423" t="s">
        <v>2420</v>
      </c>
      <c r="G423" t="s">
        <v>128</v>
      </c>
      <c r="H423" t="s">
        <v>68</v>
      </c>
      <c r="I423" t="s">
        <v>69</v>
      </c>
      <c r="J423" t="s">
        <v>16</v>
      </c>
      <c r="K423" t="s">
        <v>426</v>
      </c>
    </row>
    <row r="424" spans="1:11" x14ac:dyDescent="0.35">
      <c r="A424" t="s">
        <v>951</v>
      </c>
      <c r="B424" t="s">
        <v>2274</v>
      </c>
      <c r="C424" t="s">
        <v>2253</v>
      </c>
      <c r="D424">
        <v>11</v>
      </c>
      <c r="E424" t="s">
        <v>2634</v>
      </c>
      <c r="F424" t="s">
        <v>2276</v>
      </c>
      <c r="G424" t="s">
        <v>952</v>
      </c>
      <c r="H424" t="s">
        <v>953</v>
      </c>
      <c r="I424" t="s">
        <v>954</v>
      </c>
      <c r="J424" t="s">
        <v>16</v>
      </c>
      <c r="K424" t="s">
        <v>64</v>
      </c>
    </row>
    <row r="425" spans="1:11" x14ac:dyDescent="0.35">
      <c r="A425" t="s">
        <v>955</v>
      </c>
      <c r="B425" t="s">
        <v>2274</v>
      </c>
      <c r="C425" t="s">
        <v>2253</v>
      </c>
      <c r="D425">
        <v>11</v>
      </c>
      <c r="E425" t="s">
        <v>2366</v>
      </c>
      <c r="F425" t="s">
        <v>2449</v>
      </c>
      <c r="G425" t="s">
        <v>956</v>
      </c>
      <c r="H425" t="s">
        <v>957</v>
      </c>
      <c r="I425" t="s">
        <v>958</v>
      </c>
      <c r="J425" t="s">
        <v>16</v>
      </c>
      <c r="K425" t="s">
        <v>64</v>
      </c>
    </row>
    <row r="426" spans="1:11" x14ac:dyDescent="0.35">
      <c r="A426" t="s">
        <v>959</v>
      </c>
      <c r="B426" t="s">
        <v>66</v>
      </c>
      <c r="C426" t="s">
        <v>2268</v>
      </c>
      <c r="D426">
        <v>3</v>
      </c>
      <c r="E426" t="s">
        <v>2635</v>
      </c>
      <c r="F426" t="s">
        <v>2487</v>
      </c>
      <c r="G426" t="s">
        <v>290</v>
      </c>
      <c r="H426" t="s">
        <v>291</v>
      </c>
      <c r="I426" t="s">
        <v>292</v>
      </c>
      <c r="J426" t="s">
        <v>16</v>
      </c>
      <c r="K426" t="s">
        <v>496</v>
      </c>
    </row>
    <row r="427" spans="1:11" x14ac:dyDescent="0.35">
      <c r="A427" t="s">
        <v>960</v>
      </c>
      <c r="B427" t="s">
        <v>66</v>
      </c>
      <c r="C427" t="s">
        <v>2268</v>
      </c>
      <c r="D427">
        <v>3</v>
      </c>
      <c r="E427" t="s">
        <v>2366</v>
      </c>
      <c r="F427" t="s">
        <v>2636</v>
      </c>
      <c r="G427" t="s">
        <v>623</v>
      </c>
      <c r="H427" t="s">
        <v>73</v>
      </c>
      <c r="I427" t="s">
        <v>74</v>
      </c>
      <c r="J427" t="s">
        <v>16</v>
      </c>
    </row>
    <row r="428" spans="1:11" x14ac:dyDescent="0.35">
      <c r="A428" t="s">
        <v>961</v>
      </c>
      <c r="B428" t="s">
        <v>18</v>
      </c>
      <c r="C428" t="s">
        <v>2247</v>
      </c>
      <c r="D428">
        <v>7</v>
      </c>
      <c r="E428" t="s">
        <v>2406</v>
      </c>
      <c r="F428" t="s">
        <v>2351</v>
      </c>
      <c r="G428" t="s">
        <v>962</v>
      </c>
      <c r="H428" t="s">
        <v>14</v>
      </c>
      <c r="I428" t="s">
        <v>15</v>
      </c>
      <c r="J428" t="s">
        <v>16</v>
      </c>
    </row>
    <row r="429" spans="1:11" x14ac:dyDescent="0.35">
      <c r="A429" t="s">
        <v>963</v>
      </c>
      <c r="B429" t="s">
        <v>66</v>
      </c>
      <c r="C429" t="s">
        <v>2250</v>
      </c>
      <c r="D429">
        <v>3</v>
      </c>
      <c r="E429" t="s">
        <v>2409</v>
      </c>
      <c r="F429" t="s">
        <v>2637</v>
      </c>
      <c r="G429" t="s">
        <v>964</v>
      </c>
      <c r="H429" t="s">
        <v>965</v>
      </c>
      <c r="I429" t="s">
        <v>966</v>
      </c>
      <c r="J429" t="s">
        <v>16</v>
      </c>
    </row>
    <row r="430" spans="1:11" x14ac:dyDescent="0.35">
      <c r="A430" t="s">
        <v>967</v>
      </c>
      <c r="B430" t="s">
        <v>12</v>
      </c>
      <c r="C430" t="s">
        <v>2268</v>
      </c>
      <c r="D430">
        <v>5</v>
      </c>
      <c r="E430" t="s">
        <v>2525</v>
      </c>
      <c r="F430" t="s">
        <v>2305</v>
      </c>
      <c r="G430" t="s">
        <v>358</v>
      </c>
      <c r="H430" t="s">
        <v>218</v>
      </c>
      <c r="I430" t="s">
        <v>219</v>
      </c>
      <c r="J430" t="s">
        <v>16</v>
      </c>
    </row>
    <row r="431" spans="1:11" x14ac:dyDescent="0.35">
      <c r="A431" t="s">
        <v>968</v>
      </c>
      <c r="B431" t="s">
        <v>18</v>
      </c>
      <c r="C431" t="s">
        <v>2264</v>
      </c>
      <c r="D431">
        <v>3</v>
      </c>
      <c r="E431" t="s">
        <v>2589</v>
      </c>
      <c r="F431" t="s">
        <v>2316</v>
      </c>
      <c r="G431" t="s">
        <v>969</v>
      </c>
      <c r="H431" t="s">
        <v>970</v>
      </c>
      <c r="I431" t="s">
        <v>971</v>
      </c>
      <c r="J431" t="s">
        <v>16</v>
      </c>
      <c r="K431" t="s">
        <v>50</v>
      </c>
    </row>
    <row r="432" spans="1:11" x14ac:dyDescent="0.35">
      <c r="A432" t="s">
        <v>972</v>
      </c>
      <c r="B432" t="s">
        <v>12</v>
      </c>
      <c r="C432" t="s">
        <v>2268</v>
      </c>
      <c r="D432">
        <v>3</v>
      </c>
      <c r="E432" t="s">
        <v>2260</v>
      </c>
      <c r="F432" t="s">
        <v>2346</v>
      </c>
      <c r="G432" t="s">
        <v>280</v>
      </c>
      <c r="H432" t="s">
        <v>48</v>
      </c>
      <c r="I432" t="s">
        <v>49</v>
      </c>
      <c r="J432" t="s">
        <v>16</v>
      </c>
      <c r="K432" t="s">
        <v>50</v>
      </c>
    </row>
    <row r="433" spans="1:11" x14ac:dyDescent="0.35">
      <c r="A433" t="s">
        <v>973</v>
      </c>
      <c r="B433" t="s">
        <v>12</v>
      </c>
      <c r="C433" t="s">
        <v>2268</v>
      </c>
      <c r="D433">
        <v>3</v>
      </c>
      <c r="E433" t="s">
        <v>2260</v>
      </c>
      <c r="F433" t="s">
        <v>2269</v>
      </c>
      <c r="G433" t="s">
        <v>280</v>
      </c>
      <c r="H433" t="s">
        <v>48</v>
      </c>
      <c r="I433" t="s">
        <v>49</v>
      </c>
      <c r="J433" t="s">
        <v>16</v>
      </c>
      <c r="K433" t="s">
        <v>50</v>
      </c>
    </row>
    <row r="434" spans="1:11" x14ac:dyDescent="0.35">
      <c r="A434" t="s">
        <v>974</v>
      </c>
      <c r="B434" t="s">
        <v>12</v>
      </c>
      <c r="C434" t="s">
        <v>2268</v>
      </c>
      <c r="D434">
        <v>5</v>
      </c>
      <c r="E434" t="s">
        <v>2638</v>
      </c>
      <c r="F434" t="s">
        <v>2414</v>
      </c>
      <c r="G434" t="s">
        <v>975</v>
      </c>
      <c r="H434" t="s">
        <v>405</v>
      </c>
      <c r="I434" t="s">
        <v>406</v>
      </c>
      <c r="J434" t="s">
        <v>16</v>
      </c>
      <c r="K434" t="s">
        <v>407</v>
      </c>
    </row>
    <row r="435" spans="1:11" x14ac:dyDescent="0.35">
      <c r="A435" t="s">
        <v>976</v>
      </c>
      <c r="B435" t="s">
        <v>66</v>
      </c>
      <c r="C435" t="s">
        <v>2264</v>
      </c>
      <c r="D435">
        <v>3</v>
      </c>
      <c r="E435" t="s">
        <v>2409</v>
      </c>
      <c r="F435" t="s">
        <v>2484</v>
      </c>
      <c r="G435" t="s">
        <v>977</v>
      </c>
      <c r="H435" t="s">
        <v>164</v>
      </c>
      <c r="I435" t="s">
        <v>165</v>
      </c>
      <c r="J435" t="s">
        <v>16</v>
      </c>
      <c r="K435" t="s">
        <v>426</v>
      </c>
    </row>
    <row r="436" spans="1:11" x14ac:dyDescent="0.35">
      <c r="A436" t="s">
        <v>978</v>
      </c>
      <c r="B436" t="s">
        <v>66</v>
      </c>
      <c r="C436" t="s">
        <v>2264</v>
      </c>
      <c r="D436">
        <v>3</v>
      </c>
      <c r="E436" t="s">
        <v>2437</v>
      </c>
      <c r="F436" t="s">
        <v>2639</v>
      </c>
      <c r="G436" t="s">
        <v>979</v>
      </c>
      <c r="H436" t="s">
        <v>164</v>
      </c>
      <c r="I436" t="s">
        <v>165</v>
      </c>
      <c r="J436" t="s">
        <v>16</v>
      </c>
      <c r="K436" t="s">
        <v>426</v>
      </c>
    </row>
    <row r="437" spans="1:11" x14ac:dyDescent="0.35">
      <c r="A437" t="s">
        <v>980</v>
      </c>
      <c r="B437" t="s">
        <v>12</v>
      </c>
      <c r="C437" t="s">
        <v>2268</v>
      </c>
      <c r="D437">
        <v>3</v>
      </c>
      <c r="E437" t="s">
        <v>2260</v>
      </c>
      <c r="F437" t="s">
        <v>2322</v>
      </c>
      <c r="G437" t="s">
        <v>47</v>
      </c>
      <c r="H437" t="s">
        <v>48</v>
      </c>
      <c r="I437" t="s">
        <v>49</v>
      </c>
      <c r="J437" t="s">
        <v>16</v>
      </c>
      <c r="K437" t="s">
        <v>50</v>
      </c>
    </row>
    <row r="438" spans="1:11" x14ac:dyDescent="0.35">
      <c r="A438" t="s">
        <v>981</v>
      </c>
      <c r="B438" t="s">
        <v>12</v>
      </c>
      <c r="C438" t="s">
        <v>2268</v>
      </c>
      <c r="D438">
        <v>4</v>
      </c>
      <c r="E438" t="s">
        <v>2260</v>
      </c>
      <c r="F438" t="s">
        <v>2322</v>
      </c>
      <c r="G438" t="s">
        <v>161</v>
      </c>
      <c r="H438" t="s">
        <v>48</v>
      </c>
      <c r="I438" t="s">
        <v>49</v>
      </c>
      <c r="J438" t="s">
        <v>16</v>
      </c>
      <c r="K438" t="s">
        <v>50</v>
      </c>
    </row>
    <row r="439" spans="1:11" x14ac:dyDescent="0.35">
      <c r="A439" t="s">
        <v>982</v>
      </c>
      <c r="B439" t="s">
        <v>66</v>
      </c>
      <c r="C439" t="s">
        <v>2268</v>
      </c>
      <c r="D439">
        <v>3</v>
      </c>
      <c r="E439" t="s">
        <v>2617</v>
      </c>
      <c r="F439" t="s">
        <v>2610</v>
      </c>
      <c r="G439" t="s">
        <v>983</v>
      </c>
      <c r="H439" t="s">
        <v>570</v>
      </c>
      <c r="I439" t="s">
        <v>571</v>
      </c>
      <c r="J439" t="s">
        <v>16</v>
      </c>
      <c r="K439" t="s">
        <v>407</v>
      </c>
    </row>
    <row r="440" spans="1:11" x14ac:dyDescent="0.35">
      <c r="A440" t="s">
        <v>984</v>
      </c>
      <c r="B440" t="s">
        <v>12</v>
      </c>
      <c r="C440" t="s">
        <v>2268</v>
      </c>
      <c r="D440">
        <v>3</v>
      </c>
      <c r="E440" t="s">
        <v>2260</v>
      </c>
      <c r="F440" t="s">
        <v>2280</v>
      </c>
      <c r="G440" t="s">
        <v>710</v>
      </c>
      <c r="H440" t="s">
        <v>48</v>
      </c>
      <c r="I440" t="s">
        <v>49</v>
      </c>
      <c r="J440" t="s">
        <v>16</v>
      </c>
      <c r="K440" t="s">
        <v>50</v>
      </c>
    </row>
    <row r="441" spans="1:11" x14ac:dyDescent="0.35">
      <c r="A441" t="s">
        <v>985</v>
      </c>
      <c r="B441" t="s">
        <v>66</v>
      </c>
      <c r="C441" t="s">
        <v>2268</v>
      </c>
      <c r="D441">
        <v>3</v>
      </c>
      <c r="E441" t="s">
        <v>2440</v>
      </c>
      <c r="F441" t="s">
        <v>2640</v>
      </c>
      <c r="G441" t="s">
        <v>986</v>
      </c>
      <c r="H441" t="s">
        <v>494</v>
      </c>
      <c r="I441" t="s">
        <v>495</v>
      </c>
      <c r="J441" t="s">
        <v>16</v>
      </c>
      <c r="K441" t="s">
        <v>496</v>
      </c>
    </row>
    <row r="442" spans="1:11" x14ac:dyDescent="0.35">
      <c r="A442" t="s">
        <v>987</v>
      </c>
      <c r="B442" t="s">
        <v>66</v>
      </c>
      <c r="C442" t="s">
        <v>2268</v>
      </c>
      <c r="D442">
        <v>3</v>
      </c>
      <c r="E442" t="s">
        <v>2389</v>
      </c>
      <c r="F442" t="s">
        <v>2341</v>
      </c>
      <c r="G442" t="s">
        <v>138</v>
      </c>
      <c r="H442" t="s">
        <v>14</v>
      </c>
      <c r="I442" t="s">
        <v>15</v>
      </c>
      <c r="J442" t="s">
        <v>16</v>
      </c>
      <c r="K442" t="s">
        <v>50</v>
      </c>
    </row>
    <row r="443" spans="1:11" x14ac:dyDescent="0.35">
      <c r="A443" t="s">
        <v>988</v>
      </c>
      <c r="B443" t="s">
        <v>66</v>
      </c>
      <c r="C443" t="s">
        <v>2268</v>
      </c>
      <c r="D443">
        <v>3</v>
      </c>
      <c r="E443" t="s">
        <v>2525</v>
      </c>
      <c r="F443" t="s">
        <v>2392</v>
      </c>
      <c r="G443" t="s">
        <v>989</v>
      </c>
      <c r="H443" t="s">
        <v>154</v>
      </c>
      <c r="I443" t="s">
        <v>155</v>
      </c>
      <c r="J443" t="s">
        <v>16</v>
      </c>
      <c r="K443" t="s">
        <v>50</v>
      </c>
    </row>
    <row r="444" spans="1:11" x14ac:dyDescent="0.35">
      <c r="A444" t="s">
        <v>990</v>
      </c>
      <c r="B444" t="s">
        <v>18</v>
      </c>
      <c r="C444" t="s">
        <v>2264</v>
      </c>
      <c r="D444">
        <v>3</v>
      </c>
      <c r="E444" t="s">
        <v>2580</v>
      </c>
      <c r="F444" t="s">
        <v>2598</v>
      </c>
      <c r="G444" t="s">
        <v>2641</v>
      </c>
      <c r="H444" t="s">
        <v>97</v>
      </c>
      <c r="I444" t="s">
        <v>98</v>
      </c>
      <c r="J444" t="s">
        <v>16</v>
      </c>
    </row>
    <row r="445" spans="1:11" x14ac:dyDescent="0.35">
      <c r="A445" t="s">
        <v>991</v>
      </c>
      <c r="B445" t="s">
        <v>12</v>
      </c>
      <c r="C445" t="s">
        <v>2268</v>
      </c>
      <c r="D445">
        <v>4</v>
      </c>
      <c r="E445" t="s">
        <v>2260</v>
      </c>
      <c r="F445" t="s">
        <v>2322</v>
      </c>
      <c r="G445" t="s">
        <v>877</v>
      </c>
      <c r="H445" t="s">
        <v>48</v>
      </c>
      <c r="I445" t="s">
        <v>49</v>
      </c>
      <c r="J445" t="s">
        <v>16</v>
      </c>
      <c r="K445" t="s">
        <v>50</v>
      </c>
    </row>
    <row r="446" spans="1:11" x14ac:dyDescent="0.35">
      <c r="A446" t="s">
        <v>992</v>
      </c>
      <c r="B446" t="s">
        <v>18</v>
      </c>
      <c r="C446" t="s">
        <v>2247</v>
      </c>
      <c r="D446">
        <v>7</v>
      </c>
      <c r="E446" t="s">
        <v>2358</v>
      </c>
      <c r="F446" t="s">
        <v>2555</v>
      </c>
      <c r="G446" t="s">
        <v>993</v>
      </c>
      <c r="H446" t="s">
        <v>994</v>
      </c>
      <c r="I446" t="s">
        <v>995</v>
      </c>
      <c r="J446" t="s">
        <v>16</v>
      </c>
      <c r="K446" t="s">
        <v>996</v>
      </c>
    </row>
    <row r="447" spans="1:11" x14ac:dyDescent="0.35">
      <c r="A447" t="s">
        <v>997</v>
      </c>
      <c r="B447" t="s">
        <v>66</v>
      </c>
      <c r="C447" t="s">
        <v>2268</v>
      </c>
      <c r="D447">
        <v>3</v>
      </c>
      <c r="E447" t="s">
        <v>2510</v>
      </c>
      <c r="F447" t="s">
        <v>2601</v>
      </c>
      <c r="G447" t="s">
        <v>547</v>
      </c>
      <c r="H447" t="s">
        <v>173</v>
      </c>
      <c r="I447" t="s">
        <v>174</v>
      </c>
      <c r="J447" t="s">
        <v>16</v>
      </c>
      <c r="K447" t="s">
        <v>496</v>
      </c>
    </row>
    <row r="448" spans="1:11" x14ac:dyDescent="0.35">
      <c r="A448" t="s">
        <v>998</v>
      </c>
      <c r="B448" t="s">
        <v>66</v>
      </c>
      <c r="C448" t="s">
        <v>2264</v>
      </c>
      <c r="D448">
        <v>3</v>
      </c>
      <c r="E448" t="s">
        <v>2402</v>
      </c>
      <c r="F448" t="s">
        <v>2317</v>
      </c>
      <c r="G448" t="s">
        <v>240</v>
      </c>
      <c r="H448" t="s">
        <v>241</v>
      </c>
      <c r="I448" t="s">
        <v>242</v>
      </c>
      <c r="J448" t="s">
        <v>16</v>
      </c>
      <c r="K448" t="s">
        <v>296</v>
      </c>
    </row>
    <row r="449" spans="1:11" x14ac:dyDescent="0.35">
      <c r="A449" t="s">
        <v>999</v>
      </c>
      <c r="B449" t="s">
        <v>66</v>
      </c>
      <c r="C449" t="s">
        <v>2250</v>
      </c>
      <c r="D449">
        <v>3</v>
      </c>
      <c r="E449" t="s">
        <v>2371</v>
      </c>
      <c r="F449" t="s">
        <v>2642</v>
      </c>
      <c r="G449" t="s">
        <v>1000</v>
      </c>
      <c r="H449" t="s">
        <v>14</v>
      </c>
      <c r="I449" t="s">
        <v>15</v>
      </c>
      <c r="J449" t="s">
        <v>16</v>
      </c>
      <c r="K449" t="s">
        <v>948</v>
      </c>
    </row>
    <row r="450" spans="1:11" x14ac:dyDescent="0.35">
      <c r="A450" t="s">
        <v>1001</v>
      </c>
      <c r="B450" t="s">
        <v>12</v>
      </c>
      <c r="C450" t="s">
        <v>2268</v>
      </c>
      <c r="D450">
        <v>3</v>
      </c>
      <c r="E450" t="s">
        <v>2406</v>
      </c>
      <c r="F450" t="s">
        <v>2322</v>
      </c>
      <c r="G450" t="s">
        <v>47</v>
      </c>
      <c r="H450" t="s">
        <v>48</v>
      </c>
      <c r="I450" t="s">
        <v>49</v>
      </c>
      <c r="J450" t="s">
        <v>16</v>
      </c>
      <c r="K450" t="s">
        <v>50</v>
      </c>
    </row>
    <row r="451" spans="1:11" x14ac:dyDescent="0.35">
      <c r="A451" t="s">
        <v>1002</v>
      </c>
      <c r="B451" t="s">
        <v>18</v>
      </c>
      <c r="C451" t="s">
        <v>2247</v>
      </c>
      <c r="D451">
        <v>6</v>
      </c>
      <c r="E451" t="s">
        <v>2643</v>
      </c>
      <c r="F451" t="s">
        <v>2255</v>
      </c>
      <c r="G451" t="s">
        <v>1003</v>
      </c>
      <c r="H451" t="s">
        <v>233</v>
      </c>
      <c r="I451" t="s">
        <v>234</v>
      </c>
      <c r="J451" t="s">
        <v>16</v>
      </c>
      <c r="K451" t="s">
        <v>296</v>
      </c>
    </row>
    <row r="452" spans="1:11" x14ac:dyDescent="0.35">
      <c r="A452" t="s">
        <v>1004</v>
      </c>
      <c r="B452" t="s">
        <v>66</v>
      </c>
      <c r="C452" t="s">
        <v>2268</v>
      </c>
      <c r="D452">
        <v>3</v>
      </c>
      <c r="E452" t="s">
        <v>2644</v>
      </c>
      <c r="F452" t="s">
        <v>2645</v>
      </c>
      <c r="G452" t="s">
        <v>979</v>
      </c>
      <c r="H452" t="s">
        <v>164</v>
      </c>
      <c r="I452" t="s">
        <v>165</v>
      </c>
      <c r="J452" t="s">
        <v>16</v>
      </c>
    </row>
    <row r="453" spans="1:11" x14ac:dyDescent="0.35">
      <c r="A453" t="s">
        <v>1005</v>
      </c>
      <c r="B453" t="s">
        <v>66</v>
      </c>
      <c r="C453" t="s">
        <v>2264</v>
      </c>
      <c r="D453">
        <v>3</v>
      </c>
      <c r="E453" t="s">
        <v>2477</v>
      </c>
      <c r="F453" t="s">
        <v>2280</v>
      </c>
      <c r="G453" t="s">
        <v>128</v>
      </c>
      <c r="H453" t="s">
        <v>68</v>
      </c>
      <c r="I453" t="s">
        <v>69</v>
      </c>
      <c r="J453" t="s">
        <v>16</v>
      </c>
    </row>
    <row r="454" spans="1:11" x14ac:dyDescent="0.35">
      <c r="A454" t="s">
        <v>1006</v>
      </c>
      <c r="B454" t="s">
        <v>66</v>
      </c>
      <c r="C454" t="s">
        <v>2264</v>
      </c>
      <c r="D454">
        <v>3</v>
      </c>
      <c r="E454" t="s">
        <v>2437</v>
      </c>
      <c r="F454" t="s">
        <v>2280</v>
      </c>
      <c r="G454" t="s">
        <v>1007</v>
      </c>
      <c r="H454" t="s">
        <v>164</v>
      </c>
      <c r="I454" t="s">
        <v>165</v>
      </c>
      <c r="J454" t="s">
        <v>16</v>
      </c>
    </row>
    <row r="455" spans="1:11" x14ac:dyDescent="0.35">
      <c r="A455" t="s">
        <v>1008</v>
      </c>
      <c r="B455" t="s">
        <v>66</v>
      </c>
      <c r="C455" t="s">
        <v>2268</v>
      </c>
      <c r="D455">
        <v>3</v>
      </c>
      <c r="E455" t="s">
        <v>2380</v>
      </c>
      <c r="F455" t="s">
        <v>2314</v>
      </c>
      <c r="G455" t="s">
        <v>140</v>
      </c>
      <c r="H455" t="s">
        <v>141</v>
      </c>
      <c r="I455" t="s">
        <v>142</v>
      </c>
      <c r="J455" t="s">
        <v>16</v>
      </c>
    </row>
    <row r="456" spans="1:11" x14ac:dyDescent="0.35">
      <c r="A456" t="s">
        <v>1009</v>
      </c>
      <c r="B456" t="s">
        <v>66</v>
      </c>
      <c r="C456" t="s">
        <v>2250</v>
      </c>
      <c r="D456">
        <v>5</v>
      </c>
      <c r="E456" t="s">
        <v>2279</v>
      </c>
      <c r="F456" t="s">
        <v>2615</v>
      </c>
      <c r="G456" t="s">
        <v>1010</v>
      </c>
      <c r="H456" t="s">
        <v>68</v>
      </c>
      <c r="I456" t="s">
        <v>69</v>
      </c>
      <c r="J456" t="s">
        <v>16</v>
      </c>
      <c r="K456" t="s">
        <v>426</v>
      </c>
    </row>
    <row r="457" spans="1:11" x14ac:dyDescent="0.35">
      <c r="A457" t="s">
        <v>1011</v>
      </c>
      <c r="B457" t="s">
        <v>66</v>
      </c>
      <c r="C457" t="s">
        <v>2264</v>
      </c>
      <c r="D457">
        <v>3</v>
      </c>
      <c r="E457" t="s">
        <v>2437</v>
      </c>
      <c r="F457" t="s">
        <v>2280</v>
      </c>
      <c r="G457" t="s">
        <v>977</v>
      </c>
      <c r="H457" t="s">
        <v>164</v>
      </c>
      <c r="I457" t="s">
        <v>165</v>
      </c>
      <c r="J457" t="s">
        <v>16</v>
      </c>
      <c r="K457" t="s">
        <v>426</v>
      </c>
    </row>
    <row r="458" spans="1:11" x14ac:dyDescent="0.35">
      <c r="A458" t="s">
        <v>1012</v>
      </c>
      <c r="B458" t="s">
        <v>12</v>
      </c>
      <c r="C458" t="s">
        <v>2264</v>
      </c>
      <c r="D458">
        <v>3</v>
      </c>
      <c r="E458" t="s">
        <v>2605</v>
      </c>
      <c r="F458" t="s">
        <v>2249</v>
      </c>
      <c r="G458" t="s">
        <v>1013</v>
      </c>
      <c r="H458" t="s">
        <v>264</v>
      </c>
      <c r="I458" t="s">
        <v>265</v>
      </c>
      <c r="J458" t="s">
        <v>16</v>
      </c>
      <c r="K458" t="s">
        <v>392</v>
      </c>
    </row>
    <row r="459" spans="1:11" x14ac:dyDescent="0.35">
      <c r="A459" t="s">
        <v>1014</v>
      </c>
      <c r="B459" t="s">
        <v>66</v>
      </c>
      <c r="C459" t="s">
        <v>2268</v>
      </c>
      <c r="D459">
        <v>3</v>
      </c>
      <c r="E459" t="s">
        <v>2296</v>
      </c>
      <c r="F459" t="s">
        <v>2618</v>
      </c>
      <c r="G459" t="s">
        <v>1015</v>
      </c>
      <c r="H459" t="s">
        <v>28</v>
      </c>
      <c r="I459" t="s">
        <v>29</v>
      </c>
      <c r="J459" t="s">
        <v>16</v>
      </c>
      <c r="K459" t="s">
        <v>1016</v>
      </c>
    </row>
    <row r="460" spans="1:11" x14ac:dyDescent="0.35">
      <c r="A460" t="s">
        <v>1017</v>
      </c>
      <c r="B460" t="s">
        <v>12</v>
      </c>
      <c r="C460" t="s">
        <v>2268</v>
      </c>
      <c r="D460">
        <v>4</v>
      </c>
      <c r="E460" t="s">
        <v>2300</v>
      </c>
      <c r="F460" t="s">
        <v>2514</v>
      </c>
      <c r="G460" t="s">
        <v>1018</v>
      </c>
      <c r="H460" t="s">
        <v>1019</v>
      </c>
      <c r="I460" t="s">
        <v>1020</v>
      </c>
      <c r="J460" t="s">
        <v>16</v>
      </c>
      <c r="K460" t="s">
        <v>45</v>
      </c>
    </row>
    <row r="461" spans="1:11" x14ac:dyDescent="0.35">
      <c r="A461" t="s">
        <v>1021</v>
      </c>
      <c r="B461" t="s">
        <v>18</v>
      </c>
      <c r="C461" t="s">
        <v>2250</v>
      </c>
      <c r="D461">
        <v>6</v>
      </c>
      <c r="E461" t="s">
        <v>2406</v>
      </c>
      <c r="F461" t="s">
        <v>2646</v>
      </c>
      <c r="G461" t="s">
        <v>1022</v>
      </c>
      <c r="H461" t="s">
        <v>125</v>
      </c>
      <c r="I461" t="s">
        <v>126</v>
      </c>
      <c r="J461" t="s">
        <v>16</v>
      </c>
      <c r="K461" t="s">
        <v>407</v>
      </c>
    </row>
    <row r="462" spans="1:11" x14ac:dyDescent="0.35">
      <c r="A462" t="s">
        <v>1023</v>
      </c>
      <c r="B462" t="s">
        <v>18</v>
      </c>
      <c r="C462" t="s">
        <v>2297</v>
      </c>
      <c r="D462">
        <v>6</v>
      </c>
      <c r="E462" t="s">
        <v>2289</v>
      </c>
      <c r="F462" t="s">
        <v>2280</v>
      </c>
      <c r="G462" t="s">
        <v>1024</v>
      </c>
      <c r="H462" t="s">
        <v>169</v>
      </c>
      <c r="I462" t="s">
        <v>170</v>
      </c>
      <c r="J462" t="s">
        <v>16</v>
      </c>
      <c r="K462" t="s">
        <v>1025</v>
      </c>
    </row>
    <row r="463" spans="1:11" x14ac:dyDescent="0.35">
      <c r="A463" t="s">
        <v>1026</v>
      </c>
      <c r="B463" t="s">
        <v>66</v>
      </c>
      <c r="C463" t="s">
        <v>2264</v>
      </c>
      <c r="D463">
        <v>4</v>
      </c>
      <c r="E463" t="s">
        <v>2409</v>
      </c>
      <c r="F463" t="s">
        <v>2420</v>
      </c>
      <c r="G463" t="s">
        <v>128</v>
      </c>
      <c r="H463" t="s">
        <v>68</v>
      </c>
      <c r="I463" t="s">
        <v>69</v>
      </c>
      <c r="J463" t="s">
        <v>16</v>
      </c>
      <c r="K463" t="s">
        <v>426</v>
      </c>
    </row>
    <row r="464" spans="1:11" x14ac:dyDescent="0.35">
      <c r="A464" t="s">
        <v>1027</v>
      </c>
      <c r="B464" t="s">
        <v>66</v>
      </c>
      <c r="C464" t="s">
        <v>2268</v>
      </c>
      <c r="D464">
        <v>2</v>
      </c>
      <c r="E464" t="s">
        <v>2505</v>
      </c>
      <c r="F464" t="s">
        <v>2353</v>
      </c>
      <c r="G464" t="s">
        <v>1028</v>
      </c>
      <c r="H464" t="s">
        <v>154</v>
      </c>
      <c r="I464" t="s">
        <v>155</v>
      </c>
      <c r="J464" t="s">
        <v>16</v>
      </c>
      <c r="K464" t="s">
        <v>624</v>
      </c>
    </row>
    <row r="465" spans="1:11" x14ac:dyDescent="0.35">
      <c r="A465" t="s">
        <v>1029</v>
      </c>
      <c r="B465" t="s">
        <v>66</v>
      </c>
      <c r="C465" t="s">
        <v>2268</v>
      </c>
      <c r="D465">
        <v>3</v>
      </c>
      <c r="E465" t="s">
        <v>2569</v>
      </c>
      <c r="F465" t="s">
        <v>2249</v>
      </c>
      <c r="G465" t="s">
        <v>1030</v>
      </c>
      <c r="H465" t="s">
        <v>264</v>
      </c>
      <c r="I465" t="s">
        <v>265</v>
      </c>
      <c r="J465" t="s">
        <v>16</v>
      </c>
      <c r="K465" t="s">
        <v>624</v>
      </c>
    </row>
    <row r="466" spans="1:11" x14ac:dyDescent="0.35">
      <c r="A466" t="s">
        <v>1031</v>
      </c>
      <c r="B466" t="s">
        <v>66</v>
      </c>
      <c r="C466" t="s">
        <v>2429</v>
      </c>
      <c r="D466">
        <v>2</v>
      </c>
      <c r="E466" t="s">
        <v>2647</v>
      </c>
      <c r="F466" t="s">
        <v>2648</v>
      </c>
      <c r="G466" t="s">
        <v>213</v>
      </c>
      <c r="H466" t="s">
        <v>169</v>
      </c>
      <c r="I466" t="s">
        <v>170</v>
      </c>
      <c r="J466" t="s">
        <v>16</v>
      </c>
      <c r="K466" t="s">
        <v>624</v>
      </c>
    </row>
    <row r="467" spans="1:11" x14ac:dyDescent="0.35">
      <c r="A467" t="s">
        <v>1032</v>
      </c>
      <c r="B467" t="s">
        <v>1033</v>
      </c>
      <c r="E467" t="s">
        <v>2279</v>
      </c>
      <c r="F467" t="s">
        <v>2649</v>
      </c>
      <c r="G467" t="s">
        <v>1034</v>
      </c>
      <c r="H467" t="s">
        <v>1035</v>
      </c>
      <c r="I467" t="s">
        <v>1036</v>
      </c>
      <c r="J467" t="s">
        <v>16</v>
      </c>
      <c r="K467" t="s">
        <v>1037</v>
      </c>
    </row>
    <row r="468" spans="1:11" x14ac:dyDescent="0.35">
      <c r="A468" t="s">
        <v>1038</v>
      </c>
      <c r="B468" t="s">
        <v>251</v>
      </c>
      <c r="C468" t="s">
        <v>2429</v>
      </c>
      <c r="D468">
        <v>2</v>
      </c>
      <c r="E468" t="s">
        <v>2650</v>
      </c>
      <c r="F468" t="s">
        <v>2497</v>
      </c>
      <c r="G468" t="s">
        <v>1039</v>
      </c>
      <c r="H468" t="s">
        <v>695</v>
      </c>
      <c r="I468" t="s">
        <v>696</v>
      </c>
      <c r="J468" t="s">
        <v>16</v>
      </c>
    </row>
    <row r="469" spans="1:11" x14ac:dyDescent="0.35">
      <c r="A469" t="s">
        <v>1040</v>
      </c>
      <c r="B469" t="s">
        <v>66</v>
      </c>
      <c r="C469" t="s">
        <v>2268</v>
      </c>
      <c r="D469">
        <v>3</v>
      </c>
      <c r="E469" t="s">
        <v>2477</v>
      </c>
      <c r="F469" t="s">
        <v>2579</v>
      </c>
      <c r="G469" t="s">
        <v>351</v>
      </c>
      <c r="H469" t="s">
        <v>173</v>
      </c>
      <c r="I469" t="s">
        <v>174</v>
      </c>
      <c r="J469" t="s">
        <v>16</v>
      </c>
      <c r="K469" t="s">
        <v>496</v>
      </c>
    </row>
    <row r="470" spans="1:11" x14ac:dyDescent="0.35">
      <c r="A470" t="s">
        <v>1041</v>
      </c>
      <c r="B470" t="s">
        <v>66</v>
      </c>
      <c r="C470" t="s">
        <v>2268</v>
      </c>
      <c r="D470">
        <v>3</v>
      </c>
      <c r="E470" t="s">
        <v>2389</v>
      </c>
      <c r="F470" t="s">
        <v>2341</v>
      </c>
      <c r="G470" t="s">
        <v>138</v>
      </c>
      <c r="H470" t="s">
        <v>14</v>
      </c>
      <c r="I470" t="s">
        <v>15</v>
      </c>
      <c r="J470" t="s">
        <v>16</v>
      </c>
      <c r="K470" t="s">
        <v>50</v>
      </c>
    </row>
    <row r="471" spans="1:11" x14ac:dyDescent="0.35">
      <c r="A471" t="s">
        <v>1042</v>
      </c>
      <c r="B471" t="s">
        <v>66</v>
      </c>
      <c r="C471" t="s">
        <v>2264</v>
      </c>
      <c r="D471">
        <v>3</v>
      </c>
      <c r="E471" t="s">
        <v>2651</v>
      </c>
      <c r="F471" t="s">
        <v>2639</v>
      </c>
      <c r="G471" t="s">
        <v>623</v>
      </c>
      <c r="H471" t="s">
        <v>73</v>
      </c>
      <c r="I471" t="s">
        <v>74</v>
      </c>
      <c r="J471" t="s">
        <v>16</v>
      </c>
      <c r="K471" t="s">
        <v>50</v>
      </c>
    </row>
    <row r="472" spans="1:11" x14ac:dyDescent="0.35">
      <c r="A472" t="s">
        <v>1043</v>
      </c>
      <c r="B472" t="s">
        <v>18</v>
      </c>
      <c r="C472" t="s">
        <v>2268</v>
      </c>
      <c r="D472">
        <v>5</v>
      </c>
      <c r="E472" t="s">
        <v>2652</v>
      </c>
      <c r="F472" t="s">
        <v>2317</v>
      </c>
      <c r="G472" t="s">
        <v>1044</v>
      </c>
      <c r="H472" t="s">
        <v>169</v>
      </c>
      <c r="I472" t="s">
        <v>170</v>
      </c>
      <c r="J472" t="s">
        <v>16</v>
      </c>
    </row>
    <row r="473" spans="1:11" x14ac:dyDescent="0.35">
      <c r="A473" t="s">
        <v>1045</v>
      </c>
      <c r="B473" t="s">
        <v>66</v>
      </c>
      <c r="C473" t="s">
        <v>2268</v>
      </c>
      <c r="D473">
        <v>3</v>
      </c>
      <c r="E473" t="s">
        <v>2653</v>
      </c>
      <c r="F473" t="s">
        <v>2654</v>
      </c>
      <c r="G473" t="s">
        <v>1046</v>
      </c>
      <c r="H473" t="s">
        <v>430</v>
      </c>
      <c r="I473" t="s">
        <v>431</v>
      </c>
      <c r="J473" t="s">
        <v>16</v>
      </c>
      <c r="K473" t="s">
        <v>50</v>
      </c>
    </row>
    <row r="474" spans="1:11" x14ac:dyDescent="0.35">
      <c r="A474" t="s">
        <v>1047</v>
      </c>
      <c r="B474" t="s">
        <v>12</v>
      </c>
      <c r="C474" t="s">
        <v>2268</v>
      </c>
      <c r="D474">
        <v>3</v>
      </c>
      <c r="E474" t="s">
        <v>2482</v>
      </c>
      <c r="F474" t="s">
        <v>2317</v>
      </c>
      <c r="G474" t="s">
        <v>76</v>
      </c>
      <c r="H474" t="s">
        <v>28</v>
      </c>
      <c r="I474" t="s">
        <v>29</v>
      </c>
      <c r="J474" t="s">
        <v>16</v>
      </c>
      <c r="K474" t="s">
        <v>77</v>
      </c>
    </row>
    <row r="475" spans="1:11" x14ac:dyDescent="0.35">
      <c r="A475" t="s">
        <v>1048</v>
      </c>
      <c r="B475" t="s">
        <v>12</v>
      </c>
      <c r="C475" t="s">
        <v>2250</v>
      </c>
      <c r="D475">
        <v>3</v>
      </c>
      <c r="E475" t="s">
        <v>2655</v>
      </c>
      <c r="F475" t="s">
        <v>2346</v>
      </c>
      <c r="G475" t="s">
        <v>1049</v>
      </c>
      <c r="H475" t="s">
        <v>169</v>
      </c>
      <c r="I475" t="s">
        <v>170</v>
      </c>
      <c r="J475" t="s">
        <v>16</v>
      </c>
      <c r="K475" t="s">
        <v>624</v>
      </c>
    </row>
    <row r="476" spans="1:11" x14ac:dyDescent="0.35">
      <c r="A476" t="s">
        <v>1050</v>
      </c>
      <c r="B476" t="s">
        <v>12</v>
      </c>
      <c r="C476" t="s">
        <v>2247</v>
      </c>
      <c r="D476">
        <v>3</v>
      </c>
      <c r="E476" t="s">
        <v>2656</v>
      </c>
      <c r="F476" t="s">
        <v>2269</v>
      </c>
      <c r="G476" t="s">
        <v>1051</v>
      </c>
      <c r="H476" t="s">
        <v>169</v>
      </c>
      <c r="I476" t="s">
        <v>170</v>
      </c>
      <c r="J476" t="s">
        <v>16</v>
      </c>
      <c r="K476" t="s">
        <v>624</v>
      </c>
    </row>
    <row r="477" spans="1:11" x14ac:dyDescent="0.35">
      <c r="A477" t="s">
        <v>1052</v>
      </c>
      <c r="B477" t="s">
        <v>66</v>
      </c>
      <c r="C477" t="s">
        <v>2268</v>
      </c>
      <c r="D477">
        <v>3</v>
      </c>
      <c r="E477" t="s">
        <v>2657</v>
      </c>
      <c r="F477" t="s">
        <v>2658</v>
      </c>
      <c r="G477" t="s">
        <v>1053</v>
      </c>
      <c r="H477" t="s">
        <v>291</v>
      </c>
      <c r="I477" t="s">
        <v>292</v>
      </c>
      <c r="J477" t="s">
        <v>16</v>
      </c>
    </row>
    <row r="478" spans="1:11" x14ac:dyDescent="0.35">
      <c r="A478" t="s">
        <v>1054</v>
      </c>
      <c r="B478" t="s">
        <v>18</v>
      </c>
      <c r="C478" t="s">
        <v>2250</v>
      </c>
      <c r="D478">
        <v>5</v>
      </c>
      <c r="E478" t="s">
        <v>2659</v>
      </c>
      <c r="F478" t="s">
        <v>2660</v>
      </c>
      <c r="G478" t="s">
        <v>1055</v>
      </c>
      <c r="H478" t="s">
        <v>1056</v>
      </c>
      <c r="I478" t="s">
        <v>1057</v>
      </c>
      <c r="J478" t="s">
        <v>16</v>
      </c>
    </row>
    <row r="479" spans="1:11" x14ac:dyDescent="0.35">
      <c r="A479" t="s">
        <v>1058</v>
      </c>
      <c r="B479" t="s">
        <v>66</v>
      </c>
      <c r="C479" t="s">
        <v>2250</v>
      </c>
      <c r="D479">
        <v>3</v>
      </c>
      <c r="E479" t="s">
        <v>2661</v>
      </c>
      <c r="F479" t="s">
        <v>2449</v>
      </c>
      <c r="G479" t="s">
        <v>1059</v>
      </c>
      <c r="H479" t="s">
        <v>28</v>
      </c>
      <c r="I479" t="s">
        <v>29</v>
      </c>
      <c r="J479" t="s">
        <v>16</v>
      </c>
    </row>
    <row r="480" spans="1:11" x14ac:dyDescent="0.35">
      <c r="A480" t="s">
        <v>1060</v>
      </c>
      <c r="B480" t="s">
        <v>66</v>
      </c>
      <c r="C480" t="s">
        <v>2268</v>
      </c>
      <c r="D480">
        <v>2</v>
      </c>
      <c r="E480" t="s">
        <v>2378</v>
      </c>
      <c r="F480" t="s">
        <v>2284</v>
      </c>
      <c r="G480" t="s">
        <v>1061</v>
      </c>
      <c r="H480" t="s">
        <v>68</v>
      </c>
      <c r="I480" t="s">
        <v>69</v>
      </c>
      <c r="J480" t="s">
        <v>16</v>
      </c>
    </row>
    <row r="481" spans="1:11" x14ac:dyDescent="0.35">
      <c r="A481" t="s">
        <v>1062</v>
      </c>
      <c r="B481" t="s">
        <v>12</v>
      </c>
      <c r="C481" t="s">
        <v>2247</v>
      </c>
      <c r="D481">
        <v>5</v>
      </c>
      <c r="E481" t="s">
        <v>2425</v>
      </c>
      <c r="F481" t="s">
        <v>2346</v>
      </c>
      <c r="G481" t="s">
        <v>1063</v>
      </c>
      <c r="H481" t="s">
        <v>1064</v>
      </c>
      <c r="I481" t="s">
        <v>1065</v>
      </c>
      <c r="J481" t="s">
        <v>16</v>
      </c>
    </row>
    <row r="482" spans="1:11" x14ac:dyDescent="0.35">
      <c r="A482" t="s">
        <v>1066</v>
      </c>
      <c r="B482" t="s">
        <v>66</v>
      </c>
      <c r="C482" t="s">
        <v>2429</v>
      </c>
      <c r="D482">
        <v>2</v>
      </c>
      <c r="E482" t="s">
        <v>2662</v>
      </c>
      <c r="F482" t="s">
        <v>2663</v>
      </c>
      <c r="G482" t="s">
        <v>1067</v>
      </c>
      <c r="H482" t="s">
        <v>1068</v>
      </c>
      <c r="I482" t="s">
        <v>1069</v>
      </c>
      <c r="J482" t="s">
        <v>16</v>
      </c>
    </row>
    <row r="483" spans="1:11" x14ac:dyDescent="0.35">
      <c r="A483" t="s">
        <v>1070</v>
      </c>
      <c r="B483" t="s">
        <v>18</v>
      </c>
      <c r="C483" t="s">
        <v>2247</v>
      </c>
      <c r="D483">
        <v>6</v>
      </c>
      <c r="E483" t="s">
        <v>2664</v>
      </c>
      <c r="F483" t="s">
        <v>2568</v>
      </c>
      <c r="G483" t="s">
        <v>2665</v>
      </c>
      <c r="H483" t="s">
        <v>241</v>
      </c>
      <c r="I483" t="s">
        <v>242</v>
      </c>
      <c r="J483" t="s">
        <v>16</v>
      </c>
    </row>
    <row r="484" spans="1:11" x14ac:dyDescent="0.35">
      <c r="A484" t="s">
        <v>1071</v>
      </c>
      <c r="B484" t="s">
        <v>18</v>
      </c>
      <c r="C484" t="s">
        <v>2250</v>
      </c>
      <c r="D484">
        <v>5</v>
      </c>
      <c r="E484" t="s">
        <v>2666</v>
      </c>
      <c r="F484" t="s">
        <v>2255</v>
      </c>
      <c r="G484" t="s">
        <v>1072</v>
      </c>
      <c r="H484" t="s">
        <v>53</v>
      </c>
      <c r="I484" t="s">
        <v>54</v>
      </c>
      <c r="J484" t="s">
        <v>16</v>
      </c>
    </row>
    <row r="485" spans="1:11" x14ac:dyDescent="0.35">
      <c r="A485" t="s">
        <v>1073</v>
      </c>
      <c r="B485" t="s">
        <v>18</v>
      </c>
      <c r="C485" t="s">
        <v>2250</v>
      </c>
      <c r="D485">
        <v>3</v>
      </c>
      <c r="E485" t="s">
        <v>2258</v>
      </c>
      <c r="F485" t="s">
        <v>2667</v>
      </c>
      <c r="G485" t="s">
        <v>259</v>
      </c>
      <c r="H485" t="s">
        <v>173</v>
      </c>
      <c r="I485" t="s">
        <v>174</v>
      </c>
      <c r="J485" t="s">
        <v>16</v>
      </c>
      <c r="K485" t="s">
        <v>1074</v>
      </c>
    </row>
    <row r="486" spans="1:11" x14ac:dyDescent="0.35">
      <c r="A486" t="s">
        <v>1075</v>
      </c>
      <c r="B486" t="s">
        <v>18</v>
      </c>
      <c r="C486" t="s">
        <v>2297</v>
      </c>
      <c r="D486">
        <v>7</v>
      </c>
      <c r="E486" t="s">
        <v>2578</v>
      </c>
      <c r="F486" t="s">
        <v>2668</v>
      </c>
      <c r="G486" t="s">
        <v>1076</v>
      </c>
      <c r="H486" t="s">
        <v>255</v>
      </c>
      <c r="I486" t="s">
        <v>256</v>
      </c>
      <c r="J486" t="s">
        <v>16</v>
      </c>
      <c r="K486" t="s">
        <v>1077</v>
      </c>
    </row>
    <row r="487" spans="1:11" x14ac:dyDescent="0.35">
      <c r="A487" t="s">
        <v>1078</v>
      </c>
      <c r="B487" t="s">
        <v>18</v>
      </c>
      <c r="C487" t="s">
        <v>2264</v>
      </c>
      <c r="D487">
        <v>4</v>
      </c>
      <c r="E487" t="s">
        <v>2289</v>
      </c>
      <c r="F487" t="s">
        <v>2669</v>
      </c>
      <c r="G487" t="s">
        <v>259</v>
      </c>
      <c r="H487" t="s">
        <v>173</v>
      </c>
      <c r="I487" t="s">
        <v>174</v>
      </c>
      <c r="J487" t="s">
        <v>16</v>
      </c>
      <c r="K487" t="s">
        <v>1079</v>
      </c>
    </row>
    <row r="488" spans="1:11" x14ac:dyDescent="0.35">
      <c r="A488" t="s">
        <v>1080</v>
      </c>
      <c r="B488" t="s">
        <v>18</v>
      </c>
      <c r="C488" t="s">
        <v>2250</v>
      </c>
      <c r="D488">
        <v>9</v>
      </c>
      <c r="E488" t="s">
        <v>2393</v>
      </c>
      <c r="F488" t="s">
        <v>2670</v>
      </c>
      <c r="G488" t="s">
        <v>163</v>
      </c>
      <c r="H488" t="s">
        <v>164</v>
      </c>
      <c r="I488" t="s">
        <v>165</v>
      </c>
      <c r="J488" t="s">
        <v>16</v>
      </c>
      <c r="K488" t="s">
        <v>496</v>
      </c>
    </row>
    <row r="489" spans="1:11" x14ac:dyDescent="0.35">
      <c r="A489" t="s">
        <v>1081</v>
      </c>
      <c r="B489" t="s">
        <v>66</v>
      </c>
      <c r="C489" t="s">
        <v>2268</v>
      </c>
      <c r="D489">
        <v>4</v>
      </c>
      <c r="E489" t="s">
        <v>2296</v>
      </c>
      <c r="F489" t="s">
        <v>2671</v>
      </c>
      <c r="G489" t="s">
        <v>501</v>
      </c>
      <c r="H489" t="s">
        <v>494</v>
      </c>
      <c r="I489" t="s">
        <v>495</v>
      </c>
      <c r="J489" t="s">
        <v>16</v>
      </c>
      <c r="K489" t="s">
        <v>496</v>
      </c>
    </row>
    <row r="490" spans="1:11" x14ac:dyDescent="0.35">
      <c r="A490" t="s">
        <v>1082</v>
      </c>
      <c r="B490" t="s">
        <v>18</v>
      </c>
      <c r="C490" t="s">
        <v>2264</v>
      </c>
      <c r="D490">
        <v>5</v>
      </c>
      <c r="E490" t="s">
        <v>2672</v>
      </c>
      <c r="F490" t="s">
        <v>2346</v>
      </c>
      <c r="G490" t="s">
        <v>1083</v>
      </c>
      <c r="H490" t="s">
        <v>430</v>
      </c>
      <c r="I490" t="s">
        <v>431</v>
      </c>
      <c r="J490" t="s">
        <v>16</v>
      </c>
    </row>
    <row r="491" spans="1:11" x14ac:dyDescent="0.35">
      <c r="A491" t="s">
        <v>1084</v>
      </c>
      <c r="B491" t="s">
        <v>12</v>
      </c>
      <c r="C491" t="s">
        <v>2264</v>
      </c>
      <c r="D491">
        <v>4</v>
      </c>
      <c r="E491" t="s">
        <v>2350</v>
      </c>
      <c r="F491" t="s">
        <v>2346</v>
      </c>
      <c r="G491" t="s">
        <v>1051</v>
      </c>
      <c r="H491" t="s">
        <v>169</v>
      </c>
      <c r="I491" t="s">
        <v>170</v>
      </c>
      <c r="J491" t="s">
        <v>16</v>
      </c>
      <c r="K491" t="s">
        <v>624</v>
      </c>
    </row>
    <row r="492" spans="1:11" x14ac:dyDescent="0.35">
      <c r="A492" t="s">
        <v>1085</v>
      </c>
      <c r="B492" t="s">
        <v>66</v>
      </c>
      <c r="C492" t="s">
        <v>2268</v>
      </c>
      <c r="D492">
        <v>4</v>
      </c>
      <c r="E492" t="s">
        <v>2389</v>
      </c>
      <c r="F492" t="s">
        <v>2673</v>
      </c>
      <c r="G492" t="s">
        <v>657</v>
      </c>
      <c r="H492" t="s">
        <v>154</v>
      </c>
      <c r="I492" t="s">
        <v>155</v>
      </c>
      <c r="J492" t="s">
        <v>16</v>
      </c>
      <c r="K492" t="s">
        <v>415</v>
      </c>
    </row>
    <row r="493" spans="1:11" x14ac:dyDescent="0.35">
      <c r="A493" t="s">
        <v>1086</v>
      </c>
      <c r="B493" t="s">
        <v>12</v>
      </c>
      <c r="C493" t="s">
        <v>2264</v>
      </c>
      <c r="D493">
        <v>4</v>
      </c>
      <c r="E493" t="s">
        <v>2674</v>
      </c>
      <c r="F493" t="s">
        <v>2675</v>
      </c>
      <c r="G493" t="s">
        <v>1087</v>
      </c>
      <c r="H493" t="s">
        <v>209</v>
      </c>
      <c r="I493" t="s">
        <v>210</v>
      </c>
      <c r="J493" t="s">
        <v>16</v>
      </c>
      <c r="K493" t="s">
        <v>624</v>
      </c>
    </row>
    <row r="494" spans="1:11" x14ac:dyDescent="0.35">
      <c r="A494" t="s">
        <v>1088</v>
      </c>
      <c r="B494" t="s">
        <v>12</v>
      </c>
      <c r="C494" t="s">
        <v>2268</v>
      </c>
      <c r="D494">
        <v>4</v>
      </c>
      <c r="E494" t="s">
        <v>2260</v>
      </c>
      <c r="F494" t="s">
        <v>2322</v>
      </c>
      <c r="G494" t="s">
        <v>47</v>
      </c>
      <c r="H494" t="s">
        <v>48</v>
      </c>
      <c r="I494" t="s">
        <v>49</v>
      </c>
      <c r="J494" t="s">
        <v>16</v>
      </c>
      <c r="K494" t="s">
        <v>50</v>
      </c>
    </row>
    <row r="495" spans="1:11" x14ac:dyDescent="0.35">
      <c r="A495" t="s">
        <v>1089</v>
      </c>
      <c r="B495" t="s">
        <v>66</v>
      </c>
      <c r="C495" t="s">
        <v>2268</v>
      </c>
      <c r="D495">
        <v>4</v>
      </c>
      <c r="E495" t="s">
        <v>2383</v>
      </c>
      <c r="F495" t="s">
        <v>2484</v>
      </c>
      <c r="G495" t="s">
        <v>273</v>
      </c>
      <c r="H495" t="s">
        <v>169</v>
      </c>
      <c r="I495" t="s">
        <v>170</v>
      </c>
      <c r="J495" t="s">
        <v>16</v>
      </c>
      <c r="K495" t="s">
        <v>624</v>
      </c>
    </row>
    <row r="496" spans="1:11" x14ac:dyDescent="0.35">
      <c r="A496" t="s">
        <v>1090</v>
      </c>
      <c r="B496" t="s">
        <v>66</v>
      </c>
      <c r="C496" t="s">
        <v>2264</v>
      </c>
      <c r="D496">
        <v>4</v>
      </c>
      <c r="E496" t="s">
        <v>2383</v>
      </c>
      <c r="F496" t="s">
        <v>2484</v>
      </c>
      <c r="G496" t="s">
        <v>1091</v>
      </c>
      <c r="H496" t="s">
        <v>169</v>
      </c>
      <c r="I496" t="s">
        <v>170</v>
      </c>
      <c r="J496" t="s">
        <v>16</v>
      </c>
      <c r="K496" t="s">
        <v>624</v>
      </c>
    </row>
    <row r="497" spans="1:11" x14ac:dyDescent="0.35">
      <c r="A497" t="s">
        <v>1092</v>
      </c>
      <c r="B497" t="s">
        <v>18</v>
      </c>
      <c r="C497" t="s">
        <v>2359</v>
      </c>
      <c r="D497">
        <v>5</v>
      </c>
      <c r="E497" t="s">
        <v>2585</v>
      </c>
      <c r="F497" t="s">
        <v>2527</v>
      </c>
      <c r="G497" t="s">
        <v>1093</v>
      </c>
      <c r="H497" t="s">
        <v>264</v>
      </c>
      <c r="I497" t="s">
        <v>265</v>
      </c>
      <c r="J497" t="s">
        <v>16</v>
      </c>
      <c r="K497" t="s">
        <v>624</v>
      </c>
    </row>
    <row r="498" spans="1:11" x14ac:dyDescent="0.35">
      <c r="A498" t="s">
        <v>1094</v>
      </c>
      <c r="B498" t="s">
        <v>12</v>
      </c>
      <c r="C498" t="s">
        <v>2268</v>
      </c>
      <c r="D498">
        <v>3</v>
      </c>
      <c r="E498" t="s">
        <v>2260</v>
      </c>
      <c r="F498" t="s">
        <v>2322</v>
      </c>
      <c r="G498" t="s">
        <v>477</v>
      </c>
      <c r="H498" t="s">
        <v>195</v>
      </c>
      <c r="I498" t="s">
        <v>196</v>
      </c>
      <c r="J498" t="s">
        <v>16</v>
      </c>
      <c r="K498" t="s">
        <v>50</v>
      </c>
    </row>
    <row r="499" spans="1:11" x14ac:dyDescent="0.35">
      <c r="A499" t="s">
        <v>1095</v>
      </c>
      <c r="B499" t="s">
        <v>12</v>
      </c>
      <c r="C499" t="s">
        <v>2264</v>
      </c>
      <c r="D499">
        <v>4</v>
      </c>
      <c r="E499" t="s">
        <v>2248</v>
      </c>
      <c r="F499" t="s">
        <v>2311</v>
      </c>
      <c r="G499" t="s">
        <v>317</v>
      </c>
      <c r="H499" t="s">
        <v>14</v>
      </c>
      <c r="I499" t="s">
        <v>15</v>
      </c>
      <c r="J499" t="s">
        <v>16</v>
      </c>
      <c r="K499" t="s">
        <v>50</v>
      </c>
    </row>
    <row r="500" spans="1:11" x14ac:dyDescent="0.35">
      <c r="A500" t="s">
        <v>1096</v>
      </c>
      <c r="B500" t="s">
        <v>12</v>
      </c>
      <c r="C500" t="s">
        <v>2250</v>
      </c>
      <c r="D500">
        <v>3</v>
      </c>
      <c r="E500" t="s">
        <v>2300</v>
      </c>
      <c r="F500" t="s">
        <v>2379</v>
      </c>
      <c r="G500" t="s">
        <v>1097</v>
      </c>
      <c r="H500" t="s">
        <v>14</v>
      </c>
      <c r="I500" t="s">
        <v>15</v>
      </c>
      <c r="J500" t="s">
        <v>16</v>
      </c>
      <c r="K500" t="s">
        <v>624</v>
      </c>
    </row>
    <row r="501" spans="1:11" x14ac:dyDescent="0.35">
      <c r="A501" t="s">
        <v>1098</v>
      </c>
      <c r="B501" t="s">
        <v>12</v>
      </c>
      <c r="C501" t="s">
        <v>2250</v>
      </c>
      <c r="D501">
        <v>4</v>
      </c>
      <c r="E501" t="s">
        <v>2674</v>
      </c>
      <c r="F501" t="s">
        <v>2476</v>
      </c>
      <c r="G501" t="s">
        <v>1099</v>
      </c>
      <c r="H501" t="s">
        <v>169</v>
      </c>
      <c r="I501" t="s">
        <v>170</v>
      </c>
      <c r="J501" t="s">
        <v>16</v>
      </c>
      <c r="K501" t="s">
        <v>624</v>
      </c>
    </row>
    <row r="502" spans="1:11" x14ac:dyDescent="0.35">
      <c r="A502" t="s">
        <v>1100</v>
      </c>
      <c r="B502" t="s">
        <v>12</v>
      </c>
      <c r="C502" t="s">
        <v>2268</v>
      </c>
      <c r="D502">
        <v>3</v>
      </c>
      <c r="E502" t="s">
        <v>2260</v>
      </c>
      <c r="F502" t="s">
        <v>2269</v>
      </c>
      <c r="G502" t="s">
        <v>161</v>
      </c>
      <c r="H502" t="s">
        <v>48</v>
      </c>
      <c r="I502" t="s">
        <v>49</v>
      </c>
      <c r="J502" t="s">
        <v>16</v>
      </c>
    </row>
    <row r="503" spans="1:11" x14ac:dyDescent="0.35">
      <c r="A503" t="s">
        <v>1101</v>
      </c>
      <c r="B503" t="s">
        <v>66</v>
      </c>
      <c r="C503" t="s">
        <v>2268</v>
      </c>
      <c r="D503">
        <v>4</v>
      </c>
      <c r="E503" t="s">
        <v>2378</v>
      </c>
      <c r="F503" t="s">
        <v>2379</v>
      </c>
      <c r="G503" t="s">
        <v>1102</v>
      </c>
      <c r="H503" t="s">
        <v>186</v>
      </c>
      <c r="I503" t="s">
        <v>187</v>
      </c>
      <c r="J503" t="s">
        <v>16</v>
      </c>
    </row>
    <row r="504" spans="1:11" x14ac:dyDescent="0.35">
      <c r="A504" t="s">
        <v>1103</v>
      </c>
      <c r="B504" t="s">
        <v>12</v>
      </c>
      <c r="C504" t="s">
        <v>2268</v>
      </c>
      <c r="D504">
        <v>3</v>
      </c>
      <c r="E504" t="s">
        <v>2406</v>
      </c>
      <c r="F504" t="s">
        <v>2269</v>
      </c>
      <c r="G504" t="s">
        <v>47</v>
      </c>
      <c r="H504" t="s">
        <v>48</v>
      </c>
      <c r="I504" t="s">
        <v>49</v>
      </c>
      <c r="J504" t="s">
        <v>16</v>
      </c>
    </row>
    <row r="505" spans="1:11" x14ac:dyDescent="0.35">
      <c r="A505" t="s">
        <v>1104</v>
      </c>
      <c r="B505" t="s">
        <v>12</v>
      </c>
      <c r="C505" t="s">
        <v>2268</v>
      </c>
      <c r="D505">
        <v>3</v>
      </c>
      <c r="E505" t="s">
        <v>2334</v>
      </c>
      <c r="F505" t="s">
        <v>2423</v>
      </c>
      <c r="G505" t="s">
        <v>1105</v>
      </c>
      <c r="H505" t="s">
        <v>387</v>
      </c>
      <c r="I505" t="s">
        <v>388</v>
      </c>
      <c r="J505" t="s">
        <v>16</v>
      </c>
    </row>
    <row r="506" spans="1:11" x14ac:dyDescent="0.35">
      <c r="A506" t="s">
        <v>1106</v>
      </c>
      <c r="B506" t="s">
        <v>18</v>
      </c>
      <c r="C506" t="s">
        <v>2268</v>
      </c>
      <c r="D506">
        <v>2</v>
      </c>
      <c r="E506" t="s">
        <v>2260</v>
      </c>
      <c r="F506" t="s">
        <v>2518</v>
      </c>
      <c r="G506" t="s">
        <v>1107</v>
      </c>
      <c r="H506" t="s">
        <v>291</v>
      </c>
      <c r="I506" t="s">
        <v>292</v>
      </c>
      <c r="J506" t="s">
        <v>16</v>
      </c>
    </row>
    <row r="507" spans="1:11" x14ac:dyDescent="0.35">
      <c r="A507" t="s">
        <v>1108</v>
      </c>
      <c r="B507" t="s">
        <v>12</v>
      </c>
      <c r="C507" t="s">
        <v>2268</v>
      </c>
      <c r="D507">
        <v>3</v>
      </c>
      <c r="E507" t="s">
        <v>2260</v>
      </c>
      <c r="F507" t="s">
        <v>2322</v>
      </c>
      <c r="G507" t="s">
        <v>161</v>
      </c>
      <c r="H507" t="s">
        <v>48</v>
      </c>
      <c r="I507" t="s">
        <v>49</v>
      </c>
      <c r="J507" t="s">
        <v>16</v>
      </c>
      <c r="K507" t="s">
        <v>50</v>
      </c>
    </row>
    <row r="508" spans="1:11" x14ac:dyDescent="0.35">
      <c r="A508" t="s">
        <v>1109</v>
      </c>
      <c r="B508" t="s">
        <v>66</v>
      </c>
      <c r="C508" t="s">
        <v>2264</v>
      </c>
      <c r="D508">
        <v>4</v>
      </c>
      <c r="E508" t="s">
        <v>2676</v>
      </c>
      <c r="F508" t="s">
        <v>2677</v>
      </c>
      <c r="G508" t="s">
        <v>1110</v>
      </c>
      <c r="H508" t="s">
        <v>145</v>
      </c>
      <c r="I508" t="s">
        <v>146</v>
      </c>
      <c r="J508" t="s">
        <v>16</v>
      </c>
    </row>
    <row r="509" spans="1:11" x14ac:dyDescent="0.35">
      <c r="A509" t="s">
        <v>1111</v>
      </c>
      <c r="B509" t="s">
        <v>66</v>
      </c>
      <c r="C509" t="s">
        <v>2268</v>
      </c>
      <c r="D509">
        <v>3</v>
      </c>
      <c r="E509" t="s">
        <v>2380</v>
      </c>
      <c r="F509" t="s">
        <v>2313</v>
      </c>
      <c r="G509" t="s">
        <v>756</v>
      </c>
      <c r="H509" t="s">
        <v>14</v>
      </c>
      <c r="I509" t="s">
        <v>15</v>
      </c>
      <c r="J509" t="s">
        <v>16</v>
      </c>
      <c r="K509" t="s">
        <v>50</v>
      </c>
    </row>
    <row r="510" spans="1:11" x14ac:dyDescent="0.35">
      <c r="A510" t="s">
        <v>1112</v>
      </c>
      <c r="B510" t="s">
        <v>12</v>
      </c>
      <c r="C510" t="s">
        <v>2268</v>
      </c>
      <c r="D510">
        <v>4</v>
      </c>
      <c r="E510" t="s">
        <v>2260</v>
      </c>
      <c r="F510" t="s">
        <v>2322</v>
      </c>
      <c r="G510" t="s">
        <v>161</v>
      </c>
      <c r="H510" t="s">
        <v>48</v>
      </c>
      <c r="I510" t="s">
        <v>49</v>
      </c>
      <c r="J510" t="s">
        <v>16</v>
      </c>
      <c r="K510" t="s">
        <v>50</v>
      </c>
    </row>
    <row r="511" spans="1:11" x14ac:dyDescent="0.35">
      <c r="A511" t="s">
        <v>1113</v>
      </c>
      <c r="B511" t="s">
        <v>66</v>
      </c>
      <c r="C511" t="s">
        <v>2577</v>
      </c>
      <c r="D511">
        <v>1</v>
      </c>
      <c r="E511" t="s">
        <v>2678</v>
      </c>
      <c r="F511" t="s">
        <v>2679</v>
      </c>
      <c r="G511" t="s">
        <v>1114</v>
      </c>
      <c r="H511" t="s">
        <v>1115</v>
      </c>
      <c r="I511" t="s">
        <v>1116</v>
      </c>
      <c r="J511" t="s">
        <v>16</v>
      </c>
      <c r="K511" t="s">
        <v>50</v>
      </c>
    </row>
    <row r="512" spans="1:11" x14ac:dyDescent="0.35">
      <c r="A512" t="s">
        <v>1117</v>
      </c>
      <c r="B512" t="s">
        <v>12</v>
      </c>
      <c r="C512" t="s">
        <v>2250</v>
      </c>
      <c r="D512">
        <v>3</v>
      </c>
      <c r="E512" t="s">
        <v>2355</v>
      </c>
      <c r="F512" t="s">
        <v>2489</v>
      </c>
      <c r="G512" t="s">
        <v>1118</v>
      </c>
      <c r="H512" t="s">
        <v>570</v>
      </c>
      <c r="I512" t="s">
        <v>571</v>
      </c>
      <c r="J512" t="s">
        <v>16</v>
      </c>
      <c r="K512" t="s">
        <v>624</v>
      </c>
    </row>
    <row r="513" spans="1:11" x14ac:dyDescent="0.35">
      <c r="A513" t="s">
        <v>1119</v>
      </c>
      <c r="B513" t="s">
        <v>66</v>
      </c>
      <c r="C513" t="s">
        <v>2250</v>
      </c>
      <c r="D513">
        <v>5</v>
      </c>
      <c r="E513" t="s">
        <v>2621</v>
      </c>
      <c r="F513" t="s">
        <v>2414</v>
      </c>
      <c r="G513" t="s">
        <v>1120</v>
      </c>
      <c r="H513" t="s">
        <v>169</v>
      </c>
      <c r="I513" t="s">
        <v>170</v>
      </c>
      <c r="J513" t="s">
        <v>16</v>
      </c>
      <c r="K513" t="s">
        <v>624</v>
      </c>
    </row>
    <row r="514" spans="1:11" x14ac:dyDescent="0.35">
      <c r="A514" t="s">
        <v>1121</v>
      </c>
      <c r="B514" t="s">
        <v>12</v>
      </c>
      <c r="C514" t="s">
        <v>2250</v>
      </c>
      <c r="D514">
        <v>3</v>
      </c>
      <c r="E514" t="s">
        <v>2425</v>
      </c>
      <c r="F514" t="s">
        <v>2476</v>
      </c>
      <c r="G514" t="s">
        <v>1049</v>
      </c>
      <c r="H514" t="s">
        <v>169</v>
      </c>
      <c r="I514" t="s">
        <v>170</v>
      </c>
      <c r="J514" t="s">
        <v>16</v>
      </c>
      <c r="K514" t="s">
        <v>624</v>
      </c>
    </row>
    <row r="515" spans="1:11" x14ac:dyDescent="0.35">
      <c r="A515" t="s">
        <v>1122</v>
      </c>
      <c r="B515" t="s">
        <v>66</v>
      </c>
      <c r="C515" t="s">
        <v>2268</v>
      </c>
      <c r="D515">
        <v>3</v>
      </c>
      <c r="E515" t="s">
        <v>2454</v>
      </c>
      <c r="F515" t="s">
        <v>2423</v>
      </c>
      <c r="G515" t="s">
        <v>1123</v>
      </c>
      <c r="H515" t="s">
        <v>241</v>
      </c>
      <c r="I515" t="s">
        <v>242</v>
      </c>
      <c r="J515" t="s">
        <v>16</v>
      </c>
      <c r="K515" t="s">
        <v>624</v>
      </c>
    </row>
    <row r="516" spans="1:11" x14ac:dyDescent="0.35">
      <c r="A516" t="s">
        <v>1124</v>
      </c>
      <c r="B516" t="s">
        <v>18</v>
      </c>
      <c r="C516" t="s">
        <v>2264</v>
      </c>
      <c r="D516">
        <v>5</v>
      </c>
      <c r="E516" t="s">
        <v>2583</v>
      </c>
      <c r="F516" t="s">
        <v>2555</v>
      </c>
      <c r="G516" t="s">
        <v>498</v>
      </c>
      <c r="H516" t="s">
        <v>169</v>
      </c>
      <c r="I516" t="s">
        <v>170</v>
      </c>
      <c r="J516" t="s">
        <v>16</v>
      </c>
      <c r="K516" t="s">
        <v>415</v>
      </c>
    </row>
    <row r="517" spans="1:11" x14ac:dyDescent="0.35">
      <c r="A517" t="s">
        <v>1125</v>
      </c>
      <c r="B517" t="s">
        <v>12</v>
      </c>
      <c r="C517" t="s">
        <v>2250</v>
      </c>
      <c r="D517">
        <v>3</v>
      </c>
      <c r="E517" t="s">
        <v>2300</v>
      </c>
      <c r="F517" t="s">
        <v>2379</v>
      </c>
      <c r="G517" t="s">
        <v>1097</v>
      </c>
      <c r="H517" t="s">
        <v>14</v>
      </c>
      <c r="I517" t="s">
        <v>15</v>
      </c>
      <c r="J517" t="s">
        <v>16</v>
      </c>
      <c r="K517" t="s">
        <v>624</v>
      </c>
    </row>
    <row r="518" spans="1:11" x14ac:dyDescent="0.35">
      <c r="A518" t="s">
        <v>1126</v>
      </c>
      <c r="B518" t="s">
        <v>12</v>
      </c>
      <c r="C518" t="s">
        <v>2268</v>
      </c>
      <c r="D518">
        <v>4</v>
      </c>
      <c r="E518" t="s">
        <v>2260</v>
      </c>
      <c r="F518" t="s">
        <v>2322</v>
      </c>
      <c r="G518" t="s">
        <v>477</v>
      </c>
      <c r="H518" t="s">
        <v>195</v>
      </c>
      <c r="I518" t="s">
        <v>196</v>
      </c>
      <c r="J518" t="s">
        <v>16</v>
      </c>
      <c r="K518" t="s">
        <v>50</v>
      </c>
    </row>
    <row r="519" spans="1:11" x14ac:dyDescent="0.35">
      <c r="A519" t="s">
        <v>1127</v>
      </c>
      <c r="B519" t="s">
        <v>12</v>
      </c>
      <c r="C519" t="s">
        <v>2268</v>
      </c>
      <c r="D519">
        <v>5</v>
      </c>
      <c r="E519" t="s">
        <v>2340</v>
      </c>
      <c r="F519" t="s">
        <v>2680</v>
      </c>
      <c r="G519" t="s">
        <v>1128</v>
      </c>
      <c r="H519" t="s">
        <v>169</v>
      </c>
      <c r="I519" t="s">
        <v>170</v>
      </c>
      <c r="J519" t="s">
        <v>16</v>
      </c>
      <c r="K519" t="s">
        <v>624</v>
      </c>
    </row>
    <row r="520" spans="1:11" x14ac:dyDescent="0.35">
      <c r="A520" t="s">
        <v>1129</v>
      </c>
      <c r="B520" t="s">
        <v>12</v>
      </c>
      <c r="C520" t="s">
        <v>2268</v>
      </c>
      <c r="D520">
        <v>5</v>
      </c>
      <c r="E520" t="s">
        <v>2340</v>
      </c>
      <c r="F520" t="s">
        <v>2680</v>
      </c>
      <c r="G520" t="s">
        <v>1051</v>
      </c>
      <c r="H520" t="s">
        <v>169</v>
      </c>
      <c r="I520" t="s">
        <v>170</v>
      </c>
      <c r="J520" t="s">
        <v>16</v>
      </c>
      <c r="K520" t="s">
        <v>624</v>
      </c>
    </row>
    <row r="521" spans="1:11" x14ac:dyDescent="0.35">
      <c r="A521" t="s">
        <v>1130</v>
      </c>
      <c r="B521" t="s">
        <v>66</v>
      </c>
      <c r="C521" t="s">
        <v>2247</v>
      </c>
      <c r="D521">
        <v>4</v>
      </c>
      <c r="E521" t="s">
        <v>2593</v>
      </c>
      <c r="F521" t="s">
        <v>2636</v>
      </c>
      <c r="G521" t="s">
        <v>1131</v>
      </c>
      <c r="H521" t="s">
        <v>14</v>
      </c>
      <c r="I521" t="s">
        <v>15</v>
      </c>
      <c r="J521" t="s">
        <v>16</v>
      </c>
      <c r="K521" t="s">
        <v>624</v>
      </c>
    </row>
    <row r="522" spans="1:11" x14ac:dyDescent="0.35">
      <c r="A522" t="s">
        <v>1132</v>
      </c>
      <c r="B522" t="s">
        <v>18</v>
      </c>
      <c r="C522" t="s">
        <v>2297</v>
      </c>
      <c r="D522">
        <v>9</v>
      </c>
      <c r="E522" t="s">
        <v>2355</v>
      </c>
      <c r="F522" t="s">
        <v>2473</v>
      </c>
      <c r="G522" t="s">
        <v>1133</v>
      </c>
      <c r="H522" t="s">
        <v>241</v>
      </c>
      <c r="I522" t="s">
        <v>242</v>
      </c>
      <c r="J522" t="s">
        <v>16</v>
      </c>
      <c r="K522" t="s">
        <v>624</v>
      </c>
    </row>
    <row r="523" spans="1:11" x14ac:dyDescent="0.35">
      <c r="A523" t="s">
        <v>1134</v>
      </c>
      <c r="B523" t="s">
        <v>12</v>
      </c>
      <c r="C523" t="s">
        <v>2247</v>
      </c>
      <c r="D523">
        <v>3</v>
      </c>
      <c r="E523" t="s">
        <v>2334</v>
      </c>
      <c r="F523" t="s">
        <v>2392</v>
      </c>
      <c r="G523" t="s">
        <v>1135</v>
      </c>
      <c r="H523" t="s">
        <v>218</v>
      </c>
      <c r="I523" t="s">
        <v>219</v>
      </c>
      <c r="J523" t="s">
        <v>16</v>
      </c>
      <c r="K523" t="s">
        <v>624</v>
      </c>
    </row>
    <row r="524" spans="1:11" x14ac:dyDescent="0.35">
      <c r="A524" t="s">
        <v>1136</v>
      </c>
      <c r="B524" t="s">
        <v>66</v>
      </c>
      <c r="C524" t="s">
        <v>2268</v>
      </c>
      <c r="D524">
        <v>3</v>
      </c>
      <c r="E524" t="s">
        <v>2389</v>
      </c>
      <c r="F524" t="s">
        <v>2654</v>
      </c>
      <c r="G524" t="s">
        <v>138</v>
      </c>
      <c r="H524" t="s">
        <v>14</v>
      </c>
      <c r="I524" t="s">
        <v>15</v>
      </c>
      <c r="J524" t="s">
        <v>16</v>
      </c>
      <c r="K524" t="s">
        <v>50</v>
      </c>
    </row>
    <row r="525" spans="1:11" x14ac:dyDescent="0.35">
      <c r="A525" t="s">
        <v>1137</v>
      </c>
      <c r="B525" t="s">
        <v>66</v>
      </c>
      <c r="C525" t="s">
        <v>2268</v>
      </c>
      <c r="D525">
        <v>3</v>
      </c>
      <c r="E525" t="s">
        <v>2483</v>
      </c>
      <c r="F525" t="s">
        <v>2314</v>
      </c>
      <c r="G525" t="s">
        <v>138</v>
      </c>
      <c r="H525" t="s">
        <v>14</v>
      </c>
      <c r="I525" t="s">
        <v>15</v>
      </c>
      <c r="J525" t="s">
        <v>16</v>
      </c>
      <c r="K525" t="s">
        <v>50</v>
      </c>
    </row>
    <row r="526" spans="1:11" x14ac:dyDescent="0.35">
      <c r="A526" t="s">
        <v>1138</v>
      </c>
      <c r="B526" t="s">
        <v>12</v>
      </c>
      <c r="C526" t="s">
        <v>2264</v>
      </c>
      <c r="D526">
        <v>4</v>
      </c>
      <c r="E526" t="s">
        <v>2248</v>
      </c>
      <c r="F526" t="s">
        <v>2311</v>
      </c>
      <c r="G526" t="s">
        <v>138</v>
      </c>
      <c r="H526" t="s">
        <v>14</v>
      </c>
      <c r="I526" t="s">
        <v>15</v>
      </c>
      <c r="J526" t="s">
        <v>16</v>
      </c>
      <c r="K526" t="s">
        <v>50</v>
      </c>
    </row>
    <row r="527" spans="1:11" x14ac:dyDescent="0.35">
      <c r="A527" t="s">
        <v>1139</v>
      </c>
      <c r="B527" t="s">
        <v>66</v>
      </c>
      <c r="C527" t="s">
        <v>2268</v>
      </c>
      <c r="D527">
        <v>3</v>
      </c>
      <c r="E527" t="s">
        <v>2570</v>
      </c>
      <c r="F527" t="s">
        <v>2640</v>
      </c>
      <c r="G527" t="s">
        <v>1140</v>
      </c>
      <c r="H527" t="s">
        <v>173</v>
      </c>
      <c r="I527" t="s">
        <v>174</v>
      </c>
      <c r="J527" t="s">
        <v>16</v>
      </c>
    </row>
    <row r="528" spans="1:11" x14ac:dyDescent="0.35">
      <c r="A528" t="s">
        <v>1141</v>
      </c>
      <c r="B528" t="s">
        <v>66</v>
      </c>
      <c r="C528" t="s">
        <v>2264</v>
      </c>
      <c r="D528">
        <v>3</v>
      </c>
      <c r="E528" t="s">
        <v>2454</v>
      </c>
      <c r="F528" t="s">
        <v>2681</v>
      </c>
      <c r="G528" t="s">
        <v>2682</v>
      </c>
      <c r="H528" t="s">
        <v>494</v>
      </c>
      <c r="I528" t="s">
        <v>495</v>
      </c>
      <c r="J528" t="s">
        <v>16</v>
      </c>
    </row>
    <row r="529" spans="1:11" x14ac:dyDescent="0.35">
      <c r="A529" t="s">
        <v>1142</v>
      </c>
      <c r="B529" t="s">
        <v>18</v>
      </c>
      <c r="C529" t="s">
        <v>2332</v>
      </c>
      <c r="D529">
        <v>5</v>
      </c>
      <c r="E529" t="s">
        <v>2302</v>
      </c>
      <c r="F529" t="s">
        <v>2683</v>
      </c>
      <c r="G529" t="s">
        <v>891</v>
      </c>
      <c r="H529" t="s">
        <v>164</v>
      </c>
      <c r="I529" t="s">
        <v>165</v>
      </c>
      <c r="J529" t="s">
        <v>16</v>
      </c>
    </row>
    <row r="530" spans="1:11" x14ac:dyDescent="0.35">
      <c r="A530" t="s">
        <v>1143</v>
      </c>
      <c r="B530" t="s">
        <v>18</v>
      </c>
      <c r="C530" t="s">
        <v>2268</v>
      </c>
      <c r="D530">
        <v>4</v>
      </c>
      <c r="E530" t="s">
        <v>2355</v>
      </c>
      <c r="F530" t="s">
        <v>2423</v>
      </c>
      <c r="G530" t="s">
        <v>891</v>
      </c>
      <c r="H530" t="s">
        <v>164</v>
      </c>
      <c r="I530" t="s">
        <v>165</v>
      </c>
      <c r="J530" t="s">
        <v>16</v>
      </c>
    </row>
    <row r="531" spans="1:11" x14ac:dyDescent="0.35">
      <c r="A531" t="s">
        <v>1144</v>
      </c>
      <c r="B531" t="s">
        <v>12</v>
      </c>
      <c r="C531" t="s">
        <v>2268</v>
      </c>
      <c r="D531">
        <v>3</v>
      </c>
      <c r="E531" t="s">
        <v>2260</v>
      </c>
      <c r="F531" t="s">
        <v>2322</v>
      </c>
      <c r="G531" t="s">
        <v>877</v>
      </c>
      <c r="H531" t="s">
        <v>48</v>
      </c>
      <c r="I531" t="s">
        <v>49</v>
      </c>
      <c r="J531" t="s">
        <v>16</v>
      </c>
      <c r="K531" t="s">
        <v>50</v>
      </c>
    </row>
    <row r="532" spans="1:11" x14ac:dyDescent="0.35">
      <c r="A532" t="s">
        <v>1145</v>
      </c>
      <c r="B532" t="s">
        <v>12</v>
      </c>
      <c r="C532" t="s">
        <v>2268</v>
      </c>
      <c r="D532">
        <v>2</v>
      </c>
      <c r="E532" t="s">
        <v>2684</v>
      </c>
      <c r="F532" t="s">
        <v>2326</v>
      </c>
      <c r="G532" t="s">
        <v>1146</v>
      </c>
      <c r="H532" t="s">
        <v>173</v>
      </c>
      <c r="I532" t="s">
        <v>174</v>
      </c>
      <c r="J532" t="s">
        <v>16</v>
      </c>
      <c r="K532" t="s">
        <v>1074</v>
      </c>
    </row>
    <row r="533" spans="1:11" x14ac:dyDescent="0.35">
      <c r="A533" t="s">
        <v>1147</v>
      </c>
      <c r="B533" t="s">
        <v>66</v>
      </c>
      <c r="C533" t="s">
        <v>2268</v>
      </c>
      <c r="D533">
        <v>3</v>
      </c>
      <c r="E533" t="s">
        <v>2380</v>
      </c>
      <c r="F533" t="s">
        <v>2314</v>
      </c>
      <c r="G533" t="s">
        <v>140</v>
      </c>
      <c r="H533" t="s">
        <v>141</v>
      </c>
      <c r="I533" t="s">
        <v>142</v>
      </c>
      <c r="J533" t="s">
        <v>16</v>
      </c>
      <c r="K533" t="s">
        <v>50</v>
      </c>
    </row>
    <row r="534" spans="1:11" x14ac:dyDescent="0.35">
      <c r="A534" t="s">
        <v>1148</v>
      </c>
      <c r="B534" t="s">
        <v>66</v>
      </c>
      <c r="C534" t="s">
        <v>2268</v>
      </c>
      <c r="D534">
        <v>3</v>
      </c>
      <c r="E534" t="s">
        <v>2482</v>
      </c>
      <c r="F534" t="s">
        <v>2587</v>
      </c>
      <c r="G534" t="s">
        <v>913</v>
      </c>
      <c r="H534" t="s">
        <v>154</v>
      </c>
      <c r="I534" t="s">
        <v>155</v>
      </c>
      <c r="J534" t="s">
        <v>16</v>
      </c>
      <c r="K534" t="s">
        <v>1149</v>
      </c>
    </row>
    <row r="535" spans="1:11" x14ac:dyDescent="0.35">
      <c r="A535" t="s">
        <v>1150</v>
      </c>
      <c r="B535" t="s">
        <v>66</v>
      </c>
      <c r="C535" t="s">
        <v>2268</v>
      </c>
      <c r="D535">
        <v>3</v>
      </c>
      <c r="E535" t="s">
        <v>2312</v>
      </c>
      <c r="F535" t="s">
        <v>2314</v>
      </c>
      <c r="G535" t="s">
        <v>1151</v>
      </c>
      <c r="H535" t="s">
        <v>141</v>
      </c>
      <c r="I535" t="s">
        <v>142</v>
      </c>
      <c r="J535" t="s">
        <v>16</v>
      </c>
      <c r="K535" t="s">
        <v>50</v>
      </c>
    </row>
    <row r="536" spans="1:11" x14ac:dyDescent="0.35">
      <c r="A536" t="s">
        <v>1152</v>
      </c>
      <c r="B536" t="s">
        <v>12</v>
      </c>
      <c r="C536" t="s">
        <v>2268</v>
      </c>
      <c r="D536">
        <v>3</v>
      </c>
      <c r="E536" t="s">
        <v>2260</v>
      </c>
      <c r="F536" t="s">
        <v>2322</v>
      </c>
      <c r="G536" t="s">
        <v>161</v>
      </c>
      <c r="H536" t="s">
        <v>48</v>
      </c>
      <c r="I536" t="s">
        <v>49</v>
      </c>
      <c r="J536" t="s">
        <v>16</v>
      </c>
      <c r="K536" t="s">
        <v>50</v>
      </c>
    </row>
    <row r="537" spans="1:11" x14ac:dyDescent="0.35">
      <c r="A537" t="s">
        <v>1153</v>
      </c>
      <c r="B537" t="s">
        <v>66</v>
      </c>
      <c r="C537" t="s">
        <v>2577</v>
      </c>
      <c r="D537">
        <v>1</v>
      </c>
      <c r="E537" t="s">
        <v>2685</v>
      </c>
      <c r="F537" t="s">
        <v>2336</v>
      </c>
      <c r="G537" t="s">
        <v>1154</v>
      </c>
      <c r="H537" t="s">
        <v>169</v>
      </c>
      <c r="I537" t="s">
        <v>170</v>
      </c>
      <c r="J537" t="s">
        <v>16</v>
      </c>
      <c r="K537" t="s">
        <v>624</v>
      </c>
    </row>
    <row r="538" spans="1:11" x14ac:dyDescent="0.35">
      <c r="A538" t="s">
        <v>1155</v>
      </c>
      <c r="B538" t="s">
        <v>18</v>
      </c>
      <c r="C538" t="s">
        <v>2247</v>
      </c>
      <c r="D538">
        <v>4</v>
      </c>
      <c r="E538" t="s">
        <v>2597</v>
      </c>
      <c r="F538" t="s">
        <v>2266</v>
      </c>
      <c r="G538" t="s">
        <v>1156</v>
      </c>
      <c r="H538" t="s">
        <v>169</v>
      </c>
      <c r="I538" t="s">
        <v>170</v>
      </c>
      <c r="J538" t="s">
        <v>16</v>
      </c>
      <c r="K538" t="s">
        <v>624</v>
      </c>
    </row>
    <row r="539" spans="1:11" x14ac:dyDescent="0.35">
      <c r="A539" t="s">
        <v>1157</v>
      </c>
      <c r="B539" t="s">
        <v>66</v>
      </c>
      <c r="C539" t="s">
        <v>2268</v>
      </c>
      <c r="D539">
        <v>3</v>
      </c>
      <c r="E539" t="s">
        <v>2609</v>
      </c>
      <c r="F539" t="s">
        <v>2351</v>
      </c>
      <c r="G539" t="s">
        <v>1158</v>
      </c>
      <c r="H539" t="s">
        <v>264</v>
      </c>
      <c r="I539" t="s">
        <v>265</v>
      </c>
      <c r="J539" t="s">
        <v>16</v>
      </c>
      <c r="K539" t="s">
        <v>624</v>
      </c>
    </row>
    <row r="540" spans="1:11" x14ac:dyDescent="0.35">
      <c r="A540" t="s">
        <v>1159</v>
      </c>
      <c r="B540" t="s">
        <v>12</v>
      </c>
      <c r="C540" t="s">
        <v>2250</v>
      </c>
      <c r="D540">
        <v>5</v>
      </c>
      <c r="E540" t="s">
        <v>2686</v>
      </c>
      <c r="F540" t="s">
        <v>2257</v>
      </c>
      <c r="G540" t="s">
        <v>1160</v>
      </c>
      <c r="H540" t="s">
        <v>405</v>
      </c>
      <c r="I540" t="s">
        <v>406</v>
      </c>
      <c r="J540" t="s">
        <v>16</v>
      </c>
      <c r="K540" t="s">
        <v>624</v>
      </c>
    </row>
    <row r="541" spans="1:11" x14ac:dyDescent="0.35">
      <c r="A541" t="s">
        <v>1161</v>
      </c>
      <c r="B541" t="s">
        <v>66</v>
      </c>
      <c r="C541" t="s">
        <v>2268</v>
      </c>
      <c r="D541">
        <v>3</v>
      </c>
      <c r="E541" t="s">
        <v>2389</v>
      </c>
      <c r="F541" t="s">
        <v>2341</v>
      </c>
      <c r="G541" t="s">
        <v>138</v>
      </c>
      <c r="H541" t="s">
        <v>14</v>
      </c>
      <c r="I541" t="s">
        <v>15</v>
      </c>
      <c r="J541" t="s">
        <v>16</v>
      </c>
      <c r="K541" t="s">
        <v>50</v>
      </c>
    </row>
    <row r="542" spans="1:11" x14ac:dyDescent="0.35">
      <c r="A542" t="s">
        <v>1162</v>
      </c>
      <c r="B542" t="s">
        <v>66</v>
      </c>
      <c r="C542" t="s">
        <v>2264</v>
      </c>
      <c r="D542">
        <v>3</v>
      </c>
      <c r="E542" t="s">
        <v>2609</v>
      </c>
      <c r="F542" t="s">
        <v>2687</v>
      </c>
      <c r="G542" t="s">
        <v>623</v>
      </c>
      <c r="H542" t="s">
        <v>73</v>
      </c>
      <c r="I542" t="s">
        <v>74</v>
      </c>
      <c r="J542" t="s">
        <v>16</v>
      </c>
      <c r="K542" t="s">
        <v>624</v>
      </c>
    </row>
    <row r="543" spans="1:11" x14ac:dyDescent="0.35">
      <c r="A543" t="s">
        <v>1163</v>
      </c>
      <c r="B543" t="s">
        <v>12</v>
      </c>
      <c r="C543" t="s">
        <v>2268</v>
      </c>
      <c r="D543">
        <v>3</v>
      </c>
      <c r="E543" t="s">
        <v>2621</v>
      </c>
      <c r="F543" t="s">
        <v>2636</v>
      </c>
      <c r="G543" t="s">
        <v>471</v>
      </c>
      <c r="H543" t="s">
        <v>14</v>
      </c>
      <c r="I543" t="s">
        <v>15</v>
      </c>
      <c r="J543" t="s">
        <v>16</v>
      </c>
      <c r="K543" t="s">
        <v>624</v>
      </c>
    </row>
    <row r="544" spans="1:11" x14ac:dyDescent="0.35">
      <c r="A544" t="s">
        <v>1164</v>
      </c>
      <c r="B544" t="s">
        <v>18</v>
      </c>
      <c r="C544" t="s">
        <v>2264</v>
      </c>
      <c r="D544">
        <v>5</v>
      </c>
      <c r="E544" t="s">
        <v>2653</v>
      </c>
      <c r="F544" t="s">
        <v>2263</v>
      </c>
      <c r="G544" t="s">
        <v>807</v>
      </c>
      <c r="H544" t="s">
        <v>169</v>
      </c>
      <c r="I544" t="s">
        <v>170</v>
      </c>
      <c r="J544" t="s">
        <v>16</v>
      </c>
    </row>
    <row r="545" spans="1:11" x14ac:dyDescent="0.35">
      <c r="A545" t="s">
        <v>1165</v>
      </c>
      <c r="B545" t="s">
        <v>18</v>
      </c>
      <c r="C545" t="s">
        <v>2264</v>
      </c>
      <c r="D545">
        <v>4</v>
      </c>
      <c r="E545" t="s">
        <v>2651</v>
      </c>
      <c r="F545" t="s">
        <v>2514</v>
      </c>
      <c r="G545" t="s">
        <v>1166</v>
      </c>
      <c r="H545" t="s">
        <v>405</v>
      </c>
      <c r="I545" t="s">
        <v>406</v>
      </c>
      <c r="J545" t="s">
        <v>16</v>
      </c>
    </row>
    <row r="546" spans="1:11" x14ac:dyDescent="0.35">
      <c r="A546" t="s">
        <v>1167</v>
      </c>
      <c r="B546" t="s">
        <v>18</v>
      </c>
      <c r="C546" t="s">
        <v>2247</v>
      </c>
      <c r="D546">
        <v>5</v>
      </c>
      <c r="E546" t="s">
        <v>2688</v>
      </c>
      <c r="F546" t="s">
        <v>2408</v>
      </c>
      <c r="G546" t="s">
        <v>1168</v>
      </c>
      <c r="H546" t="s">
        <v>173</v>
      </c>
      <c r="I546" t="s">
        <v>174</v>
      </c>
      <c r="J546" t="s">
        <v>16</v>
      </c>
      <c r="K546" t="s">
        <v>1169</v>
      </c>
    </row>
    <row r="547" spans="1:11" x14ac:dyDescent="0.35">
      <c r="A547" t="s">
        <v>1170</v>
      </c>
      <c r="B547" t="s">
        <v>66</v>
      </c>
      <c r="C547" t="s">
        <v>2268</v>
      </c>
      <c r="D547">
        <v>3</v>
      </c>
      <c r="E547" t="s">
        <v>2450</v>
      </c>
      <c r="F547" t="s">
        <v>2689</v>
      </c>
      <c r="G547" t="s">
        <v>1171</v>
      </c>
      <c r="H547" t="s">
        <v>169</v>
      </c>
      <c r="I547" t="s">
        <v>170</v>
      </c>
      <c r="J547" t="s">
        <v>16</v>
      </c>
      <c r="K547" t="s">
        <v>1172</v>
      </c>
    </row>
    <row r="548" spans="1:11" x14ac:dyDescent="0.35">
      <c r="A548" t="s">
        <v>1173</v>
      </c>
      <c r="B548" t="s">
        <v>2274</v>
      </c>
      <c r="C548" t="s">
        <v>2491</v>
      </c>
      <c r="D548">
        <v>10</v>
      </c>
      <c r="E548" t="s">
        <v>2690</v>
      </c>
      <c r="F548" t="s">
        <v>2691</v>
      </c>
      <c r="G548" t="s">
        <v>1174</v>
      </c>
      <c r="H548" t="s">
        <v>942</v>
      </c>
      <c r="I548" t="s">
        <v>943</v>
      </c>
      <c r="J548" t="s">
        <v>16</v>
      </c>
    </row>
    <row r="549" spans="1:11" x14ac:dyDescent="0.35">
      <c r="A549" t="s">
        <v>1175</v>
      </c>
      <c r="B549" t="s">
        <v>66</v>
      </c>
      <c r="C549" t="s">
        <v>2268</v>
      </c>
      <c r="D549">
        <v>3</v>
      </c>
      <c r="E549" t="s">
        <v>2692</v>
      </c>
      <c r="F549" t="s">
        <v>2693</v>
      </c>
      <c r="G549" t="s">
        <v>351</v>
      </c>
      <c r="H549" t="s">
        <v>173</v>
      </c>
      <c r="I549" t="s">
        <v>174</v>
      </c>
      <c r="J549" t="s">
        <v>16</v>
      </c>
      <c r="K549" t="s">
        <v>496</v>
      </c>
    </row>
    <row r="550" spans="1:11" x14ac:dyDescent="0.35">
      <c r="A550" t="s">
        <v>1176</v>
      </c>
      <c r="B550" t="s">
        <v>66</v>
      </c>
      <c r="C550" t="s">
        <v>2264</v>
      </c>
      <c r="D550">
        <v>3</v>
      </c>
      <c r="E550" t="s">
        <v>2402</v>
      </c>
      <c r="F550" t="s">
        <v>2353</v>
      </c>
      <c r="G550" t="s">
        <v>1177</v>
      </c>
      <c r="H550" t="s">
        <v>373</v>
      </c>
      <c r="I550" t="s">
        <v>374</v>
      </c>
      <c r="J550" t="s">
        <v>16</v>
      </c>
      <c r="K550" t="s">
        <v>624</v>
      </c>
    </row>
    <row r="551" spans="1:11" x14ac:dyDescent="0.35">
      <c r="A551" t="s">
        <v>1178</v>
      </c>
      <c r="B551" t="s">
        <v>18</v>
      </c>
      <c r="C551" t="s">
        <v>2250</v>
      </c>
      <c r="D551">
        <v>5</v>
      </c>
      <c r="E551" t="s">
        <v>2694</v>
      </c>
      <c r="F551" t="s">
        <v>2695</v>
      </c>
      <c r="G551" t="s">
        <v>1179</v>
      </c>
      <c r="H551" t="s">
        <v>413</v>
      </c>
      <c r="I551" t="s">
        <v>414</v>
      </c>
      <c r="J551" t="s">
        <v>16</v>
      </c>
      <c r="K551" t="s">
        <v>1180</v>
      </c>
    </row>
    <row r="552" spans="1:11" x14ac:dyDescent="0.35">
      <c r="A552" t="s">
        <v>1181</v>
      </c>
      <c r="B552" t="s">
        <v>66</v>
      </c>
      <c r="C552" t="s">
        <v>2268</v>
      </c>
      <c r="D552">
        <v>3</v>
      </c>
      <c r="E552" t="s">
        <v>2627</v>
      </c>
      <c r="F552" t="s">
        <v>2696</v>
      </c>
      <c r="G552" t="s">
        <v>1182</v>
      </c>
      <c r="H552" t="s">
        <v>73</v>
      </c>
      <c r="I552" t="s">
        <v>74</v>
      </c>
      <c r="J552" t="s">
        <v>16</v>
      </c>
    </row>
    <row r="553" spans="1:11" x14ac:dyDescent="0.35">
      <c r="A553" t="s">
        <v>1183</v>
      </c>
      <c r="B553" t="s">
        <v>12</v>
      </c>
      <c r="C553" t="s">
        <v>2268</v>
      </c>
      <c r="D553">
        <v>3</v>
      </c>
      <c r="E553" t="s">
        <v>2260</v>
      </c>
      <c r="F553" t="s">
        <v>2322</v>
      </c>
      <c r="G553" t="s">
        <v>1184</v>
      </c>
      <c r="H553" t="s">
        <v>48</v>
      </c>
      <c r="I553" t="s">
        <v>49</v>
      </c>
      <c r="J553" t="s">
        <v>16</v>
      </c>
    </row>
    <row r="554" spans="1:11" x14ac:dyDescent="0.35">
      <c r="A554" t="s">
        <v>1185</v>
      </c>
      <c r="B554" t="s">
        <v>12</v>
      </c>
      <c r="C554" t="s">
        <v>2268</v>
      </c>
      <c r="D554">
        <v>4</v>
      </c>
      <c r="E554" t="s">
        <v>2260</v>
      </c>
      <c r="F554" t="s">
        <v>2322</v>
      </c>
      <c r="G554" t="s">
        <v>47</v>
      </c>
      <c r="H554" t="s">
        <v>48</v>
      </c>
      <c r="I554" t="s">
        <v>49</v>
      </c>
      <c r="J554" t="s">
        <v>16</v>
      </c>
    </row>
    <row r="555" spans="1:11" x14ac:dyDescent="0.35">
      <c r="A555" t="s">
        <v>1186</v>
      </c>
      <c r="B555" t="s">
        <v>66</v>
      </c>
      <c r="C555" t="s">
        <v>2268</v>
      </c>
      <c r="D555">
        <v>1</v>
      </c>
      <c r="E555" t="s">
        <v>2342</v>
      </c>
      <c r="F555" t="s">
        <v>2343</v>
      </c>
      <c r="G555" t="s">
        <v>1187</v>
      </c>
      <c r="H555" t="s">
        <v>195</v>
      </c>
      <c r="I555" t="s">
        <v>196</v>
      </c>
      <c r="J555" t="s">
        <v>16</v>
      </c>
    </row>
    <row r="556" spans="1:11" x14ac:dyDescent="0.35">
      <c r="A556" t="s">
        <v>1188</v>
      </c>
      <c r="B556" t="s">
        <v>66</v>
      </c>
      <c r="C556" t="s">
        <v>2268</v>
      </c>
      <c r="D556">
        <v>3</v>
      </c>
      <c r="E556" t="s">
        <v>2662</v>
      </c>
      <c r="F556" t="s">
        <v>2266</v>
      </c>
      <c r="G556" t="s">
        <v>1189</v>
      </c>
      <c r="H556" t="s">
        <v>233</v>
      </c>
      <c r="I556" t="s">
        <v>234</v>
      </c>
      <c r="J556" t="s">
        <v>16</v>
      </c>
    </row>
    <row r="557" spans="1:11" x14ac:dyDescent="0.35">
      <c r="A557" t="s">
        <v>1190</v>
      </c>
      <c r="B557" t="s">
        <v>66</v>
      </c>
      <c r="C557" t="s">
        <v>2268</v>
      </c>
      <c r="D557">
        <v>3</v>
      </c>
      <c r="E557" t="s">
        <v>2312</v>
      </c>
      <c r="F557" t="s">
        <v>2314</v>
      </c>
      <c r="G557" t="s">
        <v>323</v>
      </c>
      <c r="H557" t="s">
        <v>141</v>
      </c>
      <c r="I557" t="s">
        <v>142</v>
      </c>
      <c r="J557" t="s">
        <v>16</v>
      </c>
      <c r="K557" t="s">
        <v>50</v>
      </c>
    </row>
    <row r="558" spans="1:11" x14ac:dyDescent="0.35">
      <c r="A558" t="s">
        <v>1191</v>
      </c>
      <c r="B558" t="s">
        <v>12</v>
      </c>
      <c r="C558" t="s">
        <v>2268</v>
      </c>
      <c r="D558">
        <v>4</v>
      </c>
      <c r="E558" t="s">
        <v>2260</v>
      </c>
      <c r="F558" t="s">
        <v>2322</v>
      </c>
      <c r="G558" t="s">
        <v>47</v>
      </c>
      <c r="H558" t="s">
        <v>48</v>
      </c>
      <c r="I558" t="s">
        <v>49</v>
      </c>
      <c r="J558" t="s">
        <v>16</v>
      </c>
      <c r="K558" t="s">
        <v>50</v>
      </c>
    </row>
    <row r="559" spans="1:11" x14ac:dyDescent="0.35">
      <c r="A559" t="s">
        <v>840</v>
      </c>
      <c r="B559" t="s">
        <v>12</v>
      </c>
      <c r="C559" t="s">
        <v>2264</v>
      </c>
      <c r="D559">
        <v>4</v>
      </c>
      <c r="E559" t="s">
        <v>2248</v>
      </c>
      <c r="F559" t="s">
        <v>2311</v>
      </c>
      <c r="G559" t="s">
        <v>317</v>
      </c>
      <c r="H559" t="s">
        <v>14</v>
      </c>
      <c r="I559" t="s">
        <v>15</v>
      </c>
      <c r="J559" t="s">
        <v>16</v>
      </c>
      <c r="K559" t="s">
        <v>50</v>
      </c>
    </row>
    <row r="560" spans="1:11" x14ac:dyDescent="0.35">
      <c r="A560" t="s">
        <v>1192</v>
      </c>
      <c r="B560" t="s">
        <v>66</v>
      </c>
      <c r="C560" t="s">
        <v>2268</v>
      </c>
      <c r="D560">
        <v>3</v>
      </c>
      <c r="E560" t="s">
        <v>2312</v>
      </c>
      <c r="F560" t="s">
        <v>2314</v>
      </c>
      <c r="G560" t="s">
        <v>323</v>
      </c>
      <c r="H560" t="s">
        <v>141</v>
      </c>
      <c r="I560" t="s">
        <v>142</v>
      </c>
      <c r="J560" t="s">
        <v>16</v>
      </c>
      <c r="K560" t="s">
        <v>50</v>
      </c>
    </row>
    <row r="561" spans="1:11" x14ac:dyDescent="0.35">
      <c r="A561" t="s">
        <v>1193</v>
      </c>
      <c r="B561" t="s">
        <v>12</v>
      </c>
      <c r="C561" t="s">
        <v>2268</v>
      </c>
      <c r="D561">
        <v>3</v>
      </c>
      <c r="E561" t="s">
        <v>2260</v>
      </c>
      <c r="F561" t="s">
        <v>2322</v>
      </c>
      <c r="G561" t="s">
        <v>47</v>
      </c>
      <c r="H561" t="s">
        <v>48</v>
      </c>
      <c r="I561" t="s">
        <v>49</v>
      </c>
      <c r="J561" t="s">
        <v>16</v>
      </c>
      <c r="K561" t="s">
        <v>50</v>
      </c>
    </row>
    <row r="562" spans="1:11" x14ac:dyDescent="0.35">
      <c r="A562" t="s">
        <v>1194</v>
      </c>
      <c r="B562" t="s">
        <v>18</v>
      </c>
      <c r="C562" t="s">
        <v>2250</v>
      </c>
      <c r="D562">
        <v>6</v>
      </c>
      <c r="E562" t="s">
        <v>2694</v>
      </c>
      <c r="F562" t="s">
        <v>2695</v>
      </c>
      <c r="G562" t="s">
        <v>1179</v>
      </c>
      <c r="H562" t="s">
        <v>413</v>
      </c>
      <c r="I562" t="s">
        <v>414</v>
      </c>
      <c r="J562" t="s">
        <v>16</v>
      </c>
      <c r="K562" t="s">
        <v>1180</v>
      </c>
    </row>
    <row r="563" spans="1:11" x14ac:dyDescent="0.35">
      <c r="A563" t="s">
        <v>1195</v>
      </c>
      <c r="B563" t="s">
        <v>12</v>
      </c>
      <c r="C563" t="s">
        <v>2250</v>
      </c>
      <c r="D563">
        <v>3</v>
      </c>
      <c r="E563" t="s">
        <v>2609</v>
      </c>
      <c r="F563" t="s">
        <v>2697</v>
      </c>
      <c r="G563" t="s">
        <v>317</v>
      </c>
      <c r="H563" t="s">
        <v>14</v>
      </c>
      <c r="I563" t="s">
        <v>15</v>
      </c>
      <c r="J563" t="s">
        <v>16</v>
      </c>
      <c r="K563" t="s">
        <v>512</v>
      </c>
    </row>
    <row r="564" spans="1:11" x14ac:dyDescent="0.35">
      <c r="A564" t="s">
        <v>1196</v>
      </c>
      <c r="B564" t="s">
        <v>12</v>
      </c>
      <c r="E564" t="s">
        <v>2432</v>
      </c>
      <c r="F564" t="s">
        <v>2636</v>
      </c>
      <c r="G564" t="s">
        <v>1197</v>
      </c>
      <c r="H564" t="s">
        <v>373</v>
      </c>
      <c r="I564" t="s">
        <v>374</v>
      </c>
      <c r="J564" t="s">
        <v>16</v>
      </c>
      <c r="K564" t="s">
        <v>1198</v>
      </c>
    </row>
    <row r="565" spans="1:11" x14ac:dyDescent="0.35">
      <c r="A565" t="s">
        <v>1199</v>
      </c>
      <c r="B565" t="s">
        <v>66</v>
      </c>
      <c r="C565" t="s">
        <v>2268</v>
      </c>
      <c r="D565">
        <v>3</v>
      </c>
      <c r="E565" t="s">
        <v>2366</v>
      </c>
      <c r="F565" t="s">
        <v>2636</v>
      </c>
      <c r="G565" t="s">
        <v>623</v>
      </c>
      <c r="H565" t="s">
        <v>73</v>
      </c>
      <c r="I565" t="s">
        <v>74</v>
      </c>
      <c r="J565" t="s">
        <v>16</v>
      </c>
      <c r="K565" t="s">
        <v>50</v>
      </c>
    </row>
    <row r="566" spans="1:11" x14ac:dyDescent="0.35">
      <c r="A566" t="s">
        <v>1200</v>
      </c>
      <c r="B566" t="s">
        <v>66</v>
      </c>
      <c r="C566" t="s">
        <v>2264</v>
      </c>
      <c r="D566">
        <v>3</v>
      </c>
      <c r="E566" t="s">
        <v>2651</v>
      </c>
      <c r="F566" t="s">
        <v>2639</v>
      </c>
      <c r="G566" t="s">
        <v>623</v>
      </c>
      <c r="H566" t="s">
        <v>73</v>
      </c>
      <c r="I566" t="s">
        <v>74</v>
      </c>
      <c r="J566" t="s">
        <v>16</v>
      </c>
      <c r="K566" t="s">
        <v>50</v>
      </c>
    </row>
    <row r="567" spans="1:11" x14ac:dyDescent="0.35">
      <c r="A567" t="s">
        <v>1201</v>
      </c>
      <c r="B567" t="s">
        <v>66</v>
      </c>
      <c r="C567" t="s">
        <v>2264</v>
      </c>
      <c r="D567">
        <v>4</v>
      </c>
      <c r="E567" t="s">
        <v>2481</v>
      </c>
      <c r="F567" t="s">
        <v>2698</v>
      </c>
      <c r="G567" t="s">
        <v>1202</v>
      </c>
      <c r="H567" t="s">
        <v>686</v>
      </c>
      <c r="I567" t="s">
        <v>687</v>
      </c>
      <c r="J567" t="s">
        <v>16</v>
      </c>
      <c r="K567" t="s">
        <v>50</v>
      </c>
    </row>
    <row r="568" spans="1:11" x14ac:dyDescent="0.35">
      <c r="A568" t="s">
        <v>1203</v>
      </c>
      <c r="B568" t="s">
        <v>12</v>
      </c>
      <c r="C568" t="s">
        <v>2268</v>
      </c>
      <c r="D568">
        <v>3</v>
      </c>
      <c r="E568" t="s">
        <v>2482</v>
      </c>
      <c r="F568" t="s">
        <v>2317</v>
      </c>
      <c r="G568" t="s">
        <v>76</v>
      </c>
      <c r="H568" t="s">
        <v>28</v>
      </c>
      <c r="I568" t="s">
        <v>29</v>
      </c>
      <c r="J568" t="s">
        <v>16</v>
      </c>
      <c r="K568" t="s">
        <v>77</v>
      </c>
    </row>
    <row r="569" spans="1:11" x14ac:dyDescent="0.35">
      <c r="A569" t="s">
        <v>1204</v>
      </c>
      <c r="B569" t="s">
        <v>66</v>
      </c>
      <c r="C569" t="s">
        <v>2268</v>
      </c>
      <c r="D569">
        <v>3</v>
      </c>
      <c r="E569" t="s">
        <v>2653</v>
      </c>
      <c r="F569" t="s">
        <v>2654</v>
      </c>
      <c r="G569" t="s">
        <v>1046</v>
      </c>
      <c r="H569" t="s">
        <v>430</v>
      </c>
      <c r="I569" t="s">
        <v>431</v>
      </c>
      <c r="J569" t="s">
        <v>16</v>
      </c>
      <c r="K569" t="s">
        <v>50</v>
      </c>
    </row>
    <row r="570" spans="1:11" x14ac:dyDescent="0.35">
      <c r="A570" t="s">
        <v>1205</v>
      </c>
      <c r="B570" t="s">
        <v>18</v>
      </c>
      <c r="C570" t="s">
        <v>2359</v>
      </c>
      <c r="D570">
        <v>4</v>
      </c>
      <c r="E570" t="s">
        <v>2358</v>
      </c>
      <c r="F570" t="s">
        <v>2360</v>
      </c>
      <c r="G570" t="s">
        <v>1206</v>
      </c>
      <c r="H570" t="s">
        <v>1207</v>
      </c>
      <c r="I570" t="s">
        <v>1208</v>
      </c>
      <c r="J570" t="s">
        <v>16</v>
      </c>
      <c r="K570" t="s">
        <v>948</v>
      </c>
    </row>
    <row r="571" spans="1:11" x14ac:dyDescent="0.35">
      <c r="A571" t="s">
        <v>1209</v>
      </c>
      <c r="B571" t="s">
        <v>66</v>
      </c>
      <c r="C571" t="s">
        <v>2268</v>
      </c>
      <c r="D571">
        <v>3</v>
      </c>
      <c r="E571" t="s">
        <v>2389</v>
      </c>
      <c r="F571" t="s">
        <v>2341</v>
      </c>
      <c r="G571" t="s">
        <v>1210</v>
      </c>
      <c r="H571" t="s">
        <v>14</v>
      </c>
      <c r="I571" t="s">
        <v>15</v>
      </c>
      <c r="J571" t="s">
        <v>16</v>
      </c>
      <c r="K571" t="s">
        <v>50</v>
      </c>
    </row>
    <row r="572" spans="1:11" x14ac:dyDescent="0.35">
      <c r="A572" t="s">
        <v>1211</v>
      </c>
      <c r="B572" t="s">
        <v>2271</v>
      </c>
      <c r="E572" t="s">
        <v>2699</v>
      </c>
      <c r="F572" t="s">
        <v>2700</v>
      </c>
      <c r="G572" t="s">
        <v>1212</v>
      </c>
      <c r="H572" t="s">
        <v>1213</v>
      </c>
      <c r="I572" t="s">
        <v>1214</v>
      </c>
      <c r="J572" t="s">
        <v>16</v>
      </c>
    </row>
    <row r="573" spans="1:11" x14ac:dyDescent="0.35">
      <c r="A573" t="s">
        <v>1215</v>
      </c>
      <c r="B573" t="s">
        <v>18</v>
      </c>
      <c r="C573" t="s">
        <v>2297</v>
      </c>
      <c r="D573">
        <v>4</v>
      </c>
      <c r="E573" t="s">
        <v>2561</v>
      </c>
      <c r="F573" t="s">
        <v>2449</v>
      </c>
      <c r="G573" t="s">
        <v>2701</v>
      </c>
      <c r="H573" t="s">
        <v>871</v>
      </c>
      <c r="I573" t="s">
        <v>872</v>
      </c>
      <c r="J573" t="s">
        <v>16</v>
      </c>
    </row>
    <row r="574" spans="1:11" x14ac:dyDescent="0.35">
      <c r="A574" t="s">
        <v>1216</v>
      </c>
      <c r="B574" t="s">
        <v>251</v>
      </c>
      <c r="C574" t="s">
        <v>2429</v>
      </c>
      <c r="D574">
        <v>1</v>
      </c>
      <c r="E574" t="s">
        <v>2516</v>
      </c>
      <c r="F574" t="s">
        <v>2331</v>
      </c>
      <c r="G574" t="s">
        <v>1217</v>
      </c>
      <c r="H574" t="s">
        <v>772</v>
      </c>
      <c r="I574" t="s">
        <v>773</v>
      </c>
      <c r="J574" t="s">
        <v>16</v>
      </c>
      <c r="K574" t="s">
        <v>1218</v>
      </c>
    </row>
    <row r="575" spans="1:11" x14ac:dyDescent="0.35">
      <c r="A575" t="s">
        <v>1219</v>
      </c>
      <c r="B575" t="s">
        <v>12</v>
      </c>
      <c r="C575" t="s">
        <v>2264</v>
      </c>
      <c r="D575">
        <v>5</v>
      </c>
      <c r="E575" t="s">
        <v>2258</v>
      </c>
      <c r="F575" t="s">
        <v>2351</v>
      </c>
      <c r="G575" t="s">
        <v>1220</v>
      </c>
      <c r="H575" t="s">
        <v>405</v>
      </c>
      <c r="I575" t="s">
        <v>406</v>
      </c>
      <c r="J575" t="s">
        <v>16</v>
      </c>
      <c r="K575" t="s">
        <v>407</v>
      </c>
    </row>
    <row r="576" spans="1:11" x14ac:dyDescent="0.35">
      <c r="A576" t="s">
        <v>1221</v>
      </c>
      <c r="B576" t="s">
        <v>18</v>
      </c>
      <c r="C576" t="s">
        <v>2247</v>
      </c>
      <c r="D576">
        <v>6</v>
      </c>
      <c r="E576" t="s">
        <v>2258</v>
      </c>
      <c r="F576" t="s">
        <v>2527</v>
      </c>
      <c r="G576" t="s">
        <v>1222</v>
      </c>
      <c r="H576" t="s">
        <v>405</v>
      </c>
      <c r="I576" t="s">
        <v>406</v>
      </c>
      <c r="J576" t="s">
        <v>16</v>
      </c>
      <c r="K576" t="s">
        <v>407</v>
      </c>
    </row>
    <row r="577" spans="1:11" x14ac:dyDescent="0.35">
      <c r="A577" t="s">
        <v>1223</v>
      </c>
      <c r="B577" t="s">
        <v>66</v>
      </c>
      <c r="C577" t="s">
        <v>2268</v>
      </c>
      <c r="D577">
        <v>3</v>
      </c>
      <c r="E577" t="s">
        <v>2312</v>
      </c>
      <c r="F577" t="s">
        <v>2314</v>
      </c>
      <c r="G577" t="s">
        <v>323</v>
      </c>
      <c r="H577" t="s">
        <v>141</v>
      </c>
      <c r="I577" t="s">
        <v>142</v>
      </c>
      <c r="J577" t="s">
        <v>16</v>
      </c>
    </row>
    <row r="578" spans="1:11" x14ac:dyDescent="0.35">
      <c r="A578" t="s">
        <v>1224</v>
      </c>
      <c r="B578" t="s">
        <v>12</v>
      </c>
      <c r="C578" t="s">
        <v>2268</v>
      </c>
      <c r="D578">
        <v>4</v>
      </c>
      <c r="E578" t="s">
        <v>2260</v>
      </c>
      <c r="F578" t="s">
        <v>2322</v>
      </c>
      <c r="G578" t="s">
        <v>280</v>
      </c>
      <c r="H578" t="s">
        <v>48</v>
      </c>
      <c r="I578" t="s">
        <v>49</v>
      </c>
      <c r="J578" t="s">
        <v>16</v>
      </c>
    </row>
    <row r="579" spans="1:11" x14ac:dyDescent="0.35">
      <c r="A579" t="s">
        <v>1225</v>
      </c>
      <c r="B579" t="s">
        <v>12</v>
      </c>
      <c r="C579" t="s">
        <v>2268</v>
      </c>
      <c r="D579">
        <v>3</v>
      </c>
      <c r="E579" t="s">
        <v>2260</v>
      </c>
      <c r="F579" t="s">
        <v>2269</v>
      </c>
      <c r="G579" t="s">
        <v>161</v>
      </c>
      <c r="H579" t="s">
        <v>48</v>
      </c>
      <c r="I579" t="s">
        <v>49</v>
      </c>
      <c r="J579" t="s">
        <v>16</v>
      </c>
    </row>
    <row r="580" spans="1:11" x14ac:dyDescent="0.35">
      <c r="A580" t="s">
        <v>1226</v>
      </c>
      <c r="B580" t="s">
        <v>12</v>
      </c>
      <c r="C580" t="s">
        <v>2268</v>
      </c>
      <c r="D580">
        <v>3</v>
      </c>
      <c r="E580" t="s">
        <v>2260</v>
      </c>
      <c r="F580" t="s">
        <v>2322</v>
      </c>
      <c r="G580" t="s">
        <v>1227</v>
      </c>
      <c r="H580" t="s">
        <v>195</v>
      </c>
      <c r="I580" t="s">
        <v>196</v>
      </c>
      <c r="J580" t="s">
        <v>16</v>
      </c>
    </row>
    <row r="581" spans="1:11" x14ac:dyDescent="0.35">
      <c r="A581" t="s">
        <v>1228</v>
      </c>
      <c r="B581" t="s">
        <v>12</v>
      </c>
      <c r="C581" t="s">
        <v>2264</v>
      </c>
      <c r="D581">
        <v>4</v>
      </c>
      <c r="E581" t="s">
        <v>2248</v>
      </c>
      <c r="F581" t="s">
        <v>2311</v>
      </c>
      <c r="G581" t="s">
        <v>13</v>
      </c>
      <c r="H581" t="s">
        <v>14</v>
      </c>
      <c r="I581" t="s">
        <v>15</v>
      </c>
      <c r="J581" t="s">
        <v>16</v>
      </c>
      <c r="K581" t="s">
        <v>50</v>
      </c>
    </row>
    <row r="582" spans="1:11" x14ac:dyDescent="0.35">
      <c r="A582" t="s">
        <v>1229</v>
      </c>
      <c r="B582" t="s">
        <v>12</v>
      </c>
      <c r="C582" t="s">
        <v>2268</v>
      </c>
      <c r="D582">
        <v>3</v>
      </c>
      <c r="E582" t="s">
        <v>2260</v>
      </c>
      <c r="F582" t="s">
        <v>2269</v>
      </c>
      <c r="G582" t="s">
        <v>877</v>
      </c>
      <c r="H582" t="s">
        <v>48</v>
      </c>
      <c r="I582" t="s">
        <v>49</v>
      </c>
      <c r="J582" t="s">
        <v>16</v>
      </c>
      <c r="K582" t="s">
        <v>50</v>
      </c>
    </row>
    <row r="583" spans="1:11" x14ac:dyDescent="0.35">
      <c r="A583" t="s">
        <v>1230</v>
      </c>
      <c r="B583" t="s">
        <v>66</v>
      </c>
      <c r="C583" t="s">
        <v>2268</v>
      </c>
      <c r="D583">
        <v>4</v>
      </c>
      <c r="E583" t="s">
        <v>2378</v>
      </c>
      <c r="F583" t="s">
        <v>2379</v>
      </c>
      <c r="G583" t="s">
        <v>1231</v>
      </c>
      <c r="H583" t="s">
        <v>186</v>
      </c>
      <c r="I583" t="s">
        <v>187</v>
      </c>
      <c r="J583" t="s">
        <v>16</v>
      </c>
      <c r="K583" t="s">
        <v>50</v>
      </c>
    </row>
    <row r="584" spans="1:11" x14ac:dyDescent="0.35">
      <c r="A584" t="s">
        <v>1232</v>
      </c>
      <c r="B584" t="s">
        <v>66</v>
      </c>
      <c r="C584" t="s">
        <v>2268</v>
      </c>
      <c r="D584">
        <v>3</v>
      </c>
      <c r="E584" t="s">
        <v>2482</v>
      </c>
      <c r="F584" t="s">
        <v>2313</v>
      </c>
      <c r="G584" t="s">
        <v>474</v>
      </c>
      <c r="H584" t="s">
        <v>14</v>
      </c>
      <c r="I584" t="s">
        <v>15</v>
      </c>
      <c r="J584" t="s">
        <v>16</v>
      </c>
      <c r="K584" t="s">
        <v>50</v>
      </c>
    </row>
    <row r="585" spans="1:11" x14ac:dyDescent="0.35">
      <c r="A585" t="s">
        <v>1233</v>
      </c>
      <c r="B585" t="s">
        <v>12</v>
      </c>
      <c r="C585" t="s">
        <v>2264</v>
      </c>
      <c r="D585">
        <v>4</v>
      </c>
      <c r="E585" t="s">
        <v>2248</v>
      </c>
      <c r="F585" t="s">
        <v>2311</v>
      </c>
      <c r="G585" t="s">
        <v>1234</v>
      </c>
      <c r="H585" t="s">
        <v>14</v>
      </c>
      <c r="I585" t="s">
        <v>15</v>
      </c>
      <c r="J585" t="s">
        <v>16</v>
      </c>
      <c r="K585" t="s">
        <v>50</v>
      </c>
    </row>
    <row r="586" spans="1:11" x14ac:dyDescent="0.35">
      <c r="A586" t="s">
        <v>1235</v>
      </c>
      <c r="B586" t="s">
        <v>12</v>
      </c>
      <c r="C586" t="s">
        <v>2268</v>
      </c>
      <c r="D586">
        <v>3</v>
      </c>
      <c r="E586" t="s">
        <v>2260</v>
      </c>
      <c r="F586" t="s">
        <v>2269</v>
      </c>
      <c r="G586" t="s">
        <v>161</v>
      </c>
      <c r="H586" t="s">
        <v>48</v>
      </c>
      <c r="I586" t="s">
        <v>49</v>
      </c>
      <c r="J586" t="s">
        <v>16</v>
      </c>
      <c r="K586" t="s">
        <v>50</v>
      </c>
    </row>
    <row r="587" spans="1:11" x14ac:dyDescent="0.35">
      <c r="A587" t="s">
        <v>1236</v>
      </c>
      <c r="B587" t="s">
        <v>12</v>
      </c>
      <c r="C587" t="s">
        <v>2264</v>
      </c>
      <c r="D587">
        <v>4</v>
      </c>
      <c r="E587" t="s">
        <v>2260</v>
      </c>
      <c r="F587" t="s">
        <v>2269</v>
      </c>
      <c r="G587" t="s">
        <v>280</v>
      </c>
      <c r="H587" t="s">
        <v>48</v>
      </c>
      <c r="I587" t="s">
        <v>49</v>
      </c>
      <c r="J587" t="s">
        <v>16</v>
      </c>
      <c r="K587" t="s">
        <v>50</v>
      </c>
    </row>
    <row r="588" spans="1:11" x14ac:dyDescent="0.35">
      <c r="A588" t="s">
        <v>1237</v>
      </c>
      <c r="B588" t="s">
        <v>18</v>
      </c>
      <c r="C588" t="s">
        <v>2247</v>
      </c>
      <c r="D588">
        <v>5</v>
      </c>
      <c r="E588" t="s">
        <v>2702</v>
      </c>
      <c r="F588" t="s">
        <v>2404</v>
      </c>
      <c r="G588" t="s">
        <v>221</v>
      </c>
      <c r="H588" t="s">
        <v>173</v>
      </c>
      <c r="I588" t="s">
        <v>174</v>
      </c>
      <c r="J588" t="s">
        <v>16</v>
      </c>
    </row>
    <row r="589" spans="1:11" x14ac:dyDescent="0.35">
      <c r="A589" t="s">
        <v>1238</v>
      </c>
      <c r="B589" t="s">
        <v>18</v>
      </c>
      <c r="C589" t="s">
        <v>2268</v>
      </c>
      <c r="D589">
        <v>5</v>
      </c>
      <c r="E589" t="s">
        <v>2358</v>
      </c>
      <c r="F589" t="s">
        <v>2407</v>
      </c>
      <c r="G589" t="s">
        <v>1239</v>
      </c>
      <c r="H589" t="s">
        <v>173</v>
      </c>
      <c r="I589" t="s">
        <v>174</v>
      </c>
      <c r="J589" t="s">
        <v>16</v>
      </c>
    </row>
    <row r="590" spans="1:11" x14ac:dyDescent="0.35">
      <c r="A590" t="s">
        <v>1240</v>
      </c>
      <c r="B590" t="s">
        <v>12</v>
      </c>
      <c r="C590" t="s">
        <v>2264</v>
      </c>
      <c r="D590">
        <v>3</v>
      </c>
      <c r="E590" t="s">
        <v>2442</v>
      </c>
      <c r="F590" t="s">
        <v>2269</v>
      </c>
      <c r="G590" t="s">
        <v>1013</v>
      </c>
      <c r="H590" t="s">
        <v>264</v>
      </c>
      <c r="I590" t="s">
        <v>265</v>
      </c>
      <c r="J590" t="s">
        <v>16</v>
      </c>
      <c r="K590" t="s">
        <v>45</v>
      </c>
    </row>
    <row r="591" spans="1:11" x14ac:dyDescent="0.35">
      <c r="A591" t="s">
        <v>1241</v>
      </c>
      <c r="B591" t="s">
        <v>66</v>
      </c>
      <c r="C591" t="s">
        <v>2268</v>
      </c>
      <c r="D591">
        <v>2</v>
      </c>
      <c r="E591" t="s">
        <v>2703</v>
      </c>
      <c r="F591" t="s">
        <v>2497</v>
      </c>
      <c r="G591" t="s">
        <v>1030</v>
      </c>
      <c r="H591" t="s">
        <v>264</v>
      </c>
      <c r="I591" t="s">
        <v>265</v>
      </c>
      <c r="J591" t="s">
        <v>16</v>
      </c>
      <c r="K591" t="s">
        <v>45</v>
      </c>
    </row>
    <row r="592" spans="1:11" x14ac:dyDescent="0.35">
      <c r="A592" t="s">
        <v>1242</v>
      </c>
      <c r="B592" t="s">
        <v>18</v>
      </c>
      <c r="C592" t="s">
        <v>2247</v>
      </c>
      <c r="D592">
        <v>4</v>
      </c>
      <c r="E592" t="s">
        <v>2300</v>
      </c>
      <c r="F592" t="s">
        <v>2514</v>
      </c>
      <c r="G592" t="s">
        <v>1243</v>
      </c>
      <c r="H592" t="s">
        <v>97</v>
      </c>
      <c r="I592" t="s">
        <v>98</v>
      </c>
      <c r="J592" t="s">
        <v>16</v>
      </c>
      <c r="K592" t="s">
        <v>230</v>
      </c>
    </row>
    <row r="593" spans="1:11" x14ac:dyDescent="0.35">
      <c r="A593" t="s">
        <v>1244</v>
      </c>
      <c r="B593" t="s">
        <v>18</v>
      </c>
      <c r="C593" t="s">
        <v>2247</v>
      </c>
      <c r="D593">
        <v>6</v>
      </c>
      <c r="E593" t="s">
        <v>2406</v>
      </c>
      <c r="F593" t="s">
        <v>2324</v>
      </c>
      <c r="G593" t="s">
        <v>1245</v>
      </c>
      <c r="H593" t="s">
        <v>28</v>
      </c>
      <c r="I593" t="s">
        <v>29</v>
      </c>
      <c r="J593" t="s">
        <v>16</v>
      </c>
      <c r="K593" t="s">
        <v>407</v>
      </c>
    </row>
    <row r="594" spans="1:11" x14ac:dyDescent="0.35">
      <c r="A594" t="s">
        <v>1246</v>
      </c>
      <c r="B594" t="s">
        <v>12</v>
      </c>
      <c r="C594" t="s">
        <v>2264</v>
      </c>
      <c r="D594">
        <v>3</v>
      </c>
      <c r="E594" t="s">
        <v>2704</v>
      </c>
      <c r="F594" t="s">
        <v>2257</v>
      </c>
      <c r="G594" t="s">
        <v>1247</v>
      </c>
      <c r="H594" t="s">
        <v>169</v>
      </c>
      <c r="I594" t="s">
        <v>170</v>
      </c>
      <c r="J594" t="s">
        <v>16</v>
      </c>
      <c r="K594" t="s">
        <v>407</v>
      </c>
    </row>
    <row r="595" spans="1:11" x14ac:dyDescent="0.35">
      <c r="A595" t="s">
        <v>1248</v>
      </c>
      <c r="B595" t="s">
        <v>18</v>
      </c>
      <c r="C595" t="s">
        <v>2250</v>
      </c>
      <c r="D595">
        <v>7</v>
      </c>
      <c r="E595" t="s">
        <v>2300</v>
      </c>
      <c r="F595" t="s">
        <v>2270</v>
      </c>
      <c r="G595" t="s">
        <v>1249</v>
      </c>
      <c r="H595" t="s">
        <v>382</v>
      </c>
      <c r="I595" t="s">
        <v>383</v>
      </c>
      <c r="J595" t="s">
        <v>16</v>
      </c>
      <c r="K595" t="s">
        <v>407</v>
      </c>
    </row>
    <row r="596" spans="1:11" x14ac:dyDescent="0.35">
      <c r="A596" t="s">
        <v>1250</v>
      </c>
      <c r="B596" t="s">
        <v>66</v>
      </c>
      <c r="C596" t="s">
        <v>2264</v>
      </c>
      <c r="D596">
        <v>3</v>
      </c>
      <c r="E596" t="s">
        <v>2705</v>
      </c>
      <c r="F596" t="s">
        <v>2269</v>
      </c>
      <c r="G596" t="s">
        <v>1251</v>
      </c>
      <c r="H596" t="s">
        <v>405</v>
      </c>
      <c r="I596" t="s">
        <v>406</v>
      </c>
      <c r="J596" t="s">
        <v>16</v>
      </c>
      <c r="K596" t="s">
        <v>407</v>
      </c>
    </row>
    <row r="597" spans="1:11" x14ac:dyDescent="0.35">
      <c r="A597" t="s">
        <v>1252</v>
      </c>
      <c r="B597" t="s">
        <v>1033</v>
      </c>
      <c r="E597" t="s">
        <v>2706</v>
      </c>
      <c r="F597" t="s">
        <v>2707</v>
      </c>
      <c r="G597" t="s">
        <v>227</v>
      </c>
      <c r="H597" t="s">
        <v>145</v>
      </c>
      <c r="I597" t="s">
        <v>146</v>
      </c>
      <c r="J597" t="s">
        <v>16</v>
      </c>
      <c r="K597" t="s">
        <v>1253</v>
      </c>
    </row>
    <row r="598" spans="1:11" x14ac:dyDescent="0.35">
      <c r="A598" t="s">
        <v>1254</v>
      </c>
      <c r="B598" t="s">
        <v>18</v>
      </c>
      <c r="C598" t="s">
        <v>2359</v>
      </c>
      <c r="D598">
        <v>8</v>
      </c>
      <c r="E598" t="s">
        <v>2406</v>
      </c>
      <c r="F598" t="s">
        <v>2423</v>
      </c>
      <c r="G598" t="s">
        <v>1255</v>
      </c>
      <c r="H598" t="s">
        <v>68</v>
      </c>
      <c r="I598" t="s">
        <v>69</v>
      </c>
      <c r="J598" t="s">
        <v>16</v>
      </c>
    </row>
    <row r="599" spans="1:11" x14ac:dyDescent="0.35">
      <c r="A599" t="s">
        <v>1256</v>
      </c>
      <c r="B599" t="s">
        <v>66</v>
      </c>
      <c r="C599" t="s">
        <v>2264</v>
      </c>
      <c r="D599">
        <v>3</v>
      </c>
      <c r="E599" t="s">
        <v>2454</v>
      </c>
      <c r="F599" t="s">
        <v>2708</v>
      </c>
      <c r="G599" t="s">
        <v>1257</v>
      </c>
      <c r="H599" t="s">
        <v>387</v>
      </c>
      <c r="I599" t="s">
        <v>388</v>
      </c>
      <c r="J599" t="s">
        <v>16</v>
      </c>
      <c r="K599" t="s">
        <v>1258</v>
      </c>
    </row>
    <row r="600" spans="1:11" x14ac:dyDescent="0.35">
      <c r="A600" t="s">
        <v>1259</v>
      </c>
      <c r="B600" t="s">
        <v>66</v>
      </c>
      <c r="C600" t="s">
        <v>2268</v>
      </c>
      <c r="D600">
        <v>3</v>
      </c>
      <c r="E600" t="s">
        <v>2277</v>
      </c>
      <c r="F600" t="s">
        <v>2278</v>
      </c>
      <c r="G600" t="s">
        <v>128</v>
      </c>
      <c r="H600" t="s">
        <v>68</v>
      </c>
      <c r="I600" t="s">
        <v>69</v>
      </c>
      <c r="J600" t="s">
        <v>16</v>
      </c>
      <c r="K600" t="s">
        <v>70</v>
      </c>
    </row>
    <row r="601" spans="1:11" x14ac:dyDescent="0.35">
      <c r="A601" t="s">
        <v>1260</v>
      </c>
      <c r="B601" t="s">
        <v>66</v>
      </c>
      <c r="C601" t="s">
        <v>2268</v>
      </c>
      <c r="D601">
        <v>3</v>
      </c>
      <c r="E601" t="s">
        <v>2393</v>
      </c>
      <c r="F601" t="s">
        <v>2392</v>
      </c>
      <c r="G601" t="s">
        <v>1261</v>
      </c>
      <c r="H601" t="s">
        <v>93</v>
      </c>
      <c r="I601" t="s">
        <v>94</v>
      </c>
      <c r="J601" t="s">
        <v>16</v>
      </c>
    </row>
    <row r="602" spans="1:11" x14ac:dyDescent="0.35">
      <c r="A602" t="s">
        <v>1262</v>
      </c>
      <c r="B602" t="s">
        <v>66</v>
      </c>
      <c r="C602" t="s">
        <v>2268</v>
      </c>
      <c r="D602">
        <v>3</v>
      </c>
      <c r="E602" t="s">
        <v>2378</v>
      </c>
      <c r="F602" t="s">
        <v>2379</v>
      </c>
      <c r="G602" t="s">
        <v>1231</v>
      </c>
      <c r="H602" t="s">
        <v>186</v>
      </c>
      <c r="I602" t="s">
        <v>187</v>
      </c>
      <c r="J602" t="s">
        <v>16</v>
      </c>
    </row>
    <row r="603" spans="1:11" x14ac:dyDescent="0.35">
      <c r="A603" t="s">
        <v>1263</v>
      </c>
      <c r="B603" t="s">
        <v>12</v>
      </c>
      <c r="C603" t="s">
        <v>2264</v>
      </c>
      <c r="D603">
        <v>4</v>
      </c>
      <c r="E603" t="s">
        <v>2248</v>
      </c>
      <c r="F603" t="s">
        <v>2311</v>
      </c>
      <c r="G603" t="s">
        <v>317</v>
      </c>
      <c r="H603" t="s">
        <v>14</v>
      </c>
      <c r="I603" t="s">
        <v>15</v>
      </c>
      <c r="J603" t="s">
        <v>16</v>
      </c>
    </row>
    <row r="604" spans="1:11" x14ac:dyDescent="0.35">
      <c r="A604" t="s">
        <v>1264</v>
      </c>
      <c r="B604" t="s">
        <v>66</v>
      </c>
      <c r="C604" t="s">
        <v>2264</v>
      </c>
      <c r="D604">
        <v>4</v>
      </c>
      <c r="E604" t="s">
        <v>2312</v>
      </c>
      <c r="F604" t="s">
        <v>2314</v>
      </c>
      <c r="G604" t="s">
        <v>1265</v>
      </c>
      <c r="H604" t="s">
        <v>141</v>
      </c>
      <c r="I604" t="s">
        <v>142</v>
      </c>
      <c r="J604" t="s">
        <v>16</v>
      </c>
    </row>
    <row r="605" spans="1:11" x14ac:dyDescent="0.35">
      <c r="A605" t="s">
        <v>1266</v>
      </c>
      <c r="B605" t="s">
        <v>66</v>
      </c>
      <c r="C605" t="s">
        <v>2268</v>
      </c>
      <c r="D605">
        <v>3</v>
      </c>
      <c r="E605" t="s">
        <v>2312</v>
      </c>
      <c r="F605" t="s">
        <v>2480</v>
      </c>
      <c r="G605" t="s">
        <v>323</v>
      </c>
      <c r="H605" t="s">
        <v>141</v>
      </c>
      <c r="I605" t="s">
        <v>142</v>
      </c>
      <c r="J605" t="s">
        <v>16</v>
      </c>
    </row>
    <row r="606" spans="1:11" x14ac:dyDescent="0.35">
      <c r="A606" t="s">
        <v>1267</v>
      </c>
      <c r="B606" t="s">
        <v>66</v>
      </c>
      <c r="C606" t="s">
        <v>2268</v>
      </c>
      <c r="D606">
        <v>3</v>
      </c>
      <c r="E606" t="s">
        <v>2312</v>
      </c>
      <c r="F606" t="s">
        <v>2313</v>
      </c>
      <c r="G606" t="s">
        <v>474</v>
      </c>
      <c r="H606" t="s">
        <v>14</v>
      </c>
      <c r="I606" t="s">
        <v>15</v>
      </c>
      <c r="J606" t="s">
        <v>16</v>
      </c>
      <c r="K606" t="s">
        <v>50</v>
      </c>
    </row>
    <row r="607" spans="1:11" x14ac:dyDescent="0.35">
      <c r="A607" t="s">
        <v>1268</v>
      </c>
      <c r="B607" t="s">
        <v>12</v>
      </c>
      <c r="C607" t="s">
        <v>2264</v>
      </c>
      <c r="D607">
        <v>4</v>
      </c>
      <c r="E607" t="s">
        <v>2248</v>
      </c>
      <c r="F607" t="s">
        <v>2311</v>
      </c>
      <c r="G607" t="s">
        <v>317</v>
      </c>
      <c r="H607" t="s">
        <v>14</v>
      </c>
      <c r="I607" t="s">
        <v>15</v>
      </c>
      <c r="J607" t="s">
        <v>16</v>
      </c>
      <c r="K607" t="s">
        <v>50</v>
      </c>
    </row>
    <row r="608" spans="1:11" x14ac:dyDescent="0.35">
      <c r="A608" t="s">
        <v>1269</v>
      </c>
      <c r="B608" t="s">
        <v>12</v>
      </c>
      <c r="C608" t="s">
        <v>2264</v>
      </c>
      <c r="D608">
        <v>4</v>
      </c>
      <c r="E608" t="s">
        <v>2248</v>
      </c>
      <c r="F608" t="s">
        <v>2311</v>
      </c>
      <c r="G608" t="s">
        <v>317</v>
      </c>
      <c r="H608" t="s">
        <v>14</v>
      </c>
      <c r="I608" t="s">
        <v>15</v>
      </c>
      <c r="J608" t="s">
        <v>16</v>
      </c>
      <c r="K608" t="s">
        <v>50</v>
      </c>
    </row>
    <row r="609" spans="1:11" x14ac:dyDescent="0.35">
      <c r="A609" t="s">
        <v>1270</v>
      </c>
      <c r="B609" t="s">
        <v>12</v>
      </c>
      <c r="C609" t="s">
        <v>2264</v>
      </c>
      <c r="D609">
        <v>4</v>
      </c>
      <c r="E609" t="s">
        <v>2248</v>
      </c>
      <c r="F609" t="s">
        <v>2311</v>
      </c>
      <c r="G609" t="s">
        <v>1271</v>
      </c>
      <c r="H609" t="s">
        <v>14</v>
      </c>
      <c r="I609" t="s">
        <v>15</v>
      </c>
      <c r="J609" t="s">
        <v>16</v>
      </c>
      <c r="K609" t="s">
        <v>50</v>
      </c>
    </row>
    <row r="610" spans="1:11" x14ac:dyDescent="0.35">
      <c r="A610" t="s">
        <v>1272</v>
      </c>
      <c r="B610" t="s">
        <v>66</v>
      </c>
      <c r="C610" t="s">
        <v>2264</v>
      </c>
      <c r="D610">
        <v>4</v>
      </c>
      <c r="E610" t="s">
        <v>2389</v>
      </c>
      <c r="F610" t="s">
        <v>2654</v>
      </c>
      <c r="G610" t="s">
        <v>756</v>
      </c>
      <c r="H610" t="s">
        <v>14</v>
      </c>
      <c r="I610" t="s">
        <v>15</v>
      </c>
      <c r="J610" t="s">
        <v>16</v>
      </c>
      <c r="K610" t="s">
        <v>50</v>
      </c>
    </row>
    <row r="611" spans="1:11" x14ac:dyDescent="0.35">
      <c r="A611" t="s">
        <v>1273</v>
      </c>
      <c r="B611" t="s">
        <v>66</v>
      </c>
      <c r="C611" t="s">
        <v>2268</v>
      </c>
      <c r="D611">
        <v>3</v>
      </c>
      <c r="E611" t="s">
        <v>2312</v>
      </c>
      <c r="F611" t="s">
        <v>2313</v>
      </c>
      <c r="G611" t="s">
        <v>138</v>
      </c>
      <c r="H611" t="s">
        <v>14</v>
      </c>
      <c r="I611" t="s">
        <v>15</v>
      </c>
      <c r="J611" t="s">
        <v>16</v>
      </c>
      <c r="K611" t="s">
        <v>50</v>
      </c>
    </row>
    <row r="612" spans="1:11" x14ac:dyDescent="0.35">
      <c r="A612" t="s">
        <v>1274</v>
      </c>
      <c r="B612" t="s">
        <v>18</v>
      </c>
      <c r="C612" t="s">
        <v>2247</v>
      </c>
      <c r="D612">
        <v>5</v>
      </c>
      <c r="E612" t="s">
        <v>2430</v>
      </c>
      <c r="F612" t="s">
        <v>2518</v>
      </c>
      <c r="G612" t="s">
        <v>1275</v>
      </c>
      <c r="H612" t="s">
        <v>145</v>
      </c>
      <c r="I612" t="s">
        <v>146</v>
      </c>
      <c r="J612" t="s">
        <v>16</v>
      </c>
      <c r="K612" t="s">
        <v>1276</v>
      </c>
    </row>
    <row r="613" spans="1:11" x14ac:dyDescent="0.35">
      <c r="A613" t="s">
        <v>1277</v>
      </c>
      <c r="B613" t="s">
        <v>12</v>
      </c>
      <c r="C613" t="s">
        <v>2268</v>
      </c>
      <c r="D613">
        <v>3</v>
      </c>
      <c r="E613" t="s">
        <v>2709</v>
      </c>
      <c r="F613" t="s">
        <v>2654</v>
      </c>
      <c r="G613" t="s">
        <v>1278</v>
      </c>
      <c r="H613" t="s">
        <v>141</v>
      </c>
      <c r="I613" t="s">
        <v>142</v>
      </c>
      <c r="J613" t="s">
        <v>16</v>
      </c>
      <c r="K613" t="s">
        <v>1279</v>
      </c>
    </row>
    <row r="614" spans="1:11" x14ac:dyDescent="0.35">
      <c r="A614" t="s">
        <v>1280</v>
      </c>
      <c r="B614" t="s">
        <v>2271</v>
      </c>
      <c r="E614" t="s">
        <v>2710</v>
      </c>
      <c r="F614" t="s">
        <v>2356</v>
      </c>
      <c r="G614" t="s">
        <v>1281</v>
      </c>
      <c r="H614" t="s">
        <v>58</v>
      </c>
      <c r="I614" t="s">
        <v>59</v>
      </c>
      <c r="J614" t="s">
        <v>16</v>
      </c>
      <c r="K614" t="s">
        <v>1282</v>
      </c>
    </row>
    <row r="615" spans="1:11" x14ac:dyDescent="0.35">
      <c r="A615" t="s">
        <v>1283</v>
      </c>
      <c r="B615" t="s">
        <v>66</v>
      </c>
      <c r="C615" t="s">
        <v>2577</v>
      </c>
      <c r="D615">
        <v>1</v>
      </c>
      <c r="E615" t="s">
        <v>2537</v>
      </c>
      <c r="F615" t="s">
        <v>2711</v>
      </c>
      <c r="G615" t="s">
        <v>1284</v>
      </c>
      <c r="H615" t="s">
        <v>387</v>
      </c>
      <c r="I615" t="s">
        <v>388</v>
      </c>
      <c r="J615" t="s">
        <v>16</v>
      </c>
      <c r="K615" t="s">
        <v>1258</v>
      </c>
    </row>
    <row r="616" spans="1:11" x14ac:dyDescent="0.35">
      <c r="A616" t="s">
        <v>1285</v>
      </c>
      <c r="B616" t="s">
        <v>18</v>
      </c>
      <c r="C616" t="s">
        <v>2264</v>
      </c>
      <c r="D616">
        <v>5</v>
      </c>
      <c r="E616" t="s">
        <v>2712</v>
      </c>
      <c r="F616" t="s">
        <v>2326</v>
      </c>
      <c r="G616" t="s">
        <v>1286</v>
      </c>
      <c r="H616" t="s">
        <v>169</v>
      </c>
      <c r="I616" t="s">
        <v>170</v>
      </c>
      <c r="J616" t="s">
        <v>16</v>
      </c>
      <c r="K616" t="s">
        <v>883</v>
      </c>
    </row>
    <row r="617" spans="1:11" x14ac:dyDescent="0.35">
      <c r="A617" t="s">
        <v>1287</v>
      </c>
      <c r="B617" t="s">
        <v>18</v>
      </c>
      <c r="C617" t="s">
        <v>2247</v>
      </c>
      <c r="D617">
        <v>5</v>
      </c>
      <c r="E617" t="s">
        <v>2712</v>
      </c>
      <c r="F617" t="s">
        <v>2598</v>
      </c>
      <c r="G617" t="s">
        <v>1288</v>
      </c>
      <c r="H617" t="s">
        <v>164</v>
      </c>
      <c r="I617" t="s">
        <v>165</v>
      </c>
      <c r="J617" t="s">
        <v>16</v>
      </c>
      <c r="K617" t="s">
        <v>1289</v>
      </c>
    </row>
    <row r="618" spans="1:11" x14ac:dyDescent="0.35">
      <c r="A618" t="s">
        <v>1290</v>
      </c>
      <c r="B618" t="s">
        <v>18</v>
      </c>
      <c r="C618" t="s">
        <v>2250</v>
      </c>
      <c r="D618">
        <v>5</v>
      </c>
      <c r="E618" t="s">
        <v>2713</v>
      </c>
      <c r="F618" t="s">
        <v>2514</v>
      </c>
      <c r="G618" t="s">
        <v>1291</v>
      </c>
      <c r="H618" t="s">
        <v>675</v>
      </c>
      <c r="I618" t="s">
        <v>676</v>
      </c>
      <c r="J618" t="s">
        <v>16</v>
      </c>
    </row>
    <row r="619" spans="1:11" x14ac:dyDescent="0.35">
      <c r="A619" t="s">
        <v>1292</v>
      </c>
      <c r="B619" t="s">
        <v>12</v>
      </c>
      <c r="C619" t="s">
        <v>2268</v>
      </c>
      <c r="D619">
        <v>2</v>
      </c>
      <c r="E619" t="s">
        <v>2674</v>
      </c>
      <c r="F619" t="s">
        <v>2675</v>
      </c>
      <c r="G619" t="s">
        <v>1293</v>
      </c>
      <c r="H619" t="s">
        <v>169</v>
      </c>
      <c r="I619" t="s">
        <v>170</v>
      </c>
      <c r="J619" t="s">
        <v>16</v>
      </c>
      <c r="K619" t="s">
        <v>1294</v>
      </c>
    </row>
    <row r="620" spans="1:11" x14ac:dyDescent="0.35">
      <c r="A620" t="s">
        <v>1295</v>
      </c>
      <c r="B620" t="s">
        <v>2271</v>
      </c>
      <c r="E620" t="s">
        <v>2714</v>
      </c>
      <c r="F620" t="s">
        <v>2357</v>
      </c>
      <c r="G620" t="s">
        <v>200</v>
      </c>
      <c r="H620" t="s">
        <v>145</v>
      </c>
      <c r="I620" t="s">
        <v>146</v>
      </c>
      <c r="J620" t="s">
        <v>16</v>
      </c>
      <c r="K620" t="s">
        <v>948</v>
      </c>
    </row>
    <row r="621" spans="1:11" x14ac:dyDescent="0.35">
      <c r="A621" t="s">
        <v>1296</v>
      </c>
      <c r="B621" t="s">
        <v>12</v>
      </c>
      <c r="C621" t="s">
        <v>2250</v>
      </c>
      <c r="D621">
        <v>3</v>
      </c>
      <c r="E621" t="s">
        <v>2281</v>
      </c>
      <c r="F621" t="s">
        <v>2414</v>
      </c>
      <c r="G621" t="s">
        <v>410</v>
      </c>
      <c r="H621" t="s">
        <v>169</v>
      </c>
      <c r="I621" t="s">
        <v>170</v>
      </c>
      <c r="J621" t="s">
        <v>16</v>
      </c>
      <c r="K621" t="s">
        <v>1294</v>
      </c>
    </row>
    <row r="622" spans="1:11" x14ac:dyDescent="0.35">
      <c r="A622" t="s">
        <v>1297</v>
      </c>
      <c r="B622" t="s">
        <v>2271</v>
      </c>
      <c r="E622" t="s">
        <v>2355</v>
      </c>
      <c r="F622" t="s">
        <v>2269</v>
      </c>
      <c r="G622" t="s">
        <v>1298</v>
      </c>
      <c r="H622" t="s">
        <v>16</v>
      </c>
      <c r="I622" t="s">
        <v>224</v>
      </c>
      <c r="K622" t="s">
        <v>948</v>
      </c>
    </row>
    <row r="623" spans="1:11" x14ac:dyDescent="0.35">
      <c r="A623" t="s">
        <v>1299</v>
      </c>
      <c r="B623" t="s">
        <v>66</v>
      </c>
      <c r="C623" t="s">
        <v>2268</v>
      </c>
      <c r="D623">
        <v>3</v>
      </c>
      <c r="E623" t="s">
        <v>2609</v>
      </c>
      <c r="F623" t="s">
        <v>2696</v>
      </c>
      <c r="G623" t="s">
        <v>623</v>
      </c>
      <c r="H623" t="s">
        <v>73</v>
      </c>
      <c r="I623" t="s">
        <v>74</v>
      </c>
      <c r="J623" t="s">
        <v>16</v>
      </c>
      <c r="K623" t="s">
        <v>50</v>
      </c>
    </row>
    <row r="624" spans="1:11" x14ac:dyDescent="0.35">
      <c r="A624" t="s">
        <v>1300</v>
      </c>
      <c r="B624" t="s">
        <v>18</v>
      </c>
      <c r="C624" t="s">
        <v>2268</v>
      </c>
      <c r="D624">
        <v>3</v>
      </c>
      <c r="E624" t="s">
        <v>2291</v>
      </c>
      <c r="F624" t="s">
        <v>2270</v>
      </c>
      <c r="G624" t="s">
        <v>1288</v>
      </c>
      <c r="H624" t="s">
        <v>164</v>
      </c>
      <c r="I624" t="s">
        <v>165</v>
      </c>
      <c r="J624" t="s">
        <v>16</v>
      </c>
      <c r="K624" t="s">
        <v>166</v>
      </c>
    </row>
    <row r="625" spans="1:11" x14ac:dyDescent="0.35">
      <c r="A625" t="s">
        <v>1301</v>
      </c>
      <c r="B625" t="s">
        <v>12</v>
      </c>
      <c r="C625" t="s">
        <v>2268</v>
      </c>
      <c r="D625">
        <v>3</v>
      </c>
      <c r="E625" t="s">
        <v>2406</v>
      </c>
      <c r="F625" t="s">
        <v>2269</v>
      </c>
      <c r="G625" t="s">
        <v>47</v>
      </c>
      <c r="H625" t="s">
        <v>48</v>
      </c>
      <c r="I625" t="s">
        <v>49</v>
      </c>
      <c r="J625" t="s">
        <v>16</v>
      </c>
      <c r="K625" t="s">
        <v>50</v>
      </c>
    </row>
    <row r="626" spans="1:11" x14ac:dyDescent="0.35">
      <c r="A626" t="s">
        <v>1302</v>
      </c>
      <c r="B626" t="s">
        <v>2271</v>
      </c>
      <c r="C626" t="s">
        <v>2577</v>
      </c>
      <c r="E626" t="s">
        <v>2715</v>
      </c>
      <c r="F626" t="s">
        <v>2351</v>
      </c>
      <c r="G626" t="s">
        <v>1303</v>
      </c>
      <c r="H626" t="s">
        <v>695</v>
      </c>
      <c r="I626" t="s">
        <v>696</v>
      </c>
      <c r="J626" t="s">
        <v>16</v>
      </c>
    </row>
    <row r="627" spans="1:11" x14ac:dyDescent="0.35">
      <c r="A627" t="s">
        <v>1304</v>
      </c>
      <c r="B627" t="s">
        <v>66</v>
      </c>
      <c r="C627" t="s">
        <v>2268</v>
      </c>
      <c r="D627">
        <v>3</v>
      </c>
      <c r="E627" t="s">
        <v>2312</v>
      </c>
      <c r="F627" t="s">
        <v>2480</v>
      </c>
      <c r="G627" t="s">
        <v>323</v>
      </c>
      <c r="H627" t="s">
        <v>141</v>
      </c>
      <c r="I627" t="s">
        <v>142</v>
      </c>
      <c r="J627" t="s">
        <v>16</v>
      </c>
    </row>
    <row r="628" spans="1:11" x14ac:dyDescent="0.35">
      <c r="A628" t="s">
        <v>1305</v>
      </c>
      <c r="B628" t="s">
        <v>12</v>
      </c>
      <c r="C628" t="s">
        <v>2264</v>
      </c>
      <c r="D628">
        <v>4</v>
      </c>
      <c r="E628" t="s">
        <v>2248</v>
      </c>
      <c r="F628" t="s">
        <v>2311</v>
      </c>
      <c r="G628" t="s">
        <v>13</v>
      </c>
      <c r="H628" t="s">
        <v>14</v>
      </c>
      <c r="I628" t="s">
        <v>15</v>
      </c>
      <c r="J628" t="s">
        <v>16</v>
      </c>
    </row>
    <row r="629" spans="1:11" x14ac:dyDescent="0.35">
      <c r="A629" t="s">
        <v>1306</v>
      </c>
      <c r="B629" t="s">
        <v>12</v>
      </c>
      <c r="C629" t="s">
        <v>2264</v>
      </c>
      <c r="D629">
        <v>4</v>
      </c>
      <c r="E629" t="s">
        <v>2248</v>
      </c>
      <c r="F629" t="s">
        <v>2311</v>
      </c>
      <c r="G629" t="s">
        <v>321</v>
      </c>
      <c r="H629" t="s">
        <v>14</v>
      </c>
      <c r="I629" t="s">
        <v>15</v>
      </c>
      <c r="J629" t="s">
        <v>16</v>
      </c>
    </row>
    <row r="630" spans="1:11" x14ac:dyDescent="0.35">
      <c r="A630" t="s">
        <v>1307</v>
      </c>
      <c r="B630" t="s">
        <v>12</v>
      </c>
      <c r="C630" t="s">
        <v>2268</v>
      </c>
      <c r="D630">
        <v>3</v>
      </c>
      <c r="E630" t="s">
        <v>2248</v>
      </c>
      <c r="F630" t="s">
        <v>2311</v>
      </c>
      <c r="G630" t="s">
        <v>136</v>
      </c>
      <c r="H630" t="s">
        <v>14</v>
      </c>
      <c r="I630" t="s">
        <v>15</v>
      </c>
      <c r="J630" t="s">
        <v>16</v>
      </c>
    </row>
    <row r="631" spans="1:11" x14ac:dyDescent="0.35">
      <c r="A631" t="s">
        <v>1308</v>
      </c>
      <c r="B631" t="s">
        <v>12</v>
      </c>
      <c r="C631" t="s">
        <v>2264</v>
      </c>
      <c r="D631">
        <v>4</v>
      </c>
      <c r="E631" t="s">
        <v>2248</v>
      </c>
      <c r="F631" t="s">
        <v>2311</v>
      </c>
      <c r="G631" t="s">
        <v>321</v>
      </c>
      <c r="H631" t="s">
        <v>14</v>
      </c>
      <c r="I631" t="s">
        <v>15</v>
      </c>
      <c r="J631" t="s">
        <v>16</v>
      </c>
      <c r="K631" t="s">
        <v>50</v>
      </c>
    </row>
    <row r="632" spans="1:11" x14ac:dyDescent="0.35">
      <c r="A632" t="s">
        <v>1309</v>
      </c>
      <c r="B632" t="s">
        <v>66</v>
      </c>
      <c r="C632" t="s">
        <v>2268</v>
      </c>
      <c r="D632">
        <v>3</v>
      </c>
      <c r="E632" t="s">
        <v>2312</v>
      </c>
      <c r="F632" t="s">
        <v>2313</v>
      </c>
      <c r="G632" t="s">
        <v>474</v>
      </c>
      <c r="H632" t="s">
        <v>14</v>
      </c>
      <c r="I632" t="s">
        <v>15</v>
      </c>
      <c r="J632" t="s">
        <v>16</v>
      </c>
      <c r="K632" t="s">
        <v>50</v>
      </c>
    </row>
    <row r="633" spans="1:11" x14ac:dyDescent="0.35">
      <c r="A633" t="s">
        <v>1310</v>
      </c>
      <c r="B633" t="s">
        <v>12</v>
      </c>
      <c r="C633" t="s">
        <v>2264</v>
      </c>
      <c r="D633">
        <v>4</v>
      </c>
      <c r="E633" t="s">
        <v>2248</v>
      </c>
      <c r="F633" t="s">
        <v>2311</v>
      </c>
      <c r="G633" t="s">
        <v>15</v>
      </c>
      <c r="H633" t="s">
        <v>14</v>
      </c>
      <c r="I633" t="s">
        <v>15</v>
      </c>
      <c r="J633" t="s">
        <v>16</v>
      </c>
      <c r="K633" t="s">
        <v>50</v>
      </c>
    </row>
    <row r="634" spans="1:11" x14ac:dyDescent="0.35">
      <c r="A634" t="s">
        <v>1311</v>
      </c>
      <c r="B634" t="s">
        <v>66</v>
      </c>
      <c r="C634" t="s">
        <v>2268</v>
      </c>
      <c r="D634">
        <v>3</v>
      </c>
      <c r="E634" t="s">
        <v>2716</v>
      </c>
      <c r="F634" t="s">
        <v>2341</v>
      </c>
      <c r="G634" t="s">
        <v>756</v>
      </c>
      <c r="H634" t="s">
        <v>14</v>
      </c>
      <c r="I634" t="s">
        <v>15</v>
      </c>
      <c r="J634" t="s">
        <v>16</v>
      </c>
      <c r="K634" t="s">
        <v>50</v>
      </c>
    </row>
    <row r="635" spans="1:11" x14ac:dyDescent="0.35">
      <c r="A635" t="s">
        <v>1312</v>
      </c>
      <c r="B635" t="s">
        <v>12</v>
      </c>
      <c r="C635" t="s">
        <v>2264</v>
      </c>
      <c r="D635">
        <v>3</v>
      </c>
      <c r="E635" t="s">
        <v>2260</v>
      </c>
      <c r="F635" t="s">
        <v>2322</v>
      </c>
      <c r="G635" t="s">
        <v>1313</v>
      </c>
      <c r="H635" t="s">
        <v>195</v>
      </c>
      <c r="I635" t="s">
        <v>196</v>
      </c>
      <c r="J635" t="s">
        <v>16</v>
      </c>
      <c r="K635" t="s">
        <v>50</v>
      </c>
    </row>
    <row r="636" spans="1:11" x14ac:dyDescent="0.35">
      <c r="A636" t="s">
        <v>1314</v>
      </c>
      <c r="B636" t="s">
        <v>66</v>
      </c>
      <c r="C636" t="s">
        <v>2268</v>
      </c>
      <c r="D636">
        <v>3</v>
      </c>
      <c r="E636" t="s">
        <v>2549</v>
      </c>
      <c r="F636" t="s">
        <v>2717</v>
      </c>
      <c r="G636" t="s">
        <v>2718</v>
      </c>
      <c r="H636" t="s">
        <v>494</v>
      </c>
      <c r="I636" t="s">
        <v>495</v>
      </c>
      <c r="J636" t="s">
        <v>16</v>
      </c>
      <c r="K636" t="s">
        <v>496</v>
      </c>
    </row>
    <row r="637" spans="1:11" x14ac:dyDescent="0.35">
      <c r="A637" t="s">
        <v>1315</v>
      </c>
      <c r="B637" t="s">
        <v>66</v>
      </c>
      <c r="C637" t="s">
        <v>2429</v>
      </c>
      <c r="D637">
        <v>3</v>
      </c>
      <c r="E637" t="s">
        <v>2304</v>
      </c>
      <c r="F637" t="s">
        <v>2514</v>
      </c>
      <c r="G637" t="s">
        <v>1316</v>
      </c>
      <c r="H637" t="s">
        <v>1068</v>
      </c>
      <c r="I637" t="s">
        <v>1069</v>
      </c>
      <c r="J637" t="s">
        <v>16</v>
      </c>
    </row>
    <row r="638" spans="1:11" x14ac:dyDescent="0.35">
      <c r="A638" t="s">
        <v>1317</v>
      </c>
      <c r="B638" t="s">
        <v>2271</v>
      </c>
      <c r="C638" t="s">
        <v>2577</v>
      </c>
      <c r="E638" t="s">
        <v>2393</v>
      </c>
      <c r="F638" t="s">
        <v>2719</v>
      </c>
      <c r="G638" t="s">
        <v>1318</v>
      </c>
      <c r="H638" t="s">
        <v>1319</v>
      </c>
      <c r="I638" t="s">
        <v>1320</v>
      </c>
      <c r="J638" t="s">
        <v>16</v>
      </c>
    </row>
    <row r="639" spans="1:11" x14ac:dyDescent="0.35">
      <c r="A639" t="s">
        <v>1321</v>
      </c>
      <c r="B639" t="s">
        <v>12</v>
      </c>
      <c r="C639" t="s">
        <v>2264</v>
      </c>
      <c r="D639">
        <v>4</v>
      </c>
      <c r="E639" t="s">
        <v>2352</v>
      </c>
      <c r="F639" t="s">
        <v>2654</v>
      </c>
      <c r="G639" t="s">
        <v>1322</v>
      </c>
      <c r="H639" t="s">
        <v>413</v>
      </c>
      <c r="I639" t="s">
        <v>414</v>
      </c>
      <c r="J639" t="s">
        <v>16</v>
      </c>
      <c r="K639" t="s">
        <v>50</v>
      </c>
    </row>
    <row r="640" spans="1:11" x14ac:dyDescent="0.35">
      <c r="A640" t="s">
        <v>1323</v>
      </c>
      <c r="B640" t="s">
        <v>18</v>
      </c>
      <c r="C640" t="s">
        <v>2264</v>
      </c>
      <c r="D640">
        <v>5</v>
      </c>
      <c r="E640" t="s">
        <v>2672</v>
      </c>
      <c r="F640" t="s">
        <v>2455</v>
      </c>
      <c r="G640" t="s">
        <v>807</v>
      </c>
      <c r="H640" t="s">
        <v>169</v>
      </c>
      <c r="I640" t="s">
        <v>170</v>
      </c>
      <c r="J640" t="s">
        <v>16</v>
      </c>
      <c r="K640" t="s">
        <v>77</v>
      </c>
    </row>
    <row r="641" spans="1:11" x14ac:dyDescent="0.35">
      <c r="A641" t="s">
        <v>1324</v>
      </c>
      <c r="B641" t="s">
        <v>12</v>
      </c>
      <c r="C641" t="s">
        <v>2268</v>
      </c>
      <c r="D641">
        <v>3</v>
      </c>
      <c r="E641" t="s">
        <v>2454</v>
      </c>
      <c r="F641" t="s">
        <v>2309</v>
      </c>
      <c r="G641" t="s">
        <v>76</v>
      </c>
      <c r="H641" t="s">
        <v>28</v>
      </c>
      <c r="I641" t="s">
        <v>29</v>
      </c>
      <c r="J641" t="s">
        <v>16</v>
      </c>
      <c r="K641" t="s">
        <v>77</v>
      </c>
    </row>
    <row r="642" spans="1:11" x14ac:dyDescent="0.35">
      <c r="A642" t="s">
        <v>1325</v>
      </c>
      <c r="B642" t="s">
        <v>12</v>
      </c>
      <c r="C642" t="s">
        <v>2268</v>
      </c>
      <c r="D642">
        <v>3</v>
      </c>
      <c r="E642" t="s">
        <v>2281</v>
      </c>
      <c r="F642" t="s">
        <v>2599</v>
      </c>
      <c r="G642" t="s">
        <v>76</v>
      </c>
      <c r="H642" t="s">
        <v>28</v>
      </c>
      <c r="I642" t="s">
        <v>29</v>
      </c>
      <c r="J642" t="s">
        <v>16</v>
      </c>
      <c r="K642" t="s">
        <v>77</v>
      </c>
    </row>
    <row r="643" spans="1:11" x14ac:dyDescent="0.35">
      <c r="A643" t="s">
        <v>1326</v>
      </c>
      <c r="B643" t="s">
        <v>12</v>
      </c>
      <c r="C643" t="s">
        <v>2429</v>
      </c>
      <c r="D643">
        <v>3</v>
      </c>
      <c r="E643" t="s">
        <v>2406</v>
      </c>
      <c r="F643" t="s">
        <v>2322</v>
      </c>
      <c r="G643" t="s">
        <v>47</v>
      </c>
      <c r="H643" t="s">
        <v>48</v>
      </c>
      <c r="I643" t="s">
        <v>49</v>
      </c>
      <c r="J643" t="s">
        <v>16</v>
      </c>
      <c r="K643" t="s">
        <v>50</v>
      </c>
    </row>
    <row r="644" spans="1:11" x14ac:dyDescent="0.35">
      <c r="A644" t="s">
        <v>1327</v>
      </c>
      <c r="B644" t="s">
        <v>18</v>
      </c>
      <c r="C644" t="s">
        <v>2491</v>
      </c>
      <c r="D644">
        <v>7</v>
      </c>
      <c r="E644" t="s">
        <v>2720</v>
      </c>
      <c r="F644" t="s">
        <v>2407</v>
      </c>
      <c r="G644" t="s">
        <v>647</v>
      </c>
      <c r="H644" t="s">
        <v>145</v>
      </c>
      <c r="I644" t="s">
        <v>146</v>
      </c>
      <c r="J644" t="s">
        <v>16</v>
      </c>
      <c r="K644" t="s">
        <v>1294</v>
      </c>
    </row>
    <row r="645" spans="1:11" x14ac:dyDescent="0.35">
      <c r="A645" t="s">
        <v>1328</v>
      </c>
      <c r="B645" t="s">
        <v>66</v>
      </c>
      <c r="C645" t="s">
        <v>2429</v>
      </c>
      <c r="D645">
        <v>2</v>
      </c>
      <c r="E645" t="s">
        <v>2721</v>
      </c>
      <c r="F645" t="s">
        <v>2420</v>
      </c>
      <c r="G645" t="s">
        <v>269</v>
      </c>
      <c r="H645" t="s">
        <v>169</v>
      </c>
      <c r="I645" t="s">
        <v>170</v>
      </c>
      <c r="J645" t="s">
        <v>16</v>
      </c>
      <c r="K645" t="s">
        <v>1294</v>
      </c>
    </row>
    <row r="646" spans="1:11" x14ac:dyDescent="0.35">
      <c r="A646" t="s">
        <v>1329</v>
      </c>
      <c r="B646" t="s">
        <v>12</v>
      </c>
      <c r="C646" t="s">
        <v>2247</v>
      </c>
      <c r="D646">
        <v>5</v>
      </c>
      <c r="E646" t="s">
        <v>2475</v>
      </c>
      <c r="F646" t="s">
        <v>2257</v>
      </c>
      <c r="G646" t="s">
        <v>975</v>
      </c>
      <c r="H646" t="s">
        <v>405</v>
      </c>
      <c r="I646" t="s">
        <v>406</v>
      </c>
      <c r="J646" t="s">
        <v>16</v>
      </c>
      <c r="K646" t="s">
        <v>407</v>
      </c>
    </row>
    <row r="647" spans="1:11" x14ac:dyDescent="0.35">
      <c r="A647" t="s">
        <v>1330</v>
      </c>
      <c r="B647" t="s">
        <v>12</v>
      </c>
      <c r="C647" t="s">
        <v>2247</v>
      </c>
      <c r="D647">
        <v>5</v>
      </c>
      <c r="E647" t="s">
        <v>2474</v>
      </c>
      <c r="F647" t="s">
        <v>2351</v>
      </c>
      <c r="G647" t="s">
        <v>799</v>
      </c>
      <c r="H647" t="s">
        <v>405</v>
      </c>
      <c r="I647" t="s">
        <v>406</v>
      </c>
      <c r="J647" t="s">
        <v>16</v>
      </c>
      <c r="K647" t="s">
        <v>407</v>
      </c>
    </row>
    <row r="648" spans="1:11" x14ac:dyDescent="0.35">
      <c r="A648" t="s">
        <v>1331</v>
      </c>
      <c r="B648" t="s">
        <v>66</v>
      </c>
      <c r="C648" t="s">
        <v>2264</v>
      </c>
      <c r="D648">
        <v>3</v>
      </c>
      <c r="E648" t="s">
        <v>2722</v>
      </c>
      <c r="F648" t="s">
        <v>2723</v>
      </c>
      <c r="G648" t="s">
        <v>1332</v>
      </c>
      <c r="H648" t="s">
        <v>405</v>
      </c>
      <c r="I648" t="s">
        <v>406</v>
      </c>
      <c r="J648" t="s">
        <v>16</v>
      </c>
      <c r="K648" t="s">
        <v>407</v>
      </c>
    </row>
    <row r="649" spans="1:11" x14ac:dyDescent="0.35">
      <c r="A649" t="s">
        <v>1333</v>
      </c>
      <c r="B649" t="s">
        <v>66</v>
      </c>
      <c r="C649" t="s">
        <v>2268</v>
      </c>
      <c r="D649">
        <v>3</v>
      </c>
      <c r="E649" t="s">
        <v>2722</v>
      </c>
      <c r="F649" t="s">
        <v>2723</v>
      </c>
      <c r="G649" t="s">
        <v>1334</v>
      </c>
      <c r="H649" t="s">
        <v>405</v>
      </c>
      <c r="I649" t="s">
        <v>406</v>
      </c>
      <c r="J649" t="s">
        <v>16</v>
      </c>
      <c r="K649" t="s">
        <v>407</v>
      </c>
    </row>
    <row r="650" spans="1:11" x14ac:dyDescent="0.35">
      <c r="A650" t="s">
        <v>1335</v>
      </c>
      <c r="B650" t="s">
        <v>12</v>
      </c>
      <c r="C650" t="s">
        <v>2264</v>
      </c>
      <c r="D650">
        <v>5</v>
      </c>
      <c r="E650" t="s">
        <v>2475</v>
      </c>
      <c r="F650" t="s">
        <v>2257</v>
      </c>
      <c r="G650" t="s">
        <v>1336</v>
      </c>
      <c r="H650" t="s">
        <v>405</v>
      </c>
      <c r="I650" t="s">
        <v>406</v>
      </c>
      <c r="J650" t="s">
        <v>16</v>
      </c>
      <c r="K650" t="s">
        <v>407</v>
      </c>
    </row>
    <row r="651" spans="1:11" x14ac:dyDescent="0.35">
      <c r="A651" t="s">
        <v>1337</v>
      </c>
      <c r="B651" t="s">
        <v>12</v>
      </c>
      <c r="C651" t="s">
        <v>2268</v>
      </c>
      <c r="D651">
        <v>3</v>
      </c>
      <c r="E651" t="s">
        <v>2300</v>
      </c>
      <c r="F651" t="s">
        <v>2724</v>
      </c>
      <c r="G651" t="s">
        <v>1338</v>
      </c>
      <c r="H651" t="s">
        <v>382</v>
      </c>
      <c r="I651" t="s">
        <v>383</v>
      </c>
      <c r="J651" t="s">
        <v>16</v>
      </c>
      <c r="K651" t="s">
        <v>407</v>
      </c>
    </row>
    <row r="652" spans="1:11" x14ac:dyDescent="0.35">
      <c r="A652" t="s">
        <v>1339</v>
      </c>
      <c r="B652" t="s">
        <v>12</v>
      </c>
      <c r="C652" t="s">
        <v>2264</v>
      </c>
      <c r="D652">
        <v>4</v>
      </c>
      <c r="E652" t="s">
        <v>2248</v>
      </c>
      <c r="F652" t="s">
        <v>2311</v>
      </c>
      <c r="G652" t="s">
        <v>15</v>
      </c>
      <c r="H652" t="s">
        <v>14</v>
      </c>
      <c r="I652" t="s">
        <v>15</v>
      </c>
      <c r="J652" t="s">
        <v>16</v>
      </c>
    </row>
    <row r="653" spans="1:11" x14ac:dyDescent="0.35">
      <c r="A653" t="s">
        <v>1340</v>
      </c>
      <c r="B653" t="s">
        <v>66</v>
      </c>
      <c r="C653" t="s">
        <v>2268</v>
      </c>
      <c r="D653">
        <v>3</v>
      </c>
      <c r="E653" t="s">
        <v>2366</v>
      </c>
      <c r="F653" t="s">
        <v>2392</v>
      </c>
      <c r="G653" t="s">
        <v>623</v>
      </c>
      <c r="H653" t="s">
        <v>73</v>
      </c>
      <c r="I653" t="s">
        <v>74</v>
      </c>
      <c r="J653" t="s">
        <v>16</v>
      </c>
    </row>
    <row r="654" spans="1:11" x14ac:dyDescent="0.35">
      <c r="A654" t="s">
        <v>1341</v>
      </c>
      <c r="B654" t="s">
        <v>18</v>
      </c>
      <c r="C654" t="s">
        <v>2250</v>
      </c>
      <c r="D654">
        <v>5</v>
      </c>
      <c r="E654" t="s">
        <v>2258</v>
      </c>
      <c r="F654" t="s">
        <v>2407</v>
      </c>
      <c r="G654" t="s">
        <v>1342</v>
      </c>
      <c r="H654" t="s">
        <v>346</v>
      </c>
      <c r="I654" t="s">
        <v>347</v>
      </c>
      <c r="J654" t="s">
        <v>16</v>
      </c>
    </row>
    <row r="655" spans="1:11" x14ac:dyDescent="0.35">
      <c r="A655" t="s">
        <v>1343</v>
      </c>
      <c r="B655" t="s">
        <v>66</v>
      </c>
      <c r="C655" t="s">
        <v>2268</v>
      </c>
      <c r="D655">
        <v>2</v>
      </c>
      <c r="E655" t="s">
        <v>2725</v>
      </c>
      <c r="F655" t="s">
        <v>2726</v>
      </c>
      <c r="G655" t="s">
        <v>657</v>
      </c>
      <c r="H655" t="s">
        <v>154</v>
      </c>
      <c r="I655" t="s">
        <v>155</v>
      </c>
      <c r="J655" t="s">
        <v>16</v>
      </c>
    </row>
    <row r="656" spans="1:11" x14ac:dyDescent="0.35">
      <c r="A656" t="s">
        <v>1344</v>
      </c>
      <c r="B656" t="s">
        <v>18</v>
      </c>
      <c r="C656" t="s">
        <v>2250</v>
      </c>
      <c r="D656">
        <v>5</v>
      </c>
      <c r="E656" t="s">
        <v>2258</v>
      </c>
      <c r="F656" t="s">
        <v>2407</v>
      </c>
      <c r="G656" t="s">
        <v>1342</v>
      </c>
      <c r="H656" t="s">
        <v>346</v>
      </c>
      <c r="I656" t="s">
        <v>347</v>
      </c>
      <c r="J656" t="s">
        <v>16</v>
      </c>
      <c r="K656" t="s">
        <v>1074</v>
      </c>
    </row>
    <row r="657" spans="1:11" x14ac:dyDescent="0.35">
      <c r="A657" t="s">
        <v>1345</v>
      </c>
      <c r="B657" t="s">
        <v>66</v>
      </c>
      <c r="C657" t="s">
        <v>2268</v>
      </c>
      <c r="D657">
        <v>3</v>
      </c>
      <c r="E657" t="s">
        <v>2376</v>
      </c>
      <c r="F657" t="s">
        <v>2484</v>
      </c>
      <c r="G657" t="s">
        <v>273</v>
      </c>
      <c r="H657" t="s">
        <v>169</v>
      </c>
      <c r="I657" t="s">
        <v>170</v>
      </c>
      <c r="J657" t="s">
        <v>16</v>
      </c>
      <c r="K657" t="s">
        <v>1074</v>
      </c>
    </row>
    <row r="658" spans="1:11" x14ac:dyDescent="0.35">
      <c r="A658" t="s">
        <v>1346</v>
      </c>
      <c r="B658" t="s">
        <v>66</v>
      </c>
      <c r="C658" t="s">
        <v>2268</v>
      </c>
      <c r="D658">
        <v>3</v>
      </c>
      <c r="E658" t="s">
        <v>2692</v>
      </c>
      <c r="F658" t="s">
        <v>2727</v>
      </c>
      <c r="G658" t="s">
        <v>814</v>
      </c>
      <c r="H658" t="s">
        <v>405</v>
      </c>
      <c r="I658" t="s">
        <v>406</v>
      </c>
      <c r="J658" t="s">
        <v>16</v>
      </c>
      <c r="K658" t="s">
        <v>1074</v>
      </c>
    </row>
    <row r="659" spans="1:11" x14ac:dyDescent="0.35">
      <c r="A659" t="s">
        <v>1347</v>
      </c>
      <c r="B659" t="s">
        <v>66</v>
      </c>
      <c r="C659" t="s">
        <v>2429</v>
      </c>
      <c r="D659">
        <v>2</v>
      </c>
      <c r="E659" t="s">
        <v>2728</v>
      </c>
      <c r="F659" t="s">
        <v>2729</v>
      </c>
      <c r="G659" t="s">
        <v>128</v>
      </c>
      <c r="H659" t="s">
        <v>68</v>
      </c>
      <c r="I659" t="s">
        <v>69</v>
      </c>
      <c r="J659" t="s">
        <v>16</v>
      </c>
      <c r="K659" t="s">
        <v>1074</v>
      </c>
    </row>
    <row r="660" spans="1:11" x14ac:dyDescent="0.35">
      <c r="A660" t="s">
        <v>1192</v>
      </c>
      <c r="B660" t="s">
        <v>66</v>
      </c>
      <c r="C660" t="s">
        <v>2268</v>
      </c>
      <c r="D660">
        <v>3</v>
      </c>
      <c r="E660" t="s">
        <v>2312</v>
      </c>
      <c r="F660" t="s">
        <v>2314</v>
      </c>
      <c r="G660" t="s">
        <v>323</v>
      </c>
      <c r="H660" t="s">
        <v>141</v>
      </c>
      <c r="I660" t="s">
        <v>142</v>
      </c>
      <c r="J660" t="s">
        <v>16</v>
      </c>
      <c r="K660" t="s">
        <v>50</v>
      </c>
    </row>
    <row r="661" spans="1:11" x14ac:dyDescent="0.35">
      <c r="A661" t="s">
        <v>1348</v>
      </c>
      <c r="B661" t="s">
        <v>66</v>
      </c>
      <c r="C661" t="s">
        <v>2268</v>
      </c>
      <c r="D661">
        <v>3</v>
      </c>
      <c r="E661" t="s">
        <v>2312</v>
      </c>
      <c r="F661" t="s">
        <v>2314</v>
      </c>
      <c r="G661" t="s">
        <v>323</v>
      </c>
      <c r="H661" t="s">
        <v>141</v>
      </c>
      <c r="I661" t="s">
        <v>142</v>
      </c>
      <c r="J661" t="s">
        <v>16</v>
      </c>
      <c r="K661" t="s">
        <v>50</v>
      </c>
    </row>
    <row r="662" spans="1:11" x14ac:dyDescent="0.35">
      <c r="A662" t="s">
        <v>1349</v>
      </c>
      <c r="B662" t="s">
        <v>66</v>
      </c>
      <c r="C662" t="s">
        <v>2268</v>
      </c>
      <c r="D662">
        <v>3</v>
      </c>
      <c r="E662" t="s">
        <v>2438</v>
      </c>
      <c r="F662" t="s">
        <v>2316</v>
      </c>
      <c r="G662" t="s">
        <v>1350</v>
      </c>
      <c r="H662" t="s">
        <v>164</v>
      </c>
      <c r="I662" t="s">
        <v>165</v>
      </c>
      <c r="J662" t="s">
        <v>16</v>
      </c>
    </row>
    <row r="663" spans="1:11" x14ac:dyDescent="0.35">
      <c r="A663" t="s">
        <v>1351</v>
      </c>
      <c r="B663" t="s">
        <v>66</v>
      </c>
      <c r="C663" t="s">
        <v>2429</v>
      </c>
      <c r="D663">
        <v>3</v>
      </c>
      <c r="E663" t="s">
        <v>2730</v>
      </c>
      <c r="F663" t="s">
        <v>2335</v>
      </c>
      <c r="G663" t="s">
        <v>2731</v>
      </c>
      <c r="H663" t="s">
        <v>871</v>
      </c>
      <c r="I663" t="s">
        <v>872</v>
      </c>
      <c r="J663" t="s">
        <v>16</v>
      </c>
    </row>
    <row r="664" spans="1:11" x14ac:dyDescent="0.35">
      <c r="A664" t="s">
        <v>1352</v>
      </c>
      <c r="B664" t="s">
        <v>18</v>
      </c>
      <c r="C664" t="s">
        <v>2359</v>
      </c>
      <c r="D664">
        <v>9</v>
      </c>
      <c r="E664" t="s">
        <v>2512</v>
      </c>
      <c r="F664" t="s">
        <v>2476</v>
      </c>
      <c r="G664" t="s">
        <v>1353</v>
      </c>
      <c r="H664" t="s">
        <v>14</v>
      </c>
      <c r="I664" t="s">
        <v>15</v>
      </c>
      <c r="J664" t="s">
        <v>16</v>
      </c>
    </row>
    <row r="665" spans="1:11" x14ac:dyDescent="0.35">
      <c r="A665" t="s">
        <v>1354</v>
      </c>
      <c r="B665" t="s">
        <v>66</v>
      </c>
      <c r="C665" t="s">
        <v>2268</v>
      </c>
      <c r="D665">
        <v>2</v>
      </c>
      <c r="E665" t="s">
        <v>2319</v>
      </c>
      <c r="F665" t="s">
        <v>2320</v>
      </c>
      <c r="G665" t="s">
        <v>657</v>
      </c>
      <c r="H665" t="s">
        <v>154</v>
      </c>
      <c r="I665" t="s">
        <v>155</v>
      </c>
      <c r="J665" t="s">
        <v>16</v>
      </c>
    </row>
    <row r="666" spans="1:11" x14ac:dyDescent="0.35">
      <c r="A666" t="s">
        <v>1355</v>
      </c>
      <c r="B666" t="s">
        <v>12</v>
      </c>
      <c r="C666" t="s">
        <v>2268</v>
      </c>
      <c r="D666">
        <v>2</v>
      </c>
      <c r="E666" t="s">
        <v>2386</v>
      </c>
      <c r="F666" t="s">
        <v>2443</v>
      </c>
      <c r="G666" t="s">
        <v>321</v>
      </c>
      <c r="H666" t="s">
        <v>14</v>
      </c>
      <c r="I666" t="s">
        <v>15</v>
      </c>
      <c r="J666" t="s">
        <v>16</v>
      </c>
    </row>
    <row r="667" spans="1:11" x14ac:dyDescent="0.35">
      <c r="A667" t="s">
        <v>1356</v>
      </c>
      <c r="B667" t="s">
        <v>66</v>
      </c>
      <c r="C667" t="s">
        <v>2268</v>
      </c>
      <c r="D667">
        <v>3</v>
      </c>
      <c r="E667" t="s">
        <v>2383</v>
      </c>
      <c r="F667" t="s">
        <v>2500</v>
      </c>
      <c r="G667" t="s">
        <v>1357</v>
      </c>
      <c r="H667" t="s">
        <v>405</v>
      </c>
      <c r="I667" t="s">
        <v>406</v>
      </c>
      <c r="J667" t="s">
        <v>16</v>
      </c>
      <c r="K667" t="s">
        <v>407</v>
      </c>
    </row>
    <row r="668" spans="1:11" x14ac:dyDescent="0.35">
      <c r="A668" t="s">
        <v>1358</v>
      </c>
      <c r="B668" t="s">
        <v>66</v>
      </c>
      <c r="C668" t="s">
        <v>2250</v>
      </c>
      <c r="D668">
        <v>3</v>
      </c>
      <c r="E668" t="s">
        <v>2483</v>
      </c>
      <c r="F668" t="s">
        <v>2286</v>
      </c>
      <c r="G668" t="s">
        <v>2732</v>
      </c>
      <c r="H668" t="s">
        <v>145</v>
      </c>
      <c r="I668" t="s">
        <v>146</v>
      </c>
      <c r="J668" t="s">
        <v>16</v>
      </c>
    </row>
    <row r="669" spans="1:11" x14ac:dyDescent="0.35">
      <c r="A669" t="s">
        <v>1359</v>
      </c>
      <c r="B669" t="s">
        <v>66</v>
      </c>
      <c r="C669" t="s">
        <v>2264</v>
      </c>
      <c r="D669">
        <v>3</v>
      </c>
      <c r="E669" t="s">
        <v>2383</v>
      </c>
      <c r="F669" t="s">
        <v>2500</v>
      </c>
      <c r="G669" t="s">
        <v>1360</v>
      </c>
      <c r="H669" t="s">
        <v>405</v>
      </c>
      <c r="I669" t="s">
        <v>406</v>
      </c>
      <c r="J669" t="s">
        <v>16</v>
      </c>
      <c r="K669" t="s">
        <v>407</v>
      </c>
    </row>
    <row r="670" spans="1:11" x14ac:dyDescent="0.35">
      <c r="A670" t="s">
        <v>1361</v>
      </c>
      <c r="B670" t="s">
        <v>12</v>
      </c>
      <c r="C670" t="s">
        <v>2268</v>
      </c>
      <c r="D670">
        <v>4</v>
      </c>
      <c r="E670" t="s">
        <v>2340</v>
      </c>
      <c r="F670" t="s">
        <v>2675</v>
      </c>
      <c r="G670" t="s">
        <v>1362</v>
      </c>
      <c r="H670" t="s">
        <v>405</v>
      </c>
      <c r="I670" t="s">
        <v>406</v>
      </c>
      <c r="J670" t="s">
        <v>16</v>
      </c>
      <c r="K670" t="s">
        <v>407</v>
      </c>
    </row>
    <row r="671" spans="1:11" x14ac:dyDescent="0.35">
      <c r="A671" t="s">
        <v>1363</v>
      </c>
      <c r="B671" t="s">
        <v>12</v>
      </c>
      <c r="C671" t="s">
        <v>2268</v>
      </c>
      <c r="D671">
        <v>3</v>
      </c>
      <c r="E671" t="s">
        <v>2340</v>
      </c>
      <c r="F671" t="s">
        <v>2675</v>
      </c>
      <c r="G671" t="s">
        <v>1364</v>
      </c>
      <c r="H671" t="s">
        <v>405</v>
      </c>
      <c r="I671" t="s">
        <v>406</v>
      </c>
      <c r="J671" t="s">
        <v>16</v>
      </c>
      <c r="K671" t="s">
        <v>407</v>
      </c>
    </row>
    <row r="672" spans="1:11" x14ac:dyDescent="0.35">
      <c r="A672" t="s">
        <v>1365</v>
      </c>
      <c r="B672" t="s">
        <v>66</v>
      </c>
      <c r="C672" t="s">
        <v>2268</v>
      </c>
      <c r="D672">
        <v>3</v>
      </c>
      <c r="E672" t="s">
        <v>2511</v>
      </c>
      <c r="F672" t="s">
        <v>2341</v>
      </c>
      <c r="G672" t="s">
        <v>557</v>
      </c>
      <c r="H672" t="s">
        <v>14</v>
      </c>
      <c r="I672" t="s">
        <v>15</v>
      </c>
      <c r="J672" t="s">
        <v>16</v>
      </c>
      <c r="K672" t="s">
        <v>509</v>
      </c>
    </row>
    <row r="673" spans="1:11" x14ac:dyDescent="0.35">
      <c r="A673" t="s">
        <v>1366</v>
      </c>
      <c r="B673" t="s">
        <v>12</v>
      </c>
      <c r="C673" t="s">
        <v>2268</v>
      </c>
      <c r="D673">
        <v>4</v>
      </c>
      <c r="E673" t="s">
        <v>2386</v>
      </c>
      <c r="F673" t="s">
        <v>2286</v>
      </c>
      <c r="G673" t="s">
        <v>1367</v>
      </c>
      <c r="H673" t="s">
        <v>405</v>
      </c>
      <c r="I673" t="s">
        <v>406</v>
      </c>
      <c r="J673" t="s">
        <v>16</v>
      </c>
      <c r="K673" t="s">
        <v>407</v>
      </c>
    </row>
    <row r="674" spans="1:11" x14ac:dyDescent="0.35">
      <c r="A674" t="s">
        <v>1368</v>
      </c>
      <c r="B674" t="s">
        <v>12</v>
      </c>
      <c r="C674" t="s">
        <v>2268</v>
      </c>
      <c r="D674">
        <v>3</v>
      </c>
      <c r="E674" t="s">
        <v>2647</v>
      </c>
      <c r="F674" t="s">
        <v>2266</v>
      </c>
      <c r="G674" t="s">
        <v>76</v>
      </c>
      <c r="H674" t="s">
        <v>28</v>
      </c>
      <c r="I674" t="s">
        <v>29</v>
      </c>
      <c r="J674" t="s">
        <v>16</v>
      </c>
      <c r="K674" t="s">
        <v>407</v>
      </c>
    </row>
    <row r="675" spans="1:11" x14ac:dyDescent="0.35">
      <c r="A675" t="s">
        <v>1369</v>
      </c>
      <c r="B675" t="s">
        <v>18</v>
      </c>
      <c r="C675" t="s">
        <v>2264</v>
      </c>
      <c r="D675">
        <v>4</v>
      </c>
      <c r="E675" t="s">
        <v>2358</v>
      </c>
      <c r="F675" t="s">
        <v>2497</v>
      </c>
      <c r="G675" t="s">
        <v>578</v>
      </c>
      <c r="H675" t="s">
        <v>14</v>
      </c>
      <c r="I675" t="s">
        <v>15</v>
      </c>
      <c r="J675" t="s">
        <v>16</v>
      </c>
      <c r="K675" t="s">
        <v>1370</v>
      </c>
    </row>
    <row r="676" spans="1:11" x14ac:dyDescent="0.35">
      <c r="A676" t="s">
        <v>1371</v>
      </c>
      <c r="B676" t="s">
        <v>12</v>
      </c>
      <c r="C676" t="s">
        <v>2264</v>
      </c>
      <c r="D676">
        <v>4</v>
      </c>
      <c r="E676" t="s">
        <v>2444</v>
      </c>
      <c r="F676" t="s">
        <v>2527</v>
      </c>
      <c r="G676" t="s">
        <v>1372</v>
      </c>
      <c r="H676" t="s">
        <v>450</v>
      </c>
      <c r="I676" t="s">
        <v>451</v>
      </c>
      <c r="J676" t="s">
        <v>16</v>
      </c>
    </row>
    <row r="677" spans="1:11" x14ac:dyDescent="0.35">
      <c r="A677" t="s">
        <v>1373</v>
      </c>
      <c r="B677" t="s">
        <v>66</v>
      </c>
      <c r="C677" t="s">
        <v>2268</v>
      </c>
      <c r="D677">
        <v>3</v>
      </c>
      <c r="E677" t="s">
        <v>2312</v>
      </c>
      <c r="F677" t="s">
        <v>2314</v>
      </c>
      <c r="G677" t="s">
        <v>1265</v>
      </c>
      <c r="H677" t="s">
        <v>141</v>
      </c>
      <c r="I677" t="s">
        <v>142</v>
      </c>
      <c r="J677" t="s">
        <v>16</v>
      </c>
    </row>
    <row r="678" spans="1:11" x14ac:dyDescent="0.35">
      <c r="A678" t="s">
        <v>1374</v>
      </c>
      <c r="B678" t="s">
        <v>66</v>
      </c>
      <c r="C678" t="s">
        <v>2268</v>
      </c>
      <c r="D678">
        <v>3</v>
      </c>
      <c r="E678" t="s">
        <v>2312</v>
      </c>
      <c r="F678" t="s">
        <v>2314</v>
      </c>
      <c r="G678" t="s">
        <v>323</v>
      </c>
      <c r="H678" t="s">
        <v>141</v>
      </c>
      <c r="I678" t="s">
        <v>142</v>
      </c>
      <c r="J678" t="s">
        <v>16</v>
      </c>
    </row>
    <row r="679" spans="1:11" x14ac:dyDescent="0.35">
      <c r="A679" t="s">
        <v>1375</v>
      </c>
      <c r="B679" t="s">
        <v>66</v>
      </c>
      <c r="C679" t="s">
        <v>2268</v>
      </c>
      <c r="D679">
        <v>3</v>
      </c>
      <c r="E679" t="s">
        <v>2312</v>
      </c>
      <c r="F679" t="s">
        <v>2314</v>
      </c>
      <c r="G679" t="s">
        <v>323</v>
      </c>
      <c r="H679" t="s">
        <v>141</v>
      </c>
      <c r="I679" t="s">
        <v>142</v>
      </c>
      <c r="J679" t="s">
        <v>16</v>
      </c>
    </row>
    <row r="680" spans="1:11" x14ac:dyDescent="0.35">
      <c r="A680" t="s">
        <v>1376</v>
      </c>
      <c r="B680" t="s">
        <v>18</v>
      </c>
      <c r="C680" t="s">
        <v>2264</v>
      </c>
      <c r="D680">
        <v>3</v>
      </c>
      <c r="E680" t="s">
        <v>2258</v>
      </c>
      <c r="F680" t="s">
        <v>2667</v>
      </c>
      <c r="G680" t="s">
        <v>1377</v>
      </c>
      <c r="H680" t="s">
        <v>173</v>
      </c>
      <c r="I680" t="s">
        <v>174</v>
      </c>
      <c r="J680" t="s">
        <v>16</v>
      </c>
    </row>
    <row r="681" spans="1:11" x14ac:dyDescent="0.35">
      <c r="A681" t="s">
        <v>1378</v>
      </c>
      <c r="B681" t="s">
        <v>66</v>
      </c>
      <c r="C681" t="s">
        <v>2268</v>
      </c>
      <c r="D681">
        <v>3</v>
      </c>
      <c r="E681" t="s">
        <v>2312</v>
      </c>
      <c r="F681" t="s">
        <v>2733</v>
      </c>
      <c r="G681" t="s">
        <v>1379</v>
      </c>
      <c r="H681" t="s">
        <v>825</v>
      </c>
      <c r="I681" t="s">
        <v>826</v>
      </c>
      <c r="J681" t="s">
        <v>16</v>
      </c>
      <c r="K681" t="s">
        <v>1074</v>
      </c>
    </row>
    <row r="682" spans="1:11" x14ac:dyDescent="0.35">
      <c r="A682" t="s">
        <v>1380</v>
      </c>
      <c r="B682" t="s">
        <v>66</v>
      </c>
      <c r="C682" t="s">
        <v>2264</v>
      </c>
      <c r="D682">
        <v>3</v>
      </c>
      <c r="E682" t="s">
        <v>2734</v>
      </c>
      <c r="F682" t="s">
        <v>2497</v>
      </c>
      <c r="G682" t="s">
        <v>1381</v>
      </c>
      <c r="H682" t="s">
        <v>68</v>
      </c>
      <c r="I682" t="s">
        <v>69</v>
      </c>
      <c r="J682" t="s">
        <v>16</v>
      </c>
      <c r="K682" t="s">
        <v>426</v>
      </c>
    </row>
    <row r="683" spans="1:11" x14ac:dyDescent="0.35">
      <c r="A683" t="s">
        <v>1382</v>
      </c>
      <c r="B683" t="s">
        <v>66</v>
      </c>
      <c r="C683" t="s">
        <v>2268</v>
      </c>
      <c r="D683">
        <v>4</v>
      </c>
      <c r="E683" t="s">
        <v>2437</v>
      </c>
      <c r="F683" t="s">
        <v>2282</v>
      </c>
      <c r="G683" t="s">
        <v>240</v>
      </c>
      <c r="H683" t="s">
        <v>241</v>
      </c>
      <c r="I683" t="s">
        <v>242</v>
      </c>
      <c r="J683" t="s">
        <v>16</v>
      </c>
      <c r="K683" t="s">
        <v>1383</v>
      </c>
    </row>
    <row r="684" spans="1:11" x14ac:dyDescent="0.35">
      <c r="A684" t="s">
        <v>1384</v>
      </c>
      <c r="B684" t="s">
        <v>66</v>
      </c>
      <c r="C684" t="s">
        <v>2268</v>
      </c>
      <c r="D684">
        <v>3</v>
      </c>
      <c r="E684" t="s">
        <v>2490</v>
      </c>
      <c r="F684" t="s">
        <v>2587</v>
      </c>
      <c r="G684" t="s">
        <v>913</v>
      </c>
      <c r="H684" t="s">
        <v>154</v>
      </c>
      <c r="I684" t="s">
        <v>155</v>
      </c>
      <c r="J684" t="s">
        <v>16</v>
      </c>
      <c r="K684" t="s">
        <v>1149</v>
      </c>
    </row>
    <row r="685" spans="1:11" x14ac:dyDescent="0.35">
      <c r="A685" t="s">
        <v>1385</v>
      </c>
      <c r="B685" t="s">
        <v>18</v>
      </c>
      <c r="C685" t="s">
        <v>2250</v>
      </c>
      <c r="D685">
        <v>3</v>
      </c>
      <c r="E685" t="s">
        <v>2258</v>
      </c>
      <c r="F685" t="s">
        <v>2735</v>
      </c>
      <c r="G685" t="s">
        <v>1386</v>
      </c>
      <c r="H685" t="s">
        <v>173</v>
      </c>
      <c r="I685" t="s">
        <v>174</v>
      </c>
      <c r="J685" t="s">
        <v>16</v>
      </c>
      <c r="K685" t="s">
        <v>624</v>
      </c>
    </row>
    <row r="686" spans="1:11" x14ac:dyDescent="0.35">
      <c r="A686" t="s">
        <v>1387</v>
      </c>
      <c r="B686" t="s">
        <v>66</v>
      </c>
      <c r="C686" t="s">
        <v>2264</v>
      </c>
      <c r="D686">
        <v>4</v>
      </c>
      <c r="E686" t="s">
        <v>2490</v>
      </c>
      <c r="F686" t="s">
        <v>2736</v>
      </c>
      <c r="G686" t="s">
        <v>1110</v>
      </c>
      <c r="H686" t="s">
        <v>145</v>
      </c>
      <c r="I686" t="s">
        <v>146</v>
      </c>
      <c r="J686" t="s">
        <v>16</v>
      </c>
    </row>
    <row r="687" spans="1:11" x14ac:dyDescent="0.35">
      <c r="A687" t="s">
        <v>1388</v>
      </c>
      <c r="B687" t="s">
        <v>12</v>
      </c>
      <c r="C687" t="s">
        <v>2268</v>
      </c>
      <c r="D687">
        <v>2</v>
      </c>
      <c r="E687" t="s">
        <v>2281</v>
      </c>
      <c r="F687" t="s">
        <v>2675</v>
      </c>
      <c r="G687" t="s">
        <v>1293</v>
      </c>
      <c r="H687" t="s">
        <v>169</v>
      </c>
      <c r="I687" t="s">
        <v>170</v>
      </c>
      <c r="J687" t="s">
        <v>16</v>
      </c>
      <c r="K687" t="s">
        <v>1294</v>
      </c>
    </row>
    <row r="688" spans="1:11" x14ac:dyDescent="0.35">
      <c r="A688" t="s">
        <v>1389</v>
      </c>
      <c r="B688" t="s">
        <v>66</v>
      </c>
      <c r="C688" t="s">
        <v>2268</v>
      </c>
      <c r="D688">
        <v>3</v>
      </c>
      <c r="E688" t="s">
        <v>2692</v>
      </c>
      <c r="F688" t="s">
        <v>2586</v>
      </c>
      <c r="G688" t="s">
        <v>814</v>
      </c>
      <c r="H688" t="s">
        <v>405</v>
      </c>
      <c r="I688" t="s">
        <v>406</v>
      </c>
      <c r="J688" t="s">
        <v>16</v>
      </c>
      <c r="K688" t="s">
        <v>1390</v>
      </c>
    </row>
    <row r="689" spans="1:11" x14ac:dyDescent="0.35">
      <c r="A689" t="s">
        <v>1391</v>
      </c>
      <c r="B689" t="s">
        <v>12</v>
      </c>
      <c r="C689" t="s">
        <v>2268</v>
      </c>
      <c r="D689">
        <v>3</v>
      </c>
      <c r="E689" t="s">
        <v>2391</v>
      </c>
      <c r="F689" t="s">
        <v>2497</v>
      </c>
      <c r="G689" t="s">
        <v>857</v>
      </c>
      <c r="H689" t="s">
        <v>154</v>
      </c>
      <c r="I689" t="s">
        <v>155</v>
      </c>
      <c r="J689" t="s">
        <v>16</v>
      </c>
      <c r="K689" t="s">
        <v>1390</v>
      </c>
    </row>
    <row r="690" spans="1:11" x14ac:dyDescent="0.35">
      <c r="A690" t="s">
        <v>1392</v>
      </c>
      <c r="B690" t="s">
        <v>12</v>
      </c>
      <c r="C690" t="s">
        <v>2268</v>
      </c>
      <c r="D690">
        <v>2</v>
      </c>
      <c r="E690" t="s">
        <v>2676</v>
      </c>
      <c r="F690" t="s">
        <v>2588</v>
      </c>
      <c r="G690" t="s">
        <v>1393</v>
      </c>
      <c r="H690" t="s">
        <v>871</v>
      </c>
      <c r="I690" t="s">
        <v>872</v>
      </c>
      <c r="J690" t="s">
        <v>16</v>
      </c>
    </row>
    <row r="691" spans="1:11" x14ac:dyDescent="0.35">
      <c r="A691" t="s">
        <v>1394</v>
      </c>
      <c r="B691" t="s">
        <v>251</v>
      </c>
      <c r="C691" t="s">
        <v>2268</v>
      </c>
      <c r="D691">
        <v>2</v>
      </c>
      <c r="E691" t="s">
        <v>2737</v>
      </c>
      <c r="F691" t="s">
        <v>2257</v>
      </c>
      <c r="G691" t="s">
        <v>1395</v>
      </c>
      <c r="H691" t="s">
        <v>695</v>
      </c>
      <c r="I691" t="s">
        <v>696</v>
      </c>
      <c r="J691" t="s">
        <v>16</v>
      </c>
      <c r="K691" t="s">
        <v>211</v>
      </c>
    </row>
    <row r="692" spans="1:11" x14ac:dyDescent="0.35">
      <c r="A692" t="s">
        <v>1396</v>
      </c>
      <c r="B692" t="s">
        <v>12</v>
      </c>
      <c r="C692" t="s">
        <v>2268</v>
      </c>
      <c r="D692">
        <v>3</v>
      </c>
      <c r="E692" t="s">
        <v>2421</v>
      </c>
      <c r="F692" t="s">
        <v>2309</v>
      </c>
      <c r="G692" t="s">
        <v>1397</v>
      </c>
      <c r="H692" t="s">
        <v>125</v>
      </c>
      <c r="I692" t="s">
        <v>126</v>
      </c>
      <c r="J692" t="s">
        <v>16</v>
      </c>
      <c r="K692" t="s">
        <v>77</v>
      </c>
    </row>
    <row r="693" spans="1:11" x14ac:dyDescent="0.35">
      <c r="A693" t="s">
        <v>1398</v>
      </c>
      <c r="B693" t="s">
        <v>66</v>
      </c>
      <c r="C693" t="s">
        <v>2268</v>
      </c>
      <c r="D693">
        <v>4</v>
      </c>
      <c r="E693" t="s">
        <v>2384</v>
      </c>
      <c r="F693" t="s">
        <v>2385</v>
      </c>
      <c r="G693" t="s">
        <v>670</v>
      </c>
      <c r="H693" t="s">
        <v>145</v>
      </c>
      <c r="I693" t="s">
        <v>146</v>
      </c>
      <c r="J693" t="s">
        <v>16</v>
      </c>
      <c r="K693" t="s">
        <v>77</v>
      </c>
    </row>
    <row r="694" spans="1:11" x14ac:dyDescent="0.35">
      <c r="A694" t="s">
        <v>1399</v>
      </c>
      <c r="B694" t="s">
        <v>12</v>
      </c>
      <c r="C694" t="s">
        <v>2429</v>
      </c>
      <c r="D694">
        <v>2</v>
      </c>
      <c r="E694" t="s">
        <v>2738</v>
      </c>
      <c r="F694" t="s">
        <v>2309</v>
      </c>
      <c r="G694" t="s">
        <v>343</v>
      </c>
      <c r="H694" t="s">
        <v>40</v>
      </c>
      <c r="I694" t="s">
        <v>41</v>
      </c>
      <c r="J694" t="s">
        <v>16</v>
      </c>
    </row>
    <row r="695" spans="1:11" x14ac:dyDescent="0.35">
      <c r="A695" t="s">
        <v>1400</v>
      </c>
      <c r="B695" t="s">
        <v>18</v>
      </c>
      <c r="C695" t="s">
        <v>2491</v>
      </c>
      <c r="D695">
        <v>10</v>
      </c>
      <c r="E695" t="s">
        <v>2300</v>
      </c>
      <c r="F695" t="s">
        <v>2418</v>
      </c>
      <c r="G695" t="s">
        <v>1401</v>
      </c>
      <c r="H695" t="s">
        <v>675</v>
      </c>
      <c r="I695" t="s">
        <v>676</v>
      </c>
      <c r="J695" t="s">
        <v>16</v>
      </c>
    </row>
    <row r="696" spans="1:11" x14ac:dyDescent="0.35">
      <c r="A696" t="s">
        <v>1402</v>
      </c>
      <c r="B696" t="s">
        <v>18</v>
      </c>
      <c r="C696" t="s">
        <v>2268</v>
      </c>
      <c r="D696">
        <v>3</v>
      </c>
      <c r="E696" t="s">
        <v>2739</v>
      </c>
      <c r="F696" t="s">
        <v>2326</v>
      </c>
      <c r="G696" t="s">
        <v>163</v>
      </c>
      <c r="H696" t="s">
        <v>164</v>
      </c>
      <c r="I696" t="s">
        <v>165</v>
      </c>
      <c r="J696" t="s">
        <v>16</v>
      </c>
      <c r="K696" t="s">
        <v>166</v>
      </c>
    </row>
    <row r="697" spans="1:11" x14ac:dyDescent="0.35">
      <c r="A697" t="s">
        <v>1403</v>
      </c>
      <c r="B697" t="s">
        <v>12</v>
      </c>
      <c r="C697" t="s">
        <v>2264</v>
      </c>
      <c r="D697">
        <v>4</v>
      </c>
      <c r="E697" t="s">
        <v>2389</v>
      </c>
      <c r="F697" t="s">
        <v>2420</v>
      </c>
      <c r="G697" t="s">
        <v>317</v>
      </c>
      <c r="H697" t="s">
        <v>14</v>
      </c>
      <c r="I697" t="s">
        <v>15</v>
      </c>
      <c r="J697" t="s">
        <v>16</v>
      </c>
      <c r="K697" t="s">
        <v>50</v>
      </c>
    </row>
    <row r="698" spans="1:11" x14ac:dyDescent="0.35">
      <c r="A698" t="s">
        <v>1404</v>
      </c>
      <c r="B698" t="s">
        <v>18</v>
      </c>
      <c r="C698" t="s">
        <v>2268</v>
      </c>
      <c r="D698">
        <v>5</v>
      </c>
      <c r="E698" t="s">
        <v>2740</v>
      </c>
      <c r="F698" t="s">
        <v>2280</v>
      </c>
      <c r="G698" t="s">
        <v>1405</v>
      </c>
      <c r="H698" t="s">
        <v>218</v>
      </c>
      <c r="I698" t="s">
        <v>219</v>
      </c>
      <c r="J698" t="s">
        <v>16</v>
      </c>
    </row>
    <row r="699" spans="1:11" x14ac:dyDescent="0.35">
      <c r="A699" t="s">
        <v>1406</v>
      </c>
      <c r="B699" t="s">
        <v>66</v>
      </c>
      <c r="C699" t="s">
        <v>2429</v>
      </c>
      <c r="D699">
        <v>3</v>
      </c>
      <c r="E699" t="s">
        <v>2409</v>
      </c>
      <c r="F699" t="s">
        <v>2741</v>
      </c>
      <c r="G699" t="s">
        <v>269</v>
      </c>
      <c r="H699" t="s">
        <v>169</v>
      </c>
      <c r="I699" t="s">
        <v>170</v>
      </c>
      <c r="J699" t="s">
        <v>16</v>
      </c>
      <c r="K699" t="s">
        <v>1390</v>
      </c>
    </row>
    <row r="700" spans="1:11" x14ac:dyDescent="0.35">
      <c r="A700" t="s">
        <v>1407</v>
      </c>
      <c r="B700" t="s">
        <v>66</v>
      </c>
      <c r="C700" t="s">
        <v>2268</v>
      </c>
      <c r="D700">
        <v>2</v>
      </c>
      <c r="E700" t="s">
        <v>2742</v>
      </c>
      <c r="F700" t="s">
        <v>2743</v>
      </c>
      <c r="G700" t="s">
        <v>1408</v>
      </c>
      <c r="H700" t="s">
        <v>734</v>
      </c>
      <c r="I700" t="s">
        <v>735</v>
      </c>
      <c r="J700" t="s">
        <v>16</v>
      </c>
      <c r="K700" t="s">
        <v>1409</v>
      </c>
    </row>
    <row r="701" spans="1:11" x14ac:dyDescent="0.35">
      <c r="A701" t="s">
        <v>1410</v>
      </c>
      <c r="B701" t="s">
        <v>18</v>
      </c>
      <c r="C701" t="s">
        <v>2268</v>
      </c>
      <c r="D701">
        <v>3</v>
      </c>
      <c r="E701" t="s">
        <v>2432</v>
      </c>
      <c r="F701" t="s">
        <v>2351</v>
      </c>
      <c r="G701" t="s">
        <v>1411</v>
      </c>
      <c r="H701" t="s">
        <v>1412</v>
      </c>
      <c r="I701" t="s">
        <v>1413</v>
      </c>
      <c r="J701" t="s">
        <v>16</v>
      </c>
      <c r="K701" t="s">
        <v>948</v>
      </c>
    </row>
    <row r="702" spans="1:11" x14ac:dyDescent="0.35">
      <c r="A702" t="s">
        <v>1414</v>
      </c>
      <c r="B702" t="s">
        <v>12</v>
      </c>
      <c r="C702" t="s">
        <v>2268</v>
      </c>
      <c r="D702">
        <v>3</v>
      </c>
      <c r="E702" t="s">
        <v>2578</v>
      </c>
      <c r="F702" t="s">
        <v>2269</v>
      </c>
      <c r="G702" t="s">
        <v>857</v>
      </c>
      <c r="H702" t="s">
        <v>154</v>
      </c>
      <c r="I702" t="s">
        <v>155</v>
      </c>
      <c r="J702" t="s">
        <v>16</v>
      </c>
    </row>
    <row r="703" spans="1:11" x14ac:dyDescent="0.35">
      <c r="A703" t="s">
        <v>1415</v>
      </c>
      <c r="B703" t="s">
        <v>12</v>
      </c>
      <c r="C703" t="s">
        <v>2268</v>
      </c>
      <c r="D703">
        <v>3</v>
      </c>
      <c r="E703" t="s">
        <v>2260</v>
      </c>
      <c r="F703" t="s">
        <v>2269</v>
      </c>
      <c r="G703" t="s">
        <v>161</v>
      </c>
      <c r="H703" t="s">
        <v>48</v>
      </c>
      <c r="I703" t="s">
        <v>49</v>
      </c>
      <c r="J703" t="s">
        <v>16</v>
      </c>
    </row>
    <row r="704" spans="1:11" x14ac:dyDescent="0.35">
      <c r="A704" t="s">
        <v>1416</v>
      </c>
      <c r="B704" t="s">
        <v>66</v>
      </c>
      <c r="C704" t="s">
        <v>2268</v>
      </c>
      <c r="D704">
        <v>3</v>
      </c>
      <c r="E704" t="s">
        <v>2510</v>
      </c>
      <c r="F704" t="s">
        <v>2744</v>
      </c>
      <c r="G704" t="s">
        <v>1140</v>
      </c>
      <c r="H704" t="s">
        <v>173</v>
      </c>
      <c r="I704" t="s">
        <v>174</v>
      </c>
      <c r="J704" t="s">
        <v>16</v>
      </c>
    </row>
    <row r="705" spans="1:11" x14ac:dyDescent="0.35">
      <c r="A705" t="s">
        <v>1417</v>
      </c>
      <c r="B705" t="s">
        <v>12</v>
      </c>
      <c r="C705" t="s">
        <v>2264</v>
      </c>
      <c r="D705">
        <v>4</v>
      </c>
      <c r="E705" t="s">
        <v>2260</v>
      </c>
      <c r="F705" t="s">
        <v>2322</v>
      </c>
      <c r="G705" t="s">
        <v>161</v>
      </c>
      <c r="H705" t="s">
        <v>48</v>
      </c>
      <c r="I705" t="s">
        <v>49</v>
      </c>
      <c r="J705" t="s">
        <v>16</v>
      </c>
    </row>
    <row r="706" spans="1:11" x14ac:dyDescent="0.35">
      <c r="A706" t="s">
        <v>1418</v>
      </c>
      <c r="B706" t="s">
        <v>12</v>
      </c>
      <c r="C706" t="s">
        <v>2264</v>
      </c>
      <c r="D706">
        <v>4</v>
      </c>
      <c r="E706" t="s">
        <v>2260</v>
      </c>
      <c r="F706" t="s">
        <v>2322</v>
      </c>
      <c r="G706" t="s">
        <v>1419</v>
      </c>
      <c r="H706" t="s">
        <v>48</v>
      </c>
      <c r="I706" t="s">
        <v>49</v>
      </c>
      <c r="J706" t="s">
        <v>16</v>
      </c>
      <c r="K706" t="s">
        <v>50</v>
      </c>
    </row>
    <row r="707" spans="1:11" x14ac:dyDescent="0.35">
      <c r="A707" t="s">
        <v>1420</v>
      </c>
      <c r="B707" t="s">
        <v>18</v>
      </c>
      <c r="C707" t="s">
        <v>2253</v>
      </c>
      <c r="D707">
        <v>11</v>
      </c>
      <c r="E707" t="s">
        <v>2393</v>
      </c>
      <c r="F707" t="s">
        <v>2598</v>
      </c>
      <c r="G707" t="s">
        <v>391</v>
      </c>
      <c r="H707" t="s">
        <v>141</v>
      </c>
      <c r="I707" t="s">
        <v>142</v>
      </c>
      <c r="J707" t="s">
        <v>16</v>
      </c>
      <c r="K707" t="s">
        <v>1421</v>
      </c>
    </row>
    <row r="708" spans="1:11" x14ac:dyDescent="0.35">
      <c r="A708" t="s">
        <v>1422</v>
      </c>
      <c r="B708" t="s">
        <v>12</v>
      </c>
      <c r="C708" t="s">
        <v>2429</v>
      </c>
      <c r="D708">
        <v>4</v>
      </c>
      <c r="E708" t="s">
        <v>2260</v>
      </c>
      <c r="F708" t="s">
        <v>2322</v>
      </c>
      <c r="G708" t="s">
        <v>161</v>
      </c>
      <c r="H708" t="s">
        <v>48</v>
      </c>
      <c r="I708" t="s">
        <v>49</v>
      </c>
      <c r="J708" t="s">
        <v>16</v>
      </c>
      <c r="K708" t="s">
        <v>50</v>
      </c>
    </row>
    <row r="709" spans="1:11" x14ac:dyDescent="0.35">
      <c r="A709" t="s">
        <v>1423</v>
      </c>
      <c r="B709" t="s">
        <v>12</v>
      </c>
      <c r="C709" t="s">
        <v>2268</v>
      </c>
      <c r="D709">
        <v>4</v>
      </c>
      <c r="E709" t="s">
        <v>2391</v>
      </c>
      <c r="F709" t="s">
        <v>2528</v>
      </c>
      <c r="G709" t="s">
        <v>283</v>
      </c>
      <c r="H709" t="s">
        <v>145</v>
      </c>
      <c r="I709" t="s">
        <v>146</v>
      </c>
      <c r="J709" t="s">
        <v>16</v>
      </c>
      <c r="K709" t="s">
        <v>1074</v>
      </c>
    </row>
    <row r="710" spans="1:11" x14ac:dyDescent="0.35">
      <c r="A710" t="s">
        <v>1424</v>
      </c>
      <c r="B710" t="s">
        <v>18</v>
      </c>
      <c r="C710" t="s">
        <v>2264</v>
      </c>
      <c r="D710">
        <v>4</v>
      </c>
      <c r="E710" t="s">
        <v>2745</v>
      </c>
      <c r="F710" t="s">
        <v>2746</v>
      </c>
      <c r="G710" t="s">
        <v>1425</v>
      </c>
      <c r="H710" t="s">
        <v>666</v>
      </c>
      <c r="I710" t="s">
        <v>667</v>
      </c>
      <c r="J710" t="s">
        <v>16</v>
      </c>
      <c r="K710" t="s">
        <v>1074</v>
      </c>
    </row>
    <row r="711" spans="1:11" x14ac:dyDescent="0.35">
      <c r="A711" t="s">
        <v>1426</v>
      </c>
      <c r="B711" t="s">
        <v>18</v>
      </c>
      <c r="C711" t="s">
        <v>2264</v>
      </c>
      <c r="D711">
        <v>3</v>
      </c>
      <c r="E711" t="s">
        <v>2747</v>
      </c>
      <c r="F711" t="s">
        <v>2748</v>
      </c>
      <c r="G711" t="s">
        <v>259</v>
      </c>
      <c r="H711" t="s">
        <v>173</v>
      </c>
      <c r="I711" t="s">
        <v>174</v>
      </c>
      <c r="J711" t="s">
        <v>16</v>
      </c>
      <c r="K711" t="s">
        <v>1074</v>
      </c>
    </row>
    <row r="712" spans="1:11" x14ac:dyDescent="0.35">
      <c r="A712" t="s">
        <v>1427</v>
      </c>
      <c r="B712" t="s">
        <v>18</v>
      </c>
      <c r="C712" t="s">
        <v>2247</v>
      </c>
      <c r="D712">
        <v>7</v>
      </c>
      <c r="E712" t="s">
        <v>2406</v>
      </c>
      <c r="F712" t="s">
        <v>2423</v>
      </c>
      <c r="G712" t="s">
        <v>1206</v>
      </c>
      <c r="H712" t="s">
        <v>1207</v>
      </c>
      <c r="I712" t="s">
        <v>1208</v>
      </c>
      <c r="J712" t="s">
        <v>16</v>
      </c>
      <c r="K712" t="s">
        <v>948</v>
      </c>
    </row>
    <row r="713" spans="1:11" x14ac:dyDescent="0.35">
      <c r="A713" t="s">
        <v>1428</v>
      </c>
      <c r="B713" t="s">
        <v>18</v>
      </c>
      <c r="C713" t="s">
        <v>2297</v>
      </c>
      <c r="D713">
        <v>5</v>
      </c>
      <c r="E713" t="s">
        <v>2749</v>
      </c>
      <c r="F713" t="s">
        <v>2324</v>
      </c>
      <c r="G713" t="s">
        <v>1429</v>
      </c>
      <c r="H713" t="s">
        <v>154</v>
      </c>
      <c r="I713" t="s">
        <v>155</v>
      </c>
      <c r="J713" t="s">
        <v>16</v>
      </c>
      <c r="K713" t="s">
        <v>1430</v>
      </c>
    </row>
    <row r="714" spans="1:11" x14ac:dyDescent="0.35">
      <c r="A714" t="s">
        <v>1431</v>
      </c>
      <c r="B714" t="s">
        <v>12</v>
      </c>
      <c r="C714" t="s">
        <v>2268</v>
      </c>
      <c r="D714">
        <v>3</v>
      </c>
      <c r="E714" t="s">
        <v>2750</v>
      </c>
      <c r="F714" t="s">
        <v>2514</v>
      </c>
      <c r="G714" t="s">
        <v>1432</v>
      </c>
      <c r="H714" t="s">
        <v>145</v>
      </c>
      <c r="I714" t="s">
        <v>146</v>
      </c>
      <c r="J714" t="s">
        <v>16</v>
      </c>
      <c r="K714" t="s">
        <v>948</v>
      </c>
    </row>
    <row r="715" spans="1:11" x14ac:dyDescent="0.35">
      <c r="A715" t="s">
        <v>1433</v>
      </c>
      <c r="B715" t="s">
        <v>66</v>
      </c>
      <c r="C715" t="s">
        <v>2264</v>
      </c>
      <c r="D715">
        <v>3</v>
      </c>
      <c r="E715" t="s">
        <v>2600</v>
      </c>
      <c r="F715" t="s">
        <v>2280</v>
      </c>
      <c r="G715" t="s">
        <v>128</v>
      </c>
      <c r="H715" t="s">
        <v>68</v>
      </c>
      <c r="I715" t="s">
        <v>69</v>
      </c>
      <c r="J715" t="s">
        <v>16</v>
      </c>
      <c r="K715" t="s">
        <v>567</v>
      </c>
    </row>
    <row r="716" spans="1:11" x14ac:dyDescent="0.35">
      <c r="A716" t="s">
        <v>1434</v>
      </c>
      <c r="B716" t="s">
        <v>18</v>
      </c>
      <c r="C716" t="s">
        <v>2247</v>
      </c>
      <c r="D716">
        <v>3</v>
      </c>
      <c r="E716" t="s">
        <v>2347</v>
      </c>
      <c r="F716" t="s">
        <v>2423</v>
      </c>
      <c r="G716" t="s">
        <v>1435</v>
      </c>
      <c r="H716" t="s">
        <v>35</v>
      </c>
      <c r="I716" t="s">
        <v>36</v>
      </c>
      <c r="J716" t="s">
        <v>16</v>
      </c>
      <c r="K716" t="s">
        <v>211</v>
      </c>
    </row>
    <row r="717" spans="1:11" x14ac:dyDescent="0.35">
      <c r="A717" t="s">
        <v>1436</v>
      </c>
      <c r="B717" t="s">
        <v>66</v>
      </c>
      <c r="C717" t="s">
        <v>2247</v>
      </c>
      <c r="D717">
        <v>4</v>
      </c>
      <c r="E717" t="s">
        <v>2739</v>
      </c>
      <c r="F717" t="s">
        <v>2317</v>
      </c>
      <c r="G717" t="s">
        <v>1437</v>
      </c>
      <c r="H717" t="s">
        <v>68</v>
      </c>
      <c r="I717" t="s">
        <v>69</v>
      </c>
      <c r="J717" t="s">
        <v>16</v>
      </c>
    </row>
    <row r="718" spans="1:11" x14ac:dyDescent="0.35">
      <c r="A718" t="s">
        <v>1438</v>
      </c>
      <c r="B718" t="s">
        <v>66</v>
      </c>
      <c r="C718" t="s">
        <v>2250</v>
      </c>
      <c r="D718">
        <v>4</v>
      </c>
      <c r="E718" t="s">
        <v>2557</v>
      </c>
      <c r="F718" t="s">
        <v>2751</v>
      </c>
      <c r="G718" t="s">
        <v>670</v>
      </c>
      <c r="H718" t="s">
        <v>145</v>
      </c>
      <c r="I718" t="s">
        <v>146</v>
      </c>
      <c r="J718" t="s">
        <v>16</v>
      </c>
      <c r="K718" t="s">
        <v>77</v>
      </c>
    </row>
    <row r="719" spans="1:11" x14ac:dyDescent="0.35">
      <c r="A719" t="s">
        <v>1439</v>
      </c>
      <c r="B719" t="s">
        <v>66</v>
      </c>
      <c r="C719" t="s">
        <v>2268</v>
      </c>
      <c r="D719">
        <v>3</v>
      </c>
      <c r="E719" t="s">
        <v>2752</v>
      </c>
      <c r="F719" t="s">
        <v>2497</v>
      </c>
      <c r="G719" t="s">
        <v>712</v>
      </c>
      <c r="H719" t="s">
        <v>125</v>
      </c>
      <c r="I719" t="s">
        <v>126</v>
      </c>
      <c r="J719" t="s">
        <v>16</v>
      </c>
    </row>
    <row r="720" spans="1:11" x14ac:dyDescent="0.35">
      <c r="A720" t="s">
        <v>1440</v>
      </c>
      <c r="B720" t="s">
        <v>18</v>
      </c>
      <c r="C720" t="s">
        <v>2297</v>
      </c>
      <c r="D720">
        <v>6</v>
      </c>
      <c r="E720" t="s">
        <v>2300</v>
      </c>
      <c r="F720" t="s">
        <v>2270</v>
      </c>
      <c r="G720" t="s">
        <v>1441</v>
      </c>
      <c r="H720" t="s">
        <v>68</v>
      </c>
      <c r="I720" t="s">
        <v>69</v>
      </c>
      <c r="J720" t="s">
        <v>16</v>
      </c>
      <c r="K720" t="s">
        <v>1430</v>
      </c>
    </row>
    <row r="721" spans="1:11" x14ac:dyDescent="0.35">
      <c r="A721" t="s">
        <v>1442</v>
      </c>
      <c r="B721" t="s">
        <v>12</v>
      </c>
      <c r="C721" t="s">
        <v>2268</v>
      </c>
      <c r="D721">
        <v>3</v>
      </c>
      <c r="E721" t="s">
        <v>2638</v>
      </c>
      <c r="F721" t="s">
        <v>2612</v>
      </c>
      <c r="G721" t="s">
        <v>1443</v>
      </c>
      <c r="H721" t="s">
        <v>141</v>
      </c>
      <c r="I721" t="s">
        <v>142</v>
      </c>
      <c r="J721" t="s">
        <v>16</v>
      </c>
      <c r="K721" t="s">
        <v>948</v>
      </c>
    </row>
    <row r="722" spans="1:11" x14ac:dyDescent="0.35">
      <c r="A722" t="s">
        <v>1444</v>
      </c>
      <c r="B722" t="s">
        <v>66</v>
      </c>
      <c r="C722" t="s">
        <v>2429</v>
      </c>
      <c r="D722">
        <v>3</v>
      </c>
      <c r="E722" t="s">
        <v>2638</v>
      </c>
      <c r="F722" t="s">
        <v>2480</v>
      </c>
      <c r="G722" t="s">
        <v>323</v>
      </c>
      <c r="H722" t="s">
        <v>141</v>
      </c>
      <c r="I722" t="s">
        <v>142</v>
      </c>
      <c r="J722" t="s">
        <v>16</v>
      </c>
      <c r="K722" t="s">
        <v>948</v>
      </c>
    </row>
    <row r="723" spans="1:11" x14ac:dyDescent="0.35">
      <c r="A723" t="s">
        <v>1445</v>
      </c>
      <c r="B723" t="s">
        <v>18</v>
      </c>
      <c r="C723" t="s">
        <v>2297</v>
      </c>
      <c r="D723">
        <v>7</v>
      </c>
      <c r="E723" t="s">
        <v>2406</v>
      </c>
      <c r="F723" t="s">
        <v>2753</v>
      </c>
      <c r="G723" t="s">
        <v>1446</v>
      </c>
      <c r="H723" t="s">
        <v>145</v>
      </c>
      <c r="I723" t="s">
        <v>146</v>
      </c>
      <c r="J723" t="s">
        <v>16</v>
      </c>
    </row>
    <row r="724" spans="1:11" x14ac:dyDescent="0.35">
      <c r="A724" t="s">
        <v>1447</v>
      </c>
      <c r="B724" t="s">
        <v>12</v>
      </c>
      <c r="C724" t="s">
        <v>2359</v>
      </c>
      <c r="D724">
        <v>5</v>
      </c>
      <c r="E724" t="s">
        <v>2754</v>
      </c>
      <c r="F724" t="s">
        <v>2286</v>
      </c>
      <c r="G724" t="s">
        <v>47</v>
      </c>
      <c r="H724" t="s">
        <v>48</v>
      </c>
      <c r="I724" t="s">
        <v>49</v>
      </c>
      <c r="J724" t="s">
        <v>16</v>
      </c>
      <c r="K724" t="s">
        <v>1448</v>
      </c>
    </row>
    <row r="725" spans="1:11" x14ac:dyDescent="0.35">
      <c r="A725" t="s">
        <v>1449</v>
      </c>
      <c r="B725" t="s">
        <v>18</v>
      </c>
      <c r="C725" t="s">
        <v>2359</v>
      </c>
      <c r="D725">
        <v>5</v>
      </c>
      <c r="E725" t="s">
        <v>2300</v>
      </c>
      <c r="F725" t="s">
        <v>2518</v>
      </c>
      <c r="G725" t="s">
        <v>640</v>
      </c>
      <c r="H725" t="s">
        <v>373</v>
      </c>
      <c r="I725" t="s">
        <v>374</v>
      </c>
      <c r="J725" t="s">
        <v>16</v>
      </c>
      <c r="K725" t="s">
        <v>948</v>
      </c>
    </row>
    <row r="726" spans="1:11" x14ac:dyDescent="0.35">
      <c r="A726" t="s">
        <v>1450</v>
      </c>
      <c r="B726" t="s">
        <v>18</v>
      </c>
      <c r="C726" t="s">
        <v>2297</v>
      </c>
      <c r="D726">
        <v>6</v>
      </c>
      <c r="E726" t="s">
        <v>2406</v>
      </c>
      <c r="F726" t="s">
        <v>2317</v>
      </c>
      <c r="G726" t="s">
        <v>1429</v>
      </c>
      <c r="H726" t="s">
        <v>154</v>
      </c>
      <c r="I726" t="s">
        <v>155</v>
      </c>
      <c r="J726" t="s">
        <v>16</v>
      </c>
      <c r="K726" t="s">
        <v>948</v>
      </c>
    </row>
    <row r="727" spans="1:11" x14ac:dyDescent="0.35">
      <c r="A727" t="s">
        <v>1451</v>
      </c>
      <c r="B727" t="s">
        <v>12</v>
      </c>
      <c r="C727" t="s">
        <v>2268</v>
      </c>
      <c r="D727">
        <v>3</v>
      </c>
      <c r="E727" t="s">
        <v>2406</v>
      </c>
      <c r="F727" t="s">
        <v>2322</v>
      </c>
      <c r="G727" t="s">
        <v>47</v>
      </c>
      <c r="H727" t="s">
        <v>48</v>
      </c>
      <c r="I727" t="s">
        <v>49</v>
      </c>
      <c r="J727" t="s">
        <v>16</v>
      </c>
    </row>
    <row r="728" spans="1:11" x14ac:dyDescent="0.35">
      <c r="A728" t="s">
        <v>1452</v>
      </c>
      <c r="B728" t="s">
        <v>2271</v>
      </c>
      <c r="E728" t="s">
        <v>2285</v>
      </c>
      <c r="F728" t="s">
        <v>2755</v>
      </c>
      <c r="G728" t="s">
        <v>1453</v>
      </c>
      <c r="H728" t="s">
        <v>105</v>
      </c>
      <c r="I728" t="s">
        <v>106</v>
      </c>
      <c r="J728" t="s">
        <v>16</v>
      </c>
    </row>
    <row r="729" spans="1:11" x14ac:dyDescent="0.35">
      <c r="A729" t="s">
        <v>1454</v>
      </c>
      <c r="B729" t="s">
        <v>12</v>
      </c>
      <c r="C729" t="s">
        <v>2268</v>
      </c>
      <c r="D729">
        <v>4</v>
      </c>
      <c r="E729" t="s">
        <v>2260</v>
      </c>
      <c r="F729" t="s">
        <v>2322</v>
      </c>
      <c r="G729" t="s">
        <v>47</v>
      </c>
      <c r="H729" t="s">
        <v>48</v>
      </c>
      <c r="I729" t="s">
        <v>49</v>
      </c>
      <c r="J729" t="s">
        <v>16</v>
      </c>
    </row>
    <row r="730" spans="1:11" x14ac:dyDescent="0.35">
      <c r="A730" t="s">
        <v>1455</v>
      </c>
      <c r="B730" t="s">
        <v>12</v>
      </c>
      <c r="C730" t="s">
        <v>2264</v>
      </c>
      <c r="D730">
        <v>4</v>
      </c>
      <c r="E730" t="s">
        <v>2260</v>
      </c>
      <c r="F730" t="s">
        <v>2322</v>
      </c>
      <c r="G730" t="s">
        <v>877</v>
      </c>
      <c r="H730" t="s">
        <v>48</v>
      </c>
      <c r="I730" t="s">
        <v>49</v>
      </c>
      <c r="J730" t="s">
        <v>16</v>
      </c>
    </row>
    <row r="731" spans="1:11" x14ac:dyDescent="0.35">
      <c r="A731" t="s">
        <v>1456</v>
      </c>
      <c r="B731" t="s">
        <v>12</v>
      </c>
      <c r="C731" t="s">
        <v>2268</v>
      </c>
      <c r="D731">
        <v>5</v>
      </c>
      <c r="E731" t="s">
        <v>2260</v>
      </c>
      <c r="F731" t="s">
        <v>2322</v>
      </c>
      <c r="G731" t="s">
        <v>161</v>
      </c>
      <c r="H731" t="s">
        <v>48</v>
      </c>
      <c r="I731" t="s">
        <v>49</v>
      </c>
      <c r="J731" t="s">
        <v>16</v>
      </c>
      <c r="K731" t="s">
        <v>50</v>
      </c>
    </row>
    <row r="732" spans="1:11" x14ac:dyDescent="0.35">
      <c r="A732" t="s">
        <v>1457</v>
      </c>
      <c r="B732" t="s">
        <v>12</v>
      </c>
      <c r="C732" t="s">
        <v>2264</v>
      </c>
      <c r="D732">
        <v>4</v>
      </c>
      <c r="E732" t="s">
        <v>2260</v>
      </c>
      <c r="F732" t="s">
        <v>2322</v>
      </c>
      <c r="G732" t="s">
        <v>161</v>
      </c>
      <c r="H732" t="s">
        <v>48</v>
      </c>
      <c r="I732" t="s">
        <v>49</v>
      </c>
      <c r="J732" t="s">
        <v>16</v>
      </c>
      <c r="K732" t="s">
        <v>50</v>
      </c>
    </row>
    <row r="733" spans="1:11" x14ac:dyDescent="0.35">
      <c r="A733" t="s">
        <v>1458</v>
      </c>
      <c r="B733" t="s">
        <v>12</v>
      </c>
      <c r="C733" t="s">
        <v>2268</v>
      </c>
      <c r="D733">
        <v>4</v>
      </c>
      <c r="E733" t="s">
        <v>2260</v>
      </c>
      <c r="F733" t="s">
        <v>2322</v>
      </c>
      <c r="G733" t="s">
        <v>280</v>
      </c>
      <c r="H733" t="s">
        <v>48</v>
      </c>
      <c r="I733" t="s">
        <v>49</v>
      </c>
      <c r="J733" t="s">
        <v>16</v>
      </c>
      <c r="K733" t="s">
        <v>50</v>
      </c>
    </row>
    <row r="734" spans="1:11" x14ac:dyDescent="0.35">
      <c r="A734" t="s">
        <v>1459</v>
      </c>
      <c r="B734" t="s">
        <v>12</v>
      </c>
      <c r="C734" t="s">
        <v>2264</v>
      </c>
      <c r="D734">
        <v>4</v>
      </c>
      <c r="E734" t="s">
        <v>2260</v>
      </c>
      <c r="F734" t="s">
        <v>2322</v>
      </c>
      <c r="G734" t="s">
        <v>877</v>
      </c>
      <c r="H734" t="s">
        <v>48</v>
      </c>
      <c r="I734" t="s">
        <v>49</v>
      </c>
      <c r="J734" t="s">
        <v>16</v>
      </c>
      <c r="K734" t="s">
        <v>50</v>
      </c>
    </row>
    <row r="735" spans="1:11" x14ac:dyDescent="0.35">
      <c r="A735" t="s">
        <v>1460</v>
      </c>
      <c r="B735" t="s">
        <v>12</v>
      </c>
      <c r="C735" t="s">
        <v>2264</v>
      </c>
      <c r="D735">
        <v>4</v>
      </c>
      <c r="E735" t="s">
        <v>2260</v>
      </c>
      <c r="F735" t="s">
        <v>2322</v>
      </c>
      <c r="G735" t="s">
        <v>280</v>
      </c>
      <c r="H735" t="s">
        <v>48</v>
      </c>
      <c r="I735" t="s">
        <v>49</v>
      </c>
      <c r="J735" t="s">
        <v>16</v>
      </c>
      <c r="K735" t="s">
        <v>50</v>
      </c>
    </row>
    <row r="736" spans="1:11" x14ac:dyDescent="0.35">
      <c r="A736" t="s">
        <v>1461</v>
      </c>
      <c r="B736" t="s">
        <v>12</v>
      </c>
      <c r="C736" t="s">
        <v>2264</v>
      </c>
      <c r="D736">
        <v>4</v>
      </c>
      <c r="E736" t="s">
        <v>2260</v>
      </c>
      <c r="F736" t="s">
        <v>2322</v>
      </c>
      <c r="G736" t="s">
        <v>161</v>
      </c>
      <c r="H736" t="s">
        <v>48</v>
      </c>
      <c r="I736" t="s">
        <v>49</v>
      </c>
      <c r="J736" t="s">
        <v>16</v>
      </c>
      <c r="K736" t="s">
        <v>50</v>
      </c>
    </row>
    <row r="737" spans="1:11" x14ac:dyDescent="0.35">
      <c r="A737" t="s">
        <v>476</v>
      </c>
      <c r="B737" t="s">
        <v>12</v>
      </c>
      <c r="C737" t="s">
        <v>2268</v>
      </c>
      <c r="D737">
        <v>3</v>
      </c>
      <c r="E737" t="s">
        <v>2260</v>
      </c>
      <c r="F737" t="s">
        <v>2322</v>
      </c>
      <c r="G737" t="s">
        <v>477</v>
      </c>
      <c r="H737" t="s">
        <v>195</v>
      </c>
      <c r="I737" t="s">
        <v>196</v>
      </c>
      <c r="J737" t="s">
        <v>16</v>
      </c>
      <c r="K737" t="s">
        <v>50</v>
      </c>
    </row>
    <row r="738" spans="1:11" x14ac:dyDescent="0.35">
      <c r="A738" t="s">
        <v>1462</v>
      </c>
      <c r="B738" t="s">
        <v>18</v>
      </c>
      <c r="C738" t="s">
        <v>2250</v>
      </c>
      <c r="D738">
        <v>6</v>
      </c>
      <c r="E738" t="s">
        <v>2756</v>
      </c>
      <c r="F738" t="s">
        <v>2757</v>
      </c>
      <c r="G738" t="s">
        <v>1463</v>
      </c>
      <c r="H738" t="s">
        <v>1464</v>
      </c>
      <c r="I738" t="s">
        <v>1465</v>
      </c>
      <c r="J738" t="s">
        <v>16</v>
      </c>
      <c r="K738" t="s">
        <v>1466</v>
      </c>
    </row>
    <row r="739" spans="1:11" x14ac:dyDescent="0.35">
      <c r="A739" t="s">
        <v>1467</v>
      </c>
      <c r="B739" t="s">
        <v>251</v>
      </c>
      <c r="C739" t="s">
        <v>2297</v>
      </c>
      <c r="D739">
        <v>4</v>
      </c>
      <c r="E739" t="s">
        <v>2758</v>
      </c>
      <c r="F739" t="s">
        <v>2759</v>
      </c>
      <c r="G739" t="s">
        <v>1468</v>
      </c>
      <c r="H739" t="s">
        <v>145</v>
      </c>
      <c r="I739" t="s">
        <v>146</v>
      </c>
      <c r="J739" t="s">
        <v>16</v>
      </c>
      <c r="K739" t="s">
        <v>948</v>
      </c>
    </row>
    <row r="740" spans="1:11" x14ac:dyDescent="0.35">
      <c r="A740" t="s">
        <v>1469</v>
      </c>
      <c r="B740" t="s">
        <v>2274</v>
      </c>
      <c r="C740" t="s">
        <v>2253</v>
      </c>
      <c r="D740">
        <v>7</v>
      </c>
      <c r="E740" t="s">
        <v>2413</v>
      </c>
      <c r="F740" t="s">
        <v>2423</v>
      </c>
      <c r="G740" t="s">
        <v>2760</v>
      </c>
      <c r="H740" t="s">
        <v>1470</v>
      </c>
      <c r="I740" t="s">
        <v>1471</v>
      </c>
      <c r="J740" t="s">
        <v>16</v>
      </c>
      <c r="K740" t="s">
        <v>1472</v>
      </c>
    </row>
    <row r="741" spans="1:11" x14ac:dyDescent="0.35">
      <c r="A741" t="s">
        <v>1473</v>
      </c>
      <c r="B741" t="s">
        <v>2274</v>
      </c>
      <c r="C741" t="s">
        <v>2253</v>
      </c>
      <c r="D741">
        <v>7</v>
      </c>
      <c r="E741" t="s">
        <v>2761</v>
      </c>
      <c r="F741" t="s">
        <v>2555</v>
      </c>
      <c r="G741" t="s">
        <v>2762</v>
      </c>
      <c r="H741" t="s">
        <v>630</v>
      </c>
      <c r="I741" t="s">
        <v>631</v>
      </c>
      <c r="J741" t="s">
        <v>16</v>
      </c>
      <c r="K741" t="s">
        <v>1472</v>
      </c>
    </row>
    <row r="742" spans="1:11" x14ac:dyDescent="0.35">
      <c r="A742" t="s">
        <v>1474</v>
      </c>
      <c r="B742" t="s">
        <v>66</v>
      </c>
      <c r="C742" t="s">
        <v>2268</v>
      </c>
      <c r="D742">
        <v>2</v>
      </c>
      <c r="E742" t="s">
        <v>2342</v>
      </c>
      <c r="F742" t="s">
        <v>2343</v>
      </c>
      <c r="G742" t="s">
        <v>599</v>
      </c>
      <c r="H742" t="s">
        <v>195</v>
      </c>
      <c r="I742" t="s">
        <v>196</v>
      </c>
      <c r="J742" t="s">
        <v>16</v>
      </c>
      <c r="K742" t="s">
        <v>50</v>
      </c>
    </row>
    <row r="743" spans="1:11" x14ac:dyDescent="0.35">
      <c r="A743" t="s">
        <v>1475</v>
      </c>
      <c r="B743" t="s">
        <v>18</v>
      </c>
      <c r="C743" t="s">
        <v>2359</v>
      </c>
      <c r="D743">
        <v>5</v>
      </c>
      <c r="E743" t="s">
        <v>2763</v>
      </c>
      <c r="F743" t="s">
        <v>2309</v>
      </c>
      <c r="G743" t="s">
        <v>1476</v>
      </c>
      <c r="H743" t="s">
        <v>80</v>
      </c>
      <c r="I743" t="s">
        <v>81</v>
      </c>
      <c r="J743" t="s">
        <v>16</v>
      </c>
      <c r="K743" t="s">
        <v>948</v>
      </c>
    </row>
    <row r="744" spans="1:11" x14ac:dyDescent="0.35">
      <c r="A744" t="s">
        <v>1477</v>
      </c>
      <c r="B744" t="s">
        <v>66</v>
      </c>
      <c r="C744" t="s">
        <v>2429</v>
      </c>
      <c r="D744">
        <v>2</v>
      </c>
      <c r="E744" t="s">
        <v>2678</v>
      </c>
      <c r="F744" t="s">
        <v>2679</v>
      </c>
      <c r="G744" t="s">
        <v>1478</v>
      </c>
      <c r="H744" t="s">
        <v>1115</v>
      </c>
      <c r="I744" t="s">
        <v>1116</v>
      </c>
      <c r="J744" t="s">
        <v>16</v>
      </c>
      <c r="K744" t="s">
        <v>50</v>
      </c>
    </row>
    <row r="745" spans="1:11" x14ac:dyDescent="0.35">
      <c r="A745" t="s">
        <v>1479</v>
      </c>
      <c r="B745" t="s">
        <v>18</v>
      </c>
      <c r="C745" t="s">
        <v>2359</v>
      </c>
      <c r="D745">
        <v>5</v>
      </c>
      <c r="E745" t="s">
        <v>2300</v>
      </c>
      <c r="F745" t="s">
        <v>2530</v>
      </c>
      <c r="G745" t="s">
        <v>1480</v>
      </c>
      <c r="H745" t="s">
        <v>154</v>
      </c>
      <c r="I745" t="s">
        <v>155</v>
      </c>
      <c r="J745" t="s">
        <v>16</v>
      </c>
      <c r="K745" t="s">
        <v>948</v>
      </c>
    </row>
    <row r="746" spans="1:11" x14ac:dyDescent="0.35">
      <c r="A746" t="s">
        <v>1481</v>
      </c>
      <c r="B746" t="s">
        <v>66</v>
      </c>
      <c r="C746" t="s">
        <v>2247</v>
      </c>
      <c r="D746">
        <v>4</v>
      </c>
      <c r="E746" t="s">
        <v>2653</v>
      </c>
      <c r="F746" t="s">
        <v>2392</v>
      </c>
      <c r="G746" t="s">
        <v>323</v>
      </c>
      <c r="H746" t="s">
        <v>141</v>
      </c>
      <c r="I746" t="s">
        <v>142</v>
      </c>
      <c r="J746" t="s">
        <v>16</v>
      </c>
      <c r="K746" t="s">
        <v>948</v>
      </c>
    </row>
    <row r="747" spans="1:11" x14ac:dyDescent="0.35">
      <c r="A747" t="s">
        <v>1482</v>
      </c>
      <c r="B747" t="s">
        <v>66</v>
      </c>
      <c r="C747" t="s">
        <v>2268</v>
      </c>
      <c r="D747">
        <v>2</v>
      </c>
      <c r="E747" t="s">
        <v>2742</v>
      </c>
      <c r="F747" t="s">
        <v>2764</v>
      </c>
      <c r="G747" t="s">
        <v>1408</v>
      </c>
      <c r="H747" t="s">
        <v>734</v>
      </c>
      <c r="I747" t="s">
        <v>735</v>
      </c>
      <c r="J747" t="s">
        <v>16</v>
      </c>
      <c r="K747" t="s">
        <v>1409</v>
      </c>
    </row>
    <row r="748" spans="1:11" x14ac:dyDescent="0.35">
      <c r="A748" t="s">
        <v>1483</v>
      </c>
      <c r="B748" t="s">
        <v>18</v>
      </c>
      <c r="C748" t="s">
        <v>2253</v>
      </c>
      <c r="D748">
        <v>7</v>
      </c>
      <c r="E748" t="s">
        <v>2300</v>
      </c>
      <c r="F748" t="s">
        <v>2307</v>
      </c>
      <c r="G748" t="s">
        <v>259</v>
      </c>
      <c r="H748" t="s">
        <v>173</v>
      </c>
      <c r="I748" t="s">
        <v>174</v>
      </c>
      <c r="J748" t="s">
        <v>16</v>
      </c>
      <c r="K748" t="s">
        <v>948</v>
      </c>
    </row>
    <row r="749" spans="1:11" x14ac:dyDescent="0.35">
      <c r="A749" t="s">
        <v>1484</v>
      </c>
      <c r="B749" t="s">
        <v>12</v>
      </c>
      <c r="C749" t="s">
        <v>2268</v>
      </c>
      <c r="D749">
        <v>3</v>
      </c>
      <c r="E749" t="s">
        <v>2283</v>
      </c>
      <c r="F749" t="s">
        <v>2284</v>
      </c>
      <c r="G749" t="s">
        <v>1485</v>
      </c>
      <c r="H749" t="s">
        <v>80</v>
      </c>
      <c r="I749" t="s">
        <v>81</v>
      </c>
      <c r="J749" t="s">
        <v>16</v>
      </c>
    </row>
    <row r="750" spans="1:11" x14ac:dyDescent="0.35">
      <c r="A750" t="s">
        <v>1486</v>
      </c>
      <c r="B750" t="s">
        <v>12</v>
      </c>
      <c r="C750" t="s">
        <v>2268</v>
      </c>
      <c r="D750">
        <v>3</v>
      </c>
      <c r="E750" t="s">
        <v>2393</v>
      </c>
      <c r="F750" t="s">
        <v>2765</v>
      </c>
      <c r="G750" t="s">
        <v>1487</v>
      </c>
      <c r="H750" t="s">
        <v>1488</v>
      </c>
      <c r="I750" t="s">
        <v>1489</v>
      </c>
      <c r="J750" t="s">
        <v>16</v>
      </c>
      <c r="K750" t="s">
        <v>1409</v>
      </c>
    </row>
    <row r="751" spans="1:11" x14ac:dyDescent="0.35">
      <c r="A751" t="s">
        <v>1490</v>
      </c>
      <c r="B751" t="s">
        <v>18</v>
      </c>
      <c r="C751" t="s">
        <v>2359</v>
      </c>
      <c r="D751">
        <v>5</v>
      </c>
      <c r="E751" t="s">
        <v>2258</v>
      </c>
      <c r="F751" t="s">
        <v>2675</v>
      </c>
      <c r="G751" t="s">
        <v>1491</v>
      </c>
      <c r="H751" t="s">
        <v>154</v>
      </c>
      <c r="I751" t="s">
        <v>155</v>
      </c>
      <c r="J751" t="s">
        <v>16</v>
      </c>
      <c r="K751" t="s">
        <v>948</v>
      </c>
    </row>
    <row r="752" spans="1:11" x14ac:dyDescent="0.35">
      <c r="A752" t="s">
        <v>1492</v>
      </c>
      <c r="B752" t="s">
        <v>12</v>
      </c>
      <c r="C752" t="s">
        <v>2268</v>
      </c>
      <c r="D752">
        <v>3</v>
      </c>
      <c r="E752" t="s">
        <v>2505</v>
      </c>
      <c r="F752" t="s">
        <v>2514</v>
      </c>
      <c r="G752" t="s">
        <v>1493</v>
      </c>
      <c r="H752" t="s">
        <v>173</v>
      </c>
      <c r="I752" t="s">
        <v>174</v>
      </c>
      <c r="J752" t="s">
        <v>16</v>
      </c>
    </row>
    <row r="753" spans="1:11" x14ac:dyDescent="0.35">
      <c r="A753" t="s">
        <v>1494</v>
      </c>
      <c r="B753" t="s">
        <v>18</v>
      </c>
      <c r="C753" t="s">
        <v>2250</v>
      </c>
      <c r="D753">
        <v>4</v>
      </c>
      <c r="E753" t="s">
        <v>2347</v>
      </c>
      <c r="F753" t="s">
        <v>2303</v>
      </c>
      <c r="G753" t="s">
        <v>163</v>
      </c>
      <c r="H753" t="s">
        <v>164</v>
      </c>
      <c r="I753" t="s">
        <v>165</v>
      </c>
      <c r="J753" t="s">
        <v>16</v>
      </c>
    </row>
    <row r="754" spans="1:11" x14ac:dyDescent="0.35">
      <c r="A754" t="s">
        <v>1495</v>
      </c>
      <c r="B754" t="s">
        <v>251</v>
      </c>
      <c r="C754" t="s">
        <v>2429</v>
      </c>
      <c r="D754">
        <v>2</v>
      </c>
      <c r="E754" t="s">
        <v>2279</v>
      </c>
      <c r="F754" t="s">
        <v>2392</v>
      </c>
      <c r="G754" t="s">
        <v>1496</v>
      </c>
      <c r="H754" t="s">
        <v>105</v>
      </c>
      <c r="I754" t="s">
        <v>106</v>
      </c>
      <c r="J754" t="s">
        <v>16</v>
      </c>
    </row>
    <row r="755" spans="1:11" x14ac:dyDescent="0.35">
      <c r="A755" t="s">
        <v>1497</v>
      </c>
      <c r="B755" t="s">
        <v>18</v>
      </c>
      <c r="C755" t="s">
        <v>2264</v>
      </c>
      <c r="D755">
        <v>4</v>
      </c>
      <c r="E755" t="s">
        <v>2766</v>
      </c>
      <c r="F755" t="s">
        <v>2282</v>
      </c>
      <c r="G755" t="s">
        <v>1044</v>
      </c>
      <c r="H755" t="s">
        <v>169</v>
      </c>
      <c r="I755" t="s">
        <v>170</v>
      </c>
      <c r="J755" t="s">
        <v>16</v>
      </c>
    </row>
    <row r="756" spans="1:11" x14ac:dyDescent="0.35">
      <c r="A756" t="s">
        <v>1498</v>
      </c>
      <c r="B756" t="s">
        <v>18</v>
      </c>
      <c r="C756" t="s">
        <v>2250</v>
      </c>
      <c r="D756">
        <v>7</v>
      </c>
      <c r="E756" t="s">
        <v>2406</v>
      </c>
      <c r="F756" t="s">
        <v>2321</v>
      </c>
      <c r="G756" t="s">
        <v>1499</v>
      </c>
      <c r="H756" t="s">
        <v>125</v>
      </c>
      <c r="I756" t="s">
        <v>126</v>
      </c>
      <c r="J756" t="s">
        <v>16</v>
      </c>
      <c r="K756" t="s">
        <v>407</v>
      </c>
    </row>
    <row r="757" spans="1:11" x14ac:dyDescent="0.35">
      <c r="A757" t="s">
        <v>1500</v>
      </c>
      <c r="B757" t="s">
        <v>12</v>
      </c>
      <c r="C757" t="s">
        <v>2264</v>
      </c>
      <c r="D757">
        <v>4</v>
      </c>
      <c r="E757" t="s">
        <v>2674</v>
      </c>
      <c r="F757" t="s">
        <v>2675</v>
      </c>
      <c r="G757" t="s">
        <v>1501</v>
      </c>
      <c r="H757" t="s">
        <v>209</v>
      </c>
      <c r="I757" t="s">
        <v>210</v>
      </c>
      <c r="J757" t="s">
        <v>16</v>
      </c>
      <c r="K757" t="s">
        <v>624</v>
      </c>
    </row>
    <row r="758" spans="1:11" x14ac:dyDescent="0.35">
      <c r="A758" t="s">
        <v>1502</v>
      </c>
      <c r="B758" t="s">
        <v>18</v>
      </c>
      <c r="C758" t="s">
        <v>2247</v>
      </c>
      <c r="D758">
        <v>6</v>
      </c>
      <c r="E758" t="s">
        <v>2347</v>
      </c>
      <c r="F758" t="s">
        <v>2598</v>
      </c>
      <c r="G758" t="s">
        <v>1503</v>
      </c>
      <c r="H758" t="s">
        <v>164</v>
      </c>
      <c r="I758" t="s">
        <v>165</v>
      </c>
      <c r="J758" t="s">
        <v>16</v>
      </c>
      <c r="K758" t="s">
        <v>624</v>
      </c>
    </row>
    <row r="759" spans="1:11" x14ac:dyDescent="0.35">
      <c r="A759" t="s">
        <v>1504</v>
      </c>
      <c r="B759" t="s">
        <v>12</v>
      </c>
      <c r="C759" t="s">
        <v>2268</v>
      </c>
      <c r="D759">
        <v>4</v>
      </c>
      <c r="E759" t="s">
        <v>2260</v>
      </c>
      <c r="F759" t="s">
        <v>2322</v>
      </c>
      <c r="G759" t="s">
        <v>47</v>
      </c>
      <c r="H759" t="s">
        <v>48</v>
      </c>
      <c r="I759" t="s">
        <v>49</v>
      </c>
      <c r="J759" t="s">
        <v>16</v>
      </c>
      <c r="K759" t="s">
        <v>50</v>
      </c>
    </row>
    <row r="760" spans="1:11" x14ac:dyDescent="0.35">
      <c r="A760" t="s">
        <v>1505</v>
      </c>
      <c r="B760" t="s">
        <v>66</v>
      </c>
      <c r="C760" t="s">
        <v>2268</v>
      </c>
      <c r="D760">
        <v>3</v>
      </c>
      <c r="E760" t="s">
        <v>2371</v>
      </c>
      <c r="F760" t="s">
        <v>2341</v>
      </c>
      <c r="G760" t="s">
        <v>138</v>
      </c>
      <c r="H760" t="s">
        <v>14</v>
      </c>
      <c r="I760" t="s">
        <v>15</v>
      </c>
      <c r="J760" t="s">
        <v>16</v>
      </c>
      <c r="K760" t="s">
        <v>50</v>
      </c>
    </row>
    <row r="761" spans="1:11" x14ac:dyDescent="0.35">
      <c r="A761" t="s">
        <v>1506</v>
      </c>
      <c r="B761" t="s">
        <v>12</v>
      </c>
      <c r="C761" t="s">
        <v>2247</v>
      </c>
      <c r="D761">
        <v>5</v>
      </c>
      <c r="E761" t="s">
        <v>2256</v>
      </c>
      <c r="F761" t="s">
        <v>2331</v>
      </c>
      <c r="G761" t="s">
        <v>76</v>
      </c>
      <c r="H761" t="s">
        <v>28</v>
      </c>
      <c r="I761" t="s">
        <v>29</v>
      </c>
      <c r="J761" t="s">
        <v>16</v>
      </c>
      <c r="K761" t="s">
        <v>407</v>
      </c>
    </row>
    <row r="762" spans="1:11" x14ac:dyDescent="0.35">
      <c r="A762" t="s">
        <v>1507</v>
      </c>
      <c r="B762" t="s">
        <v>66</v>
      </c>
      <c r="C762" t="s">
        <v>2264</v>
      </c>
      <c r="D762">
        <v>4</v>
      </c>
      <c r="E762" t="s">
        <v>2467</v>
      </c>
      <c r="F762" t="s">
        <v>2335</v>
      </c>
      <c r="G762" t="s">
        <v>138</v>
      </c>
      <c r="H762" t="s">
        <v>14</v>
      </c>
      <c r="I762" t="s">
        <v>15</v>
      </c>
      <c r="J762" t="s">
        <v>16</v>
      </c>
      <c r="K762" t="s">
        <v>624</v>
      </c>
    </row>
    <row r="763" spans="1:11" x14ac:dyDescent="0.35">
      <c r="A763" t="s">
        <v>1508</v>
      </c>
      <c r="B763" t="s">
        <v>66</v>
      </c>
      <c r="C763" t="s">
        <v>2268</v>
      </c>
      <c r="D763">
        <v>4</v>
      </c>
      <c r="E763" t="s">
        <v>2467</v>
      </c>
      <c r="F763" t="s">
        <v>2335</v>
      </c>
      <c r="G763" t="s">
        <v>138</v>
      </c>
      <c r="H763" t="s">
        <v>14</v>
      </c>
      <c r="I763" t="s">
        <v>15</v>
      </c>
      <c r="J763" t="s">
        <v>16</v>
      </c>
      <c r="K763" t="s">
        <v>624</v>
      </c>
    </row>
    <row r="764" spans="1:11" x14ac:dyDescent="0.35">
      <c r="A764" t="s">
        <v>1509</v>
      </c>
      <c r="B764" t="s">
        <v>12</v>
      </c>
      <c r="C764" t="s">
        <v>2268</v>
      </c>
      <c r="D764">
        <v>3</v>
      </c>
      <c r="E764" t="s">
        <v>2406</v>
      </c>
      <c r="F764" t="s">
        <v>2322</v>
      </c>
      <c r="G764" t="s">
        <v>47</v>
      </c>
      <c r="H764" t="s">
        <v>48</v>
      </c>
      <c r="I764" t="s">
        <v>49</v>
      </c>
      <c r="J764" t="s">
        <v>16</v>
      </c>
      <c r="K764" t="s">
        <v>50</v>
      </c>
    </row>
    <row r="765" spans="1:11" x14ac:dyDescent="0.35">
      <c r="A765" t="s">
        <v>1510</v>
      </c>
      <c r="B765" t="s">
        <v>12</v>
      </c>
      <c r="C765" t="s">
        <v>2268</v>
      </c>
      <c r="D765">
        <v>3</v>
      </c>
      <c r="E765" t="s">
        <v>2260</v>
      </c>
      <c r="F765" t="s">
        <v>2322</v>
      </c>
      <c r="G765" t="s">
        <v>161</v>
      </c>
      <c r="H765" t="s">
        <v>48</v>
      </c>
      <c r="I765" t="s">
        <v>49</v>
      </c>
      <c r="J765" t="s">
        <v>16</v>
      </c>
      <c r="K765" t="s">
        <v>50</v>
      </c>
    </row>
    <row r="766" spans="1:11" x14ac:dyDescent="0.35">
      <c r="A766" t="s">
        <v>1511</v>
      </c>
      <c r="B766" t="s">
        <v>18</v>
      </c>
      <c r="C766" t="s">
        <v>2297</v>
      </c>
      <c r="D766">
        <v>9</v>
      </c>
      <c r="E766" t="s">
        <v>2355</v>
      </c>
      <c r="F766" t="s">
        <v>2473</v>
      </c>
      <c r="G766" t="s">
        <v>1133</v>
      </c>
      <c r="H766" t="s">
        <v>241</v>
      </c>
      <c r="I766" t="s">
        <v>242</v>
      </c>
      <c r="J766" t="s">
        <v>16</v>
      </c>
      <c r="K766" t="s">
        <v>624</v>
      </c>
    </row>
    <row r="767" spans="1:11" x14ac:dyDescent="0.35">
      <c r="A767" t="s">
        <v>1512</v>
      </c>
      <c r="B767" t="s">
        <v>18</v>
      </c>
      <c r="C767" t="s">
        <v>2767</v>
      </c>
      <c r="D767">
        <v>9</v>
      </c>
      <c r="E767" t="s">
        <v>2686</v>
      </c>
      <c r="F767" t="s">
        <v>2382</v>
      </c>
      <c r="G767" t="s">
        <v>807</v>
      </c>
      <c r="H767" t="s">
        <v>169</v>
      </c>
      <c r="I767" t="s">
        <v>170</v>
      </c>
      <c r="J767" t="s">
        <v>16</v>
      </c>
      <c r="K767" t="s">
        <v>624</v>
      </c>
    </row>
    <row r="768" spans="1:11" x14ac:dyDescent="0.35">
      <c r="A768" t="s">
        <v>1513</v>
      </c>
      <c r="B768" t="s">
        <v>18</v>
      </c>
      <c r="C768" t="s">
        <v>2767</v>
      </c>
      <c r="D768">
        <v>9</v>
      </c>
      <c r="E768" t="s">
        <v>2686</v>
      </c>
      <c r="F768" t="s">
        <v>2382</v>
      </c>
      <c r="G768" t="s">
        <v>1044</v>
      </c>
      <c r="H768" t="s">
        <v>169</v>
      </c>
      <c r="I768" t="s">
        <v>170</v>
      </c>
      <c r="J768" t="s">
        <v>16</v>
      </c>
      <c r="K768" t="s">
        <v>624</v>
      </c>
    </row>
    <row r="769" spans="1:11" x14ac:dyDescent="0.35">
      <c r="A769" t="s">
        <v>1514</v>
      </c>
      <c r="B769" t="s">
        <v>12</v>
      </c>
      <c r="C769" t="s">
        <v>2429</v>
      </c>
      <c r="D769">
        <v>2</v>
      </c>
      <c r="E769" t="s">
        <v>2285</v>
      </c>
      <c r="F769" t="s">
        <v>2351</v>
      </c>
      <c r="G769" t="s">
        <v>1293</v>
      </c>
      <c r="H769" t="s">
        <v>169</v>
      </c>
      <c r="I769" t="s">
        <v>170</v>
      </c>
      <c r="J769" t="s">
        <v>16</v>
      </c>
      <c r="K769" t="s">
        <v>624</v>
      </c>
    </row>
    <row r="770" spans="1:11" x14ac:dyDescent="0.35">
      <c r="A770" t="s">
        <v>1515</v>
      </c>
      <c r="B770" t="s">
        <v>66</v>
      </c>
      <c r="C770" t="s">
        <v>2264</v>
      </c>
      <c r="D770">
        <v>2</v>
      </c>
      <c r="E770" t="s">
        <v>2768</v>
      </c>
      <c r="F770" t="s">
        <v>2335</v>
      </c>
      <c r="G770" t="s">
        <v>1131</v>
      </c>
      <c r="H770" t="s">
        <v>14</v>
      </c>
      <c r="I770" t="s">
        <v>15</v>
      </c>
      <c r="J770" t="s">
        <v>16</v>
      </c>
      <c r="K770" t="s">
        <v>624</v>
      </c>
    </row>
    <row r="771" spans="1:11" x14ac:dyDescent="0.35">
      <c r="A771" t="s">
        <v>1516</v>
      </c>
      <c r="B771" t="s">
        <v>66</v>
      </c>
      <c r="C771" t="s">
        <v>2247</v>
      </c>
      <c r="D771">
        <v>4</v>
      </c>
      <c r="E771" t="s">
        <v>2386</v>
      </c>
      <c r="F771" t="s">
        <v>2335</v>
      </c>
      <c r="G771" t="s">
        <v>756</v>
      </c>
      <c r="H771" t="s">
        <v>14</v>
      </c>
      <c r="I771" t="s">
        <v>15</v>
      </c>
      <c r="J771" t="s">
        <v>16</v>
      </c>
      <c r="K771" t="s">
        <v>624</v>
      </c>
    </row>
    <row r="772" spans="1:11" x14ac:dyDescent="0.35">
      <c r="A772" t="s">
        <v>1517</v>
      </c>
      <c r="B772" t="s">
        <v>12</v>
      </c>
      <c r="C772" t="s">
        <v>2429</v>
      </c>
      <c r="D772">
        <v>2</v>
      </c>
      <c r="E772" t="s">
        <v>2285</v>
      </c>
      <c r="F772" t="s">
        <v>2351</v>
      </c>
      <c r="G772" t="s">
        <v>1293</v>
      </c>
      <c r="H772" t="s">
        <v>169</v>
      </c>
      <c r="I772" t="s">
        <v>170</v>
      </c>
      <c r="J772" t="s">
        <v>16</v>
      </c>
      <c r="K772" t="s">
        <v>624</v>
      </c>
    </row>
    <row r="773" spans="1:11" x14ac:dyDescent="0.35">
      <c r="A773" t="s">
        <v>1518</v>
      </c>
      <c r="B773" t="s">
        <v>66</v>
      </c>
      <c r="C773" t="s">
        <v>2577</v>
      </c>
      <c r="D773">
        <v>1</v>
      </c>
      <c r="E773" t="s">
        <v>2685</v>
      </c>
      <c r="F773" t="s">
        <v>2336</v>
      </c>
      <c r="G773" t="s">
        <v>1154</v>
      </c>
      <c r="H773" t="s">
        <v>169</v>
      </c>
      <c r="I773" t="s">
        <v>170</v>
      </c>
      <c r="J773" t="s">
        <v>16</v>
      </c>
      <c r="K773" t="s">
        <v>624</v>
      </c>
    </row>
    <row r="774" spans="1:11" x14ac:dyDescent="0.35">
      <c r="A774" t="s">
        <v>1519</v>
      </c>
      <c r="B774" t="s">
        <v>12</v>
      </c>
      <c r="C774" t="s">
        <v>2250</v>
      </c>
      <c r="D774">
        <v>4</v>
      </c>
      <c r="E774" t="s">
        <v>2674</v>
      </c>
      <c r="F774" t="s">
        <v>2476</v>
      </c>
      <c r="G774" t="s">
        <v>1293</v>
      </c>
      <c r="H774" t="s">
        <v>169</v>
      </c>
      <c r="I774" t="s">
        <v>170</v>
      </c>
      <c r="J774" t="s">
        <v>16</v>
      </c>
      <c r="K774" t="s">
        <v>624</v>
      </c>
    </row>
    <row r="775" spans="1:11" x14ac:dyDescent="0.35">
      <c r="A775" t="s">
        <v>1520</v>
      </c>
      <c r="B775" t="s">
        <v>66</v>
      </c>
      <c r="C775" t="s">
        <v>2268</v>
      </c>
      <c r="D775">
        <v>3</v>
      </c>
      <c r="E775" t="s">
        <v>2511</v>
      </c>
      <c r="F775" t="s">
        <v>2341</v>
      </c>
      <c r="G775" t="s">
        <v>138</v>
      </c>
      <c r="H775" t="s">
        <v>14</v>
      </c>
      <c r="I775" t="s">
        <v>15</v>
      </c>
      <c r="J775" t="s">
        <v>16</v>
      </c>
      <c r="K775" t="s">
        <v>50</v>
      </c>
    </row>
    <row r="776" spans="1:11" x14ac:dyDescent="0.35">
      <c r="A776" t="s">
        <v>1521</v>
      </c>
      <c r="B776" t="s">
        <v>12</v>
      </c>
      <c r="C776" t="s">
        <v>2268</v>
      </c>
      <c r="D776">
        <v>3</v>
      </c>
      <c r="E776" t="s">
        <v>2260</v>
      </c>
      <c r="F776" t="s">
        <v>2322</v>
      </c>
      <c r="G776" t="s">
        <v>477</v>
      </c>
      <c r="H776" t="s">
        <v>195</v>
      </c>
      <c r="I776" t="s">
        <v>196</v>
      </c>
      <c r="J776" t="s">
        <v>16</v>
      </c>
      <c r="K776" t="s">
        <v>50</v>
      </c>
    </row>
    <row r="777" spans="1:11" x14ac:dyDescent="0.35">
      <c r="A777" t="s">
        <v>1522</v>
      </c>
      <c r="B777" t="s">
        <v>12</v>
      </c>
      <c r="C777" t="s">
        <v>2264</v>
      </c>
      <c r="D777">
        <v>4</v>
      </c>
      <c r="E777" t="s">
        <v>2248</v>
      </c>
      <c r="F777" t="s">
        <v>2311</v>
      </c>
      <c r="G777" t="s">
        <v>317</v>
      </c>
      <c r="H777" t="s">
        <v>14</v>
      </c>
      <c r="I777" t="s">
        <v>15</v>
      </c>
      <c r="J777" t="s">
        <v>16</v>
      </c>
    </row>
    <row r="778" spans="1:11" x14ac:dyDescent="0.35">
      <c r="A778" t="s">
        <v>1523</v>
      </c>
      <c r="B778" t="s">
        <v>66</v>
      </c>
      <c r="C778" t="s">
        <v>2268</v>
      </c>
      <c r="D778">
        <v>3</v>
      </c>
      <c r="E778" t="s">
        <v>2389</v>
      </c>
      <c r="F778" t="s">
        <v>2341</v>
      </c>
      <c r="G778" t="s">
        <v>1210</v>
      </c>
      <c r="H778" t="s">
        <v>14</v>
      </c>
      <c r="I778" t="s">
        <v>15</v>
      </c>
      <c r="J778" t="s">
        <v>16</v>
      </c>
    </row>
    <row r="779" spans="1:11" x14ac:dyDescent="0.35">
      <c r="A779" t="s">
        <v>1524</v>
      </c>
      <c r="B779" t="s">
        <v>66</v>
      </c>
      <c r="C779" t="s">
        <v>2264</v>
      </c>
      <c r="D779">
        <v>3</v>
      </c>
      <c r="E779" t="s">
        <v>2481</v>
      </c>
      <c r="F779" t="s">
        <v>2698</v>
      </c>
      <c r="G779" t="s">
        <v>1202</v>
      </c>
      <c r="H779" t="s">
        <v>686</v>
      </c>
      <c r="I779" t="s">
        <v>687</v>
      </c>
      <c r="J779" t="s">
        <v>16</v>
      </c>
    </row>
    <row r="780" spans="1:11" x14ac:dyDescent="0.35">
      <c r="A780" t="s">
        <v>1525</v>
      </c>
      <c r="B780" t="s">
        <v>66</v>
      </c>
      <c r="C780" t="s">
        <v>2247</v>
      </c>
      <c r="D780">
        <v>4</v>
      </c>
      <c r="E780" t="s">
        <v>2593</v>
      </c>
      <c r="F780" t="s">
        <v>2636</v>
      </c>
      <c r="G780" t="s">
        <v>1526</v>
      </c>
      <c r="H780" t="s">
        <v>14</v>
      </c>
      <c r="I780" t="s">
        <v>15</v>
      </c>
      <c r="J780" t="s">
        <v>16</v>
      </c>
    </row>
    <row r="781" spans="1:11" x14ac:dyDescent="0.35">
      <c r="A781" t="s">
        <v>1527</v>
      </c>
      <c r="B781" t="s">
        <v>66</v>
      </c>
      <c r="C781" t="s">
        <v>2250</v>
      </c>
      <c r="D781">
        <v>4</v>
      </c>
      <c r="E781" t="s">
        <v>2371</v>
      </c>
      <c r="F781" t="s">
        <v>2286</v>
      </c>
      <c r="G781" t="s">
        <v>273</v>
      </c>
      <c r="H781" t="s">
        <v>169</v>
      </c>
      <c r="I781" t="s">
        <v>170</v>
      </c>
      <c r="J781" t="s">
        <v>16</v>
      </c>
      <c r="K781" t="s">
        <v>624</v>
      </c>
    </row>
    <row r="782" spans="1:11" x14ac:dyDescent="0.35">
      <c r="A782" t="s">
        <v>1528</v>
      </c>
      <c r="B782" t="s">
        <v>66</v>
      </c>
      <c r="C782" t="s">
        <v>2250</v>
      </c>
      <c r="D782">
        <v>4</v>
      </c>
      <c r="E782" t="s">
        <v>2371</v>
      </c>
      <c r="F782" t="s">
        <v>2286</v>
      </c>
      <c r="G782" t="s">
        <v>1529</v>
      </c>
      <c r="H782" t="s">
        <v>169</v>
      </c>
      <c r="I782" t="s">
        <v>170</v>
      </c>
      <c r="J782" t="s">
        <v>16</v>
      </c>
      <c r="K782" t="s">
        <v>624</v>
      </c>
    </row>
    <row r="783" spans="1:11" x14ac:dyDescent="0.35">
      <c r="A783" t="s">
        <v>1530</v>
      </c>
      <c r="B783" t="s">
        <v>12</v>
      </c>
      <c r="C783" t="s">
        <v>2250</v>
      </c>
      <c r="D783">
        <v>4</v>
      </c>
      <c r="E783" t="s">
        <v>2674</v>
      </c>
      <c r="F783" t="s">
        <v>2269</v>
      </c>
      <c r="G783" t="s">
        <v>1531</v>
      </c>
      <c r="H783" t="s">
        <v>154</v>
      </c>
      <c r="I783" t="s">
        <v>155</v>
      </c>
      <c r="J783" t="s">
        <v>16</v>
      </c>
      <c r="K783" t="s">
        <v>624</v>
      </c>
    </row>
    <row r="784" spans="1:11" x14ac:dyDescent="0.35">
      <c r="A784" t="s">
        <v>1532</v>
      </c>
      <c r="B784" t="s">
        <v>66</v>
      </c>
      <c r="C784" t="s">
        <v>2268</v>
      </c>
      <c r="D784">
        <v>3</v>
      </c>
      <c r="E784" t="s">
        <v>2312</v>
      </c>
      <c r="F784" t="s">
        <v>2313</v>
      </c>
      <c r="G784" t="s">
        <v>557</v>
      </c>
      <c r="H784" t="s">
        <v>14</v>
      </c>
      <c r="I784" t="s">
        <v>15</v>
      </c>
      <c r="J784" t="s">
        <v>16</v>
      </c>
      <c r="K784" t="s">
        <v>50</v>
      </c>
    </row>
    <row r="785" spans="1:11" x14ac:dyDescent="0.35">
      <c r="A785" t="s">
        <v>1533</v>
      </c>
      <c r="B785" t="s">
        <v>66</v>
      </c>
      <c r="C785" t="s">
        <v>2268</v>
      </c>
      <c r="D785">
        <v>3</v>
      </c>
      <c r="E785" t="s">
        <v>2389</v>
      </c>
      <c r="F785" t="s">
        <v>2341</v>
      </c>
      <c r="G785" t="s">
        <v>138</v>
      </c>
      <c r="H785" t="s">
        <v>14</v>
      </c>
      <c r="I785" t="s">
        <v>15</v>
      </c>
      <c r="J785" t="s">
        <v>16</v>
      </c>
      <c r="K785" t="s">
        <v>50</v>
      </c>
    </row>
    <row r="786" spans="1:11" x14ac:dyDescent="0.35">
      <c r="A786" t="s">
        <v>1534</v>
      </c>
      <c r="B786" t="s">
        <v>66</v>
      </c>
      <c r="C786" t="s">
        <v>2268</v>
      </c>
      <c r="D786">
        <v>3</v>
      </c>
      <c r="E786" t="s">
        <v>2511</v>
      </c>
      <c r="F786" t="s">
        <v>2341</v>
      </c>
      <c r="G786" t="s">
        <v>138</v>
      </c>
      <c r="H786" t="s">
        <v>14</v>
      </c>
      <c r="I786" t="s">
        <v>15</v>
      </c>
      <c r="J786" t="s">
        <v>16</v>
      </c>
      <c r="K786" t="s">
        <v>50</v>
      </c>
    </row>
    <row r="787" spans="1:11" x14ac:dyDescent="0.35">
      <c r="A787" t="s">
        <v>1535</v>
      </c>
      <c r="B787" t="s">
        <v>18</v>
      </c>
      <c r="C787" t="s">
        <v>2359</v>
      </c>
      <c r="D787">
        <v>5</v>
      </c>
      <c r="E787" t="s">
        <v>2633</v>
      </c>
      <c r="F787" t="s">
        <v>2286</v>
      </c>
      <c r="G787" t="s">
        <v>1536</v>
      </c>
      <c r="H787" t="s">
        <v>141</v>
      </c>
      <c r="I787" t="s">
        <v>142</v>
      </c>
      <c r="J787" t="s">
        <v>16</v>
      </c>
      <c r="K787" t="s">
        <v>948</v>
      </c>
    </row>
    <row r="788" spans="1:11" x14ac:dyDescent="0.35">
      <c r="A788" t="s">
        <v>1537</v>
      </c>
      <c r="B788" t="s">
        <v>12</v>
      </c>
      <c r="C788" t="s">
        <v>2264</v>
      </c>
      <c r="D788">
        <v>4</v>
      </c>
      <c r="E788" t="s">
        <v>2248</v>
      </c>
      <c r="F788" t="s">
        <v>2311</v>
      </c>
      <c r="G788" t="s">
        <v>317</v>
      </c>
      <c r="H788" t="s">
        <v>14</v>
      </c>
      <c r="I788" t="s">
        <v>15</v>
      </c>
      <c r="J788" t="s">
        <v>16</v>
      </c>
      <c r="K788" t="s">
        <v>50</v>
      </c>
    </row>
    <row r="789" spans="1:11" x14ac:dyDescent="0.35">
      <c r="A789" t="s">
        <v>1538</v>
      </c>
      <c r="B789" t="s">
        <v>66</v>
      </c>
      <c r="C789" t="s">
        <v>2429</v>
      </c>
      <c r="D789">
        <v>2</v>
      </c>
      <c r="E789" t="s">
        <v>2483</v>
      </c>
      <c r="F789" t="s">
        <v>2769</v>
      </c>
      <c r="G789" t="s">
        <v>138</v>
      </c>
      <c r="H789" t="s">
        <v>14</v>
      </c>
      <c r="I789" t="s">
        <v>15</v>
      </c>
      <c r="J789" t="s">
        <v>16</v>
      </c>
    </row>
    <row r="790" spans="1:11" x14ac:dyDescent="0.35">
      <c r="A790" t="s">
        <v>1539</v>
      </c>
      <c r="B790" t="s">
        <v>66</v>
      </c>
      <c r="C790" t="s">
        <v>2268</v>
      </c>
      <c r="D790">
        <v>3</v>
      </c>
      <c r="E790" t="s">
        <v>2656</v>
      </c>
      <c r="F790" t="s">
        <v>2341</v>
      </c>
      <c r="G790" t="s">
        <v>756</v>
      </c>
      <c r="H790" t="s">
        <v>14</v>
      </c>
      <c r="I790" t="s">
        <v>15</v>
      </c>
      <c r="J790" t="s">
        <v>16</v>
      </c>
      <c r="K790" t="s">
        <v>50</v>
      </c>
    </row>
    <row r="791" spans="1:11" x14ac:dyDescent="0.35">
      <c r="A791" t="s">
        <v>1540</v>
      </c>
      <c r="B791" t="s">
        <v>12</v>
      </c>
      <c r="C791" t="s">
        <v>2264</v>
      </c>
      <c r="D791">
        <v>4</v>
      </c>
      <c r="E791" t="s">
        <v>2389</v>
      </c>
      <c r="F791" t="s">
        <v>2420</v>
      </c>
      <c r="G791" t="s">
        <v>136</v>
      </c>
      <c r="H791" t="s">
        <v>14</v>
      </c>
      <c r="I791" t="s">
        <v>15</v>
      </c>
      <c r="J791" t="s">
        <v>16</v>
      </c>
      <c r="K791" t="s">
        <v>50</v>
      </c>
    </row>
    <row r="792" spans="1:11" x14ac:dyDescent="0.35">
      <c r="A792" t="s">
        <v>1541</v>
      </c>
      <c r="B792" t="s">
        <v>18</v>
      </c>
      <c r="C792" t="s">
        <v>2250</v>
      </c>
      <c r="D792">
        <v>3</v>
      </c>
      <c r="E792" t="s">
        <v>2355</v>
      </c>
      <c r="F792" t="s">
        <v>2252</v>
      </c>
      <c r="G792" t="s">
        <v>1542</v>
      </c>
      <c r="H792" t="s">
        <v>118</v>
      </c>
      <c r="I792" t="s">
        <v>119</v>
      </c>
      <c r="J792" t="s">
        <v>16</v>
      </c>
      <c r="K792" t="s">
        <v>1543</v>
      </c>
    </row>
    <row r="793" spans="1:11" x14ac:dyDescent="0.35">
      <c r="A793" t="s">
        <v>1544</v>
      </c>
      <c r="B793" t="s">
        <v>18</v>
      </c>
      <c r="C793" t="s">
        <v>2770</v>
      </c>
      <c r="D793">
        <v>6</v>
      </c>
      <c r="E793" t="s">
        <v>2578</v>
      </c>
      <c r="F793" t="s">
        <v>2598</v>
      </c>
      <c r="G793" t="s">
        <v>1545</v>
      </c>
      <c r="H793" t="s">
        <v>169</v>
      </c>
      <c r="I793" t="s">
        <v>170</v>
      </c>
      <c r="J793" t="s">
        <v>16</v>
      </c>
      <c r="K793" t="s">
        <v>1546</v>
      </c>
    </row>
    <row r="794" spans="1:11" x14ac:dyDescent="0.35">
      <c r="A794" t="s">
        <v>1547</v>
      </c>
      <c r="B794" t="s">
        <v>18</v>
      </c>
      <c r="C794" t="s">
        <v>2359</v>
      </c>
      <c r="D794">
        <v>7</v>
      </c>
      <c r="E794" t="s">
        <v>2355</v>
      </c>
      <c r="F794" t="s">
        <v>2449</v>
      </c>
      <c r="G794" t="s">
        <v>1548</v>
      </c>
      <c r="H794" t="s">
        <v>430</v>
      </c>
      <c r="I794" t="s">
        <v>431</v>
      </c>
      <c r="J794" t="s">
        <v>16</v>
      </c>
      <c r="K794" t="s">
        <v>948</v>
      </c>
    </row>
    <row r="795" spans="1:11" x14ac:dyDescent="0.35">
      <c r="A795" t="s">
        <v>1549</v>
      </c>
      <c r="B795" t="s">
        <v>66</v>
      </c>
      <c r="C795" t="s">
        <v>2268</v>
      </c>
      <c r="D795">
        <v>2</v>
      </c>
      <c r="E795" t="s">
        <v>2742</v>
      </c>
      <c r="F795" t="s">
        <v>2743</v>
      </c>
      <c r="G795" t="s">
        <v>1408</v>
      </c>
      <c r="H795" t="s">
        <v>734</v>
      </c>
      <c r="I795" t="s">
        <v>735</v>
      </c>
      <c r="J795" t="s">
        <v>16</v>
      </c>
      <c r="K795" t="s">
        <v>1409</v>
      </c>
    </row>
    <row r="796" spans="1:11" x14ac:dyDescent="0.35">
      <c r="A796" t="s">
        <v>1550</v>
      </c>
      <c r="B796" t="s">
        <v>18</v>
      </c>
      <c r="C796" t="s">
        <v>2359</v>
      </c>
      <c r="D796">
        <v>5</v>
      </c>
      <c r="E796" t="s">
        <v>2358</v>
      </c>
      <c r="F796" t="s">
        <v>2309</v>
      </c>
      <c r="G796" t="s">
        <v>1551</v>
      </c>
      <c r="H796" t="s">
        <v>430</v>
      </c>
      <c r="I796" t="s">
        <v>431</v>
      </c>
      <c r="J796" t="s">
        <v>16</v>
      </c>
      <c r="K796" t="s">
        <v>948</v>
      </c>
    </row>
    <row r="797" spans="1:11" x14ac:dyDescent="0.35">
      <c r="A797" t="s">
        <v>1552</v>
      </c>
      <c r="B797" t="s">
        <v>18</v>
      </c>
      <c r="C797" t="s">
        <v>2247</v>
      </c>
      <c r="D797">
        <v>4</v>
      </c>
      <c r="E797" t="s">
        <v>2754</v>
      </c>
      <c r="F797" t="s">
        <v>2333</v>
      </c>
      <c r="G797" t="s">
        <v>1553</v>
      </c>
      <c r="H797" t="s">
        <v>145</v>
      </c>
      <c r="I797" t="s">
        <v>146</v>
      </c>
      <c r="J797" t="s">
        <v>16</v>
      </c>
      <c r="K797" t="s">
        <v>948</v>
      </c>
    </row>
    <row r="798" spans="1:11" x14ac:dyDescent="0.35">
      <c r="A798" t="s">
        <v>1554</v>
      </c>
      <c r="B798" t="s">
        <v>66</v>
      </c>
      <c r="C798" t="s">
        <v>2264</v>
      </c>
      <c r="D798">
        <v>4</v>
      </c>
      <c r="E798" t="s">
        <v>2627</v>
      </c>
      <c r="F798" t="s">
        <v>2269</v>
      </c>
      <c r="G798" t="s">
        <v>128</v>
      </c>
      <c r="H798" t="s">
        <v>68</v>
      </c>
      <c r="I798" t="s">
        <v>69</v>
      </c>
      <c r="J798" t="s">
        <v>16</v>
      </c>
      <c r="K798" t="s">
        <v>1555</v>
      </c>
    </row>
    <row r="799" spans="1:11" x14ac:dyDescent="0.35">
      <c r="A799" t="s">
        <v>1556</v>
      </c>
      <c r="B799" t="s">
        <v>12</v>
      </c>
      <c r="C799" t="s">
        <v>2247</v>
      </c>
      <c r="D799">
        <v>6</v>
      </c>
      <c r="E799" t="s">
        <v>2503</v>
      </c>
      <c r="F799" t="s">
        <v>2414</v>
      </c>
      <c r="G799" t="s">
        <v>1557</v>
      </c>
      <c r="H799" t="s">
        <v>145</v>
      </c>
      <c r="I799" t="s">
        <v>146</v>
      </c>
      <c r="J799" t="s">
        <v>16</v>
      </c>
      <c r="K799" t="s">
        <v>531</v>
      </c>
    </row>
    <row r="800" spans="1:11" x14ac:dyDescent="0.35">
      <c r="A800" t="s">
        <v>1558</v>
      </c>
      <c r="B800" t="s">
        <v>18</v>
      </c>
      <c r="C800" t="s">
        <v>2250</v>
      </c>
      <c r="D800">
        <v>8</v>
      </c>
      <c r="E800" t="s">
        <v>2771</v>
      </c>
      <c r="F800" t="s">
        <v>2382</v>
      </c>
      <c r="G800" t="s">
        <v>163</v>
      </c>
      <c r="H800" t="s">
        <v>164</v>
      </c>
      <c r="I800" t="s">
        <v>165</v>
      </c>
      <c r="J800" t="s">
        <v>16</v>
      </c>
    </row>
    <row r="801" spans="1:11" x14ac:dyDescent="0.35">
      <c r="A801" t="s">
        <v>1559</v>
      </c>
      <c r="B801" t="s">
        <v>18</v>
      </c>
      <c r="C801" t="s">
        <v>2250</v>
      </c>
      <c r="D801">
        <v>5</v>
      </c>
      <c r="E801" t="s">
        <v>2347</v>
      </c>
      <c r="F801" t="s">
        <v>2455</v>
      </c>
      <c r="G801" t="s">
        <v>1560</v>
      </c>
      <c r="H801" t="s">
        <v>164</v>
      </c>
      <c r="I801" t="s">
        <v>165</v>
      </c>
      <c r="J801" t="s">
        <v>16</v>
      </c>
    </row>
    <row r="802" spans="1:11" x14ac:dyDescent="0.35">
      <c r="A802" t="s">
        <v>1561</v>
      </c>
      <c r="B802" t="s">
        <v>66</v>
      </c>
      <c r="C802" t="s">
        <v>2268</v>
      </c>
      <c r="D802">
        <v>3</v>
      </c>
      <c r="E802" t="s">
        <v>2438</v>
      </c>
      <c r="F802" t="s">
        <v>2351</v>
      </c>
      <c r="G802" t="s">
        <v>1562</v>
      </c>
      <c r="H802" t="s">
        <v>164</v>
      </c>
      <c r="I802" t="s">
        <v>165</v>
      </c>
      <c r="J802" t="s">
        <v>16</v>
      </c>
    </row>
    <row r="803" spans="1:11" x14ac:dyDescent="0.35">
      <c r="A803" t="s">
        <v>1563</v>
      </c>
      <c r="B803" t="s">
        <v>66</v>
      </c>
      <c r="C803" t="s">
        <v>2264</v>
      </c>
      <c r="D803">
        <v>4</v>
      </c>
      <c r="E803" t="s">
        <v>2772</v>
      </c>
      <c r="F803" t="s">
        <v>2773</v>
      </c>
      <c r="G803" t="s">
        <v>1564</v>
      </c>
      <c r="H803" t="s">
        <v>923</v>
      </c>
      <c r="I803" t="s">
        <v>924</v>
      </c>
      <c r="J803" t="s">
        <v>16</v>
      </c>
    </row>
    <row r="804" spans="1:11" x14ac:dyDescent="0.35">
      <c r="A804" t="s">
        <v>1565</v>
      </c>
      <c r="B804" t="s">
        <v>18</v>
      </c>
      <c r="C804" t="s">
        <v>2264</v>
      </c>
      <c r="D804">
        <v>4</v>
      </c>
      <c r="E804" t="s">
        <v>2774</v>
      </c>
      <c r="F804" t="s">
        <v>2530</v>
      </c>
      <c r="G804" t="s">
        <v>1566</v>
      </c>
      <c r="H804" t="s">
        <v>923</v>
      </c>
      <c r="I804" t="s">
        <v>924</v>
      </c>
      <c r="J804" t="s">
        <v>16</v>
      </c>
    </row>
    <row r="805" spans="1:11" x14ac:dyDescent="0.35">
      <c r="A805" t="s">
        <v>1567</v>
      </c>
      <c r="B805" t="s">
        <v>66</v>
      </c>
      <c r="C805" t="s">
        <v>2250</v>
      </c>
      <c r="D805">
        <v>4</v>
      </c>
      <c r="E805" t="s">
        <v>2325</v>
      </c>
      <c r="F805" t="s">
        <v>2346</v>
      </c>
      <c r="G805" t="s">
        <v>1568</v>
      </c>
      <c r="H805" t="s">
        <v>35</v>
      </c>
      <c r="I805" t="s">
        <v>36</v>
      </c>
      <c r="J805" t="s">
        <v>16</v>
      </c>
    </row>
    <row r="806" spans="1:11" x14ac:dyDescent="0.35">
      <c r="A806" t="s">
        <v>1569</v>
      </c>
      <c r="B806" t="s">
        <v>18</v>
      </c>
      <c r="C806" t="s">
        <v>2250</v>
      </c>
      <c r="D806">
        <v>7</v>
      </c>
      <c r="E806" t="s">
        <v>2347</v>
      </c>
      <c r="F806" t="s">
        <v>2333</v>
      </c>
      <c r="G806" t="s">
        <v>1570</v>
      </c>
      <c r="H806" t="s">
        <v>1571</v>
      </c>
      <c r="I806" t="s">
        <v>1572</v>
      </c>
      <c r="J806" t="s">
        <v>16</v>
      </c>
      <c r="K806" t="s">
        <v>1573</v>
      </c>
    </row>
    <row r="807" spans="1:11" x14ac:dyDescent="0.35">
      <c r="A807" t="s">
        <v>1574</v>
      </c>
      <c r="B807" t="s">
        <v>2271</v>
      </c>
      <c r="E807" t="s">
        <v>2302</v>
      </c>
      <c r="F807" t="s">
        <v>2775</v>
      </c>
      <c r="G807" t="s">
        <v>1575</v>
      </c>
      <c r="H807" t="s">
        <v>164</v>
      </c>
      <c r="I807" t="s">
        <v>165</v>
      </c>
      <c r="J807" t="s">
        <v>16</v>
      </c>
      <c r="K807" t="s">
        <v>1576</v>
      </c>
    </row>
    <row r="808" spans="1:11" x14ac:dyDescent="0.35">
      <c r="A808" t="s">
        <v>1577</v>
      </c>
      <c r="B808" t="s">
        <v>66</v>
      </c>
      <c r="C808" t="s">
        <v>2359</v>
      </c>
      <c r="D808">
        <v>7</v>
      </c>
      <c r="E808" t="s">
        <v>2569</v>
      </c>
      <c r="F808" t="s">
        <v>2414</v>
      </c>
      <c r="G808" t="s">
        <v>1578</v>
      </c>
      <c r="H808" t="s">
        <v>233</v>
      </c>
      <c r="I808" t="s">
        <v>234</v>
      </c>
      <c r="J808" t="s">
        <v>16</v>
      </c>
      <c r="K808" t="s">
        <v>1579</v>
      </c>
    </row>
    <row r="809" spans="1:11" x14ac:dyDescent="0.35">
      <c r="A809" t="s">
        <v>1580</v>
      </c>
      <c r="B809" t="s">
        <v>66</v>
      </c>
      <c r="C809" t="s">
        <v>2250</v>
      </c>
      <c r="D809">
        <v>4</v>
      </c>
      <c r="E809" t="s">
        <v>2366</v>
      </c>
      <c r="F809" t="s">
        <v>2636</v>
      </c>
      <c r="G809" t="s">
        <v>623</v>
      </c>
      <c r="H809" t="s">
        <v>73</v>
      </c>
      <c r="I809" t="s">
        <v>74</v>
      </c>
      <c r="J809" t="s">
        <v>16</v>
      </c>
      <c r="K809" t="s">
        <v>1579</v>
      </c>
    </row>
    <row r="810" spans="1:11" x14ac:dyDescent="0.35">
      <c r="A810" t="s">
        <v>1581</v>
      </c>
      <c r="B810" t="s">
        <v>2271</v>
      </c>
      <c r="E810" t="s">
        <v>2776</v>
      </c>
      <c r="F810" t="s">
        <v>2382</v>
      </c>
      <c r="G810" t="s">
        <v>1212</v>
      </c>
      <c r="H810" t="s">
        <v>1213</v>
      </c>
      <c r="I810" t="s">
        <v>1214</v>
      </c>
      <c r="J810" t="s">
        <v>16</v>
      </c>
      <c r="K810" t="s">
        <v>688</v>
      </c>
    </row>
    <row r="811" spans="1:11" x14ac:dyDescent="0.35">
      <c r="A811" t="s">
        <v>1582</v>
      </c>
      <c r="B811" t="s">
        <v>1033</v>
      </c>
      <c r="E811" t="s">
        <v>2777</v>
      </c>
      <c r="F811" t="s">
        <v>2778</v>
      </c>
      <c r="G811" t="s">
        <v>1583</v>
      </c>
      <c r="H811" t="s">
        <v>154</v>
      </c>
      <c r="I811" t="s">
        <v>155</v>
      </c>
      <c r="J811" t="s">
        <v>16</v>
      </c>
      <c r="K811" t="s">
        <v>1584</v>
      </c>
    </row>
    <row r="812" spans="1:11" x14ac:dyDescent="0.35">
      <c r="A812" t="s">
        <v>1585</v>
      </c>
      <c r="B812" t="s">
        <v>2271</v>
      </c>
      <c r="E812" t="s">
        <v>2779</v>
      </c>
      <c r="F812" t="s">
        <v>2377</v>
      </c>
      <c r="G812" t="s">
        <v>1586</v>
      </c>
      <c r="H812" t="s">
        <v>1587</v>
      </c>
      <c r="I812" t="s">
        <v>1588</v>
      </c>
      <c r="J812" t="s">
        <v>16</v>
      </c>
    </row>
    <row r="813" spans="1:11" x14ac:dyDescent="0.35">
      <c r="A813" t="s">
        <v>1589</v>
      </c>
      <c r="B813" t="s">
        <v>66</v>
      </c>
      <c r="C813" t="s">
        <v>2264</v>
      </c>
      <c r="D813">
        <v>3</v>
      </c>
      <c r="E813" t="s">
        <v>2549</v>
      </c>
      <c r="F813" t="s">
        <v>2351</v>
      </c>
      <c r="G813" t="s">
        <v>1590</v>
      </c>
      <c r="H813" t="s">
        <v>443</v>
      </c>
      <c r="I813" t="s">
        <v>444</v>
      </c>
      <c r="J813" t="s">
        <v>16</v>
      </c>
      <c r="K813" t="s">
        <v>1591</v>
      </c>
    </row>
    <row r="814" spans="1:11" x14ac:dyDescent="0.35">
      <c r="A814" t="s">
        <v>1592</v>
      </c>
      <c r="B814" t="s">
        <v>18</v>
      </c>
      <c r="C814" t="s">
        <v>2250</v>
      </c>
      <c r="D814">
        <v>7</v>
      </c>
      <c r="E814" t="s">
        <v>2289</v>
      </c>
      <c r="F814" t="s">
        <v>2318</v>
      </c>
      <c r="G814" t="s">
        <v>259</v>
      </c>
      <c r="H814" t="s">
        <v>173</v>
      </c>
      <c r="I814" t="s">
        <v>174</v>
      </c>
      <c r="J814" t="s">
        <v>16</v>
      </c>
    </row>
    <row r="815" spans="1:11" x14ac:dyDescent="0.35">
      <c r="A815" t="s">
        <v>1593</v>
      </c>
      <c r="B815" t="s">
        <v>12</v>
      </c>
      <c r="C815" t="s">
        <v>2268</v>
      </c>
      <c r="D815">
        <v>4</v>
      </c>
      <c r="E815" t="s">
        <v>2289</v>
      </c>
      <c r="F815" t="s">
        <v>2326</v>
      </c>
      <c r="G815" t="s">
        <v>1594</v>
      </c>
      <c r="H815" t="s">
        <v>173</v>
      </c>
      <c r="I815" t="s">
        <v>174</v>
      </c>
      <c r="J815" t="s">
        <v>16</v>
      </c>
    </row>
    <row r="816" spans="1:11" x14ac:dyDescent="0.35">
      <c r="A816" t="s">
        <v>1595</v>
      </c>
      <c r="B816" t="s">
        <v>18</v>
      </c>
      <c r="C816" t="s">
        <v>2332</v>
      </c>
      <c r="D816">
        <v>6</v>
      </c>
      <c r="E816" t="s">
        <v>2578</v>
      </c>
      <c r="F816" t="s">
        <v>2530</v>
      </c>
      <c r="G816" t="s">
        <v>1596</v>
      </c>
      <c r="H816" t="s">
        <v>218</v>
      </c>
      <c r="I816" t="s">
        <v>219</v>
      </c>
      <c r="J816" t="s">
        <v>16</v>
      </c>
      <c r="K816" t="s">
        <v>1597</v>
      </c>
    </row>
    <row r="817" spans="1:11" x14ac:dyDescent="0.35">
      <c r="A817" t="s">
        <v>1598</v>
      </c>
      <c r="B817" t="s">
        <v>66</v>
      </c>
      <c r="C817" t="s">
        <v>2264</v>
      </c>
      <c r="D817">
        <v>3</v>
      </c>
      <c r="E817" t="s">
        <v>2435</v>
      </c>
      <c r="F817" t="s">
        <v>2780</v>
      </c>
      <c r="G817" t="s">
        <v>1599</v>
      </c>
      <c r="H817" t="s">
        <v>1019</v>
      </c>
      <c r="I817" t="s">
        <v>1020</v>
      </c>
      <c r="J817" t="s">
        <v>16</v>
      </c>
      <c r="K817" t="s">
        <v>45</v>
      </c>
    </row>
    <row r="818" spans="1:11" x14ac:dyDescent="0.35">
      <c r="A818" t="s">
        <v>1600</v>
      </c>
      <c r="B818" t="s">
        <v>2271</v>
      </c>
      <c r="E818" t="s">
        <v>2781</v>
      </c>
      <c r="F818" t="s">
        <v>2782</v>
      </c>
      <c r="G818" t="s">
        <v>1601</v>
      </c>
      <c r="H818" t="s">
        <v>346</v>
      </c>
      <c r="I818" t="s">
        <v>347</v>
      </c>
      <c r="J818" t="s">
        <v>16</v>
      </c>
      <c r="K818" t="s">
        <v>1602</v>
      </c>
    </row>
    <row r="819" spans="1:11" x14ac:dyDescent="0.35">
      <c r="A819" t="s">
        <v>1603</v>
      </c>
      <c r="B819" t="s">
        <v>2271</v>
      </c>
      <c r="E819" t="s">
        <v>2397</v>
      </c>
      <c r="F819" t="s">
        <v>2783</v>
      </c>
      <c r="G819" t="s">
        <v>1604</v>
      </c>
      <c r="H819" t="s">
        <v>405</v>
      </c>
      <c r="I819" t="s">
        <v>406</v>
      </c>
      <c r="J819" t="s">
        <v>16</v>
      </c>
      <c r="K819" t="s">
        <v>1605</v>
      </c>
    </row>
    <row r="820" spans="1:11" x14ac:dyDescent="0.35">
      <c r="A820" t="s">
        <v>1606</v>
      </c>
      <c r="B820" t="s">
        <v>18</v>
      </c>
      <c r="C820" t="s">
        <v>2359</v>
      </c>
      <c r="D820">
        <v>5</v>
      </c>
      <c r="E820" t="s">
        <v>2784</v>
      </c>
      <c r="F820" t="s">
        <v>2270</v>
      </c>
      <c r="G820" t="s">
        <v>1245</v>
      </c>
      <c r="H820" t="s">
        <v>28</v>
      </c>
      <c r="I820" t="s">
        <v>29</v>
      </c>
      <c r="J820" t="s">
        <v>16</v>
      </c>
    </row>
    <row r="821" spans="1:11" x14ac:dyDescent="0.35">
      <c r="A821" t="s">
        <v>1607</v>
      </c>
      <c r="B821" t="s">
        <v>66</v>
      </c>
      <c r="C821" t="s">
        <v>2268</v>
      </c>
      <c r="D821">
        <v>3</v>
      </c>
      <c r="E821" t="s">
        <v>2352</v>
      </c>
      <c r="F821" t="s">
        <v>2785</v>
      </c>
      <c r="G821" t="s">
        <v>2786</v>
      </c>
      <c r="H821" t="s">
        <v>255</v>
      </c>
      <c r="I821" t="s">
        <v>256</v>
      </c>
      <c r="J821" t="s">
        <v>16</v>
      </c>
      <c r="K821" t="s">
        <v>171</v>
      </c>
    </row>
    <row r="822" spans="1:11" x14ac:dyDescent="0.35">
      <c r="A822" t="s">
        <v>1608</v>
      </c>
      <c r="B822" t="s">
        <v>18</v>
      </c>
      <c r="C822" t="s">
        <v>2247</v>
      </c>
      <c r="D822">
        <v>6</v>
      </c>
      <c r="E822" t="s">
        <v>2614</v>
      </c>
      <c r="F822" t="s">
        <v>2318</v>
      </c>
      <c r="G822" t="s">
        <v>678</v>
      </c>
      <c r="H822" t="s">
        <v>233</v>
      </c>
      <c r="I822" t="s">
        <v>234</v>
      </c>
      <c r="J822" t="s">
        <v>16</v>
      </c>
      <c r="K822" t="s">
        <v>531</v>
      </c>
    </row>
    <row r="823" spans="1:11" x14ac:dyDescent="0.35">
      <c r="A823" t="s">
        <v>1609</v>
      </c>
      <c r="B823" t="s">
        <v>12</v>
      </c>
      <c r="C823" t="s">
        <v>2247</v>
      </c>
      <c r="D823">
        <v>4</v>
      </c>
      <c r="E823" t="s">
        <v>2474</v>
      </c>
      <c r="F823" t="s">
        <v>2351</v>
      </c>
      <c r="G823" t="s">
        <v>1160</v>
      </c>
      <c r="H823" t="s">
        <v>405</v>
      </c>
      <c r="I823" t="s">
        <v>406</v>
      </c>
      <c r="J823" t="s">
        <v>16</v>
      </c>
      <c r="K823" t="s">
        <v>407</v>
      </c>
    </row>
    <row r="824" spans="1:11" x14ac:dyDescent="0.35">
      <c r="A824" t="s">
        <v>1610</v>
      </c>
      <c r="B824" t="s">
        <v>18</v>
      </c>
      <c r="C824" t="s">
        <v>2250</v>
      </c>
      <c r="D824">
        <v>7</v>
      </c>
      <c r="E824" t="s">
        <v>2406</v>
      </c>
      <c r="F824" t="s">
        <v>2321</v>
      </c>
      <c r="G824" t="s">
        <v>1611</v>
      </c>
      <c r="H824" t="s">
        <v>125</v>
      </c>
      <c r="I824" t="s">
        <v>126</v>
      </c>
      <c r="J824" t="s">
        <v>16</v>
      </c>
      <c r="K824" t="s">
        <v>407</v>
      </c>
    </row>
    <row r="825" spans="1:11" x14ac:dyDescent="0.35">
      <c r="A825" t="s">
        <v>1612</v>
      </c>
      <c r="B825" t="s">
        <v>66</v>
      </c>
      <c r="C825" t="s">
        <v>2250</v>
      </c>
      <c r="D825">
        <v>4</v>
      </c>
      <c r="E825" t="s">
        <v>2440</v>
      </c>
      <c r="F825" t="s">
        <v>2305</v>
      </c>
      <c r="G825" t="s">
        <v>657</v>
      </c>
      <c r="H825" t="s">
        <v>154</v>
      </c>
      <c r="I825" t="s">
        <v>155</v>
      </c>
      <c r="J825" t="s">
        <v>16</v>
      </c>
      <c r="K825" t="s">
        <v>288</v>
      </c>
    </row>
    <row r="826" spans="1:11" x14ac:dyDescent="0.35">
      <c r="A826" t="s">
        <v>1613</v>
      </c>
      <c r="B826" t="s">
        <v>2271</v>
      </c>
      <c r="E826" t="s">
        <v>2787</v>
      </c>
      <c r="F826" t="s">
        <v>2788</v>
      </c>
      <c r="G826" t="s">
        <v>1614</v>
      </c>
      <c r="H826" t="s">
        <v>483</v>
      </c>
      <c r="I826" t="s">
        <v>484</v>
      </c>
      <c r="J826" t="s">
        <v>16</v>
      </c>
      <c r="K826" t="s">
        <v>1615</v>
      </c>
    </row>
    <row r="827" spans="1:11" x14ac:dyDescent="0.35">
      <c r="A827" t="s">
        <v>1616</v>
      </c>
      <c r="B827" t="s">
        <v>18</v>
      </c>
      <c r="C827" t="s">
        <v>2250</v>
      </c>
      <c r="D827">
        <v>5</v>
      </c>
      <c r="E827" t="s">
        <v>2789</v>
      </c>
      <c r="F827" t="s">
        <v>2303</v>
      </c>
      <c r="G827" t="s">
        <v>1617</v>
      </c>
      <c r="H827" t="s">
        <v>346</v>
      </c>
      <c r="I827" t="s">
        <v>347</v>
      </c>
      <c r="J827" t="s">
        <v>16</v>
      </c>
    </row>
    <row r="828" spans="1:11" x14ac:dyDescent="0.35">
      <c r="A828" t="s">
        <v>1618</v>
      </c>
      <c r="B828" t="s">
        <v>66</v>
      </c>
      <c r="C828" t="s">
        <v>2268</v>
      </c>
      <c r="D828">
        <v>4</v>
      </c>
      <c r="E828" t="s">
        <v>2340</v>
      </c>
      <c r="F828" t="s">
        <v>2464</v>
      </c>
      <c r="G828" t="s">
        <v>1619</v>
      </c>
      <c r="H828" t="s">
        <v>218</v>
      </c>
      <c r="I828" t="s">
        <v>219</v>
      </c>
      <c r="J828" t="s">
        <v>16</v>
      </c>
    </row>
    <row r="829" spans="1:11" x14ac:dyDescent="0.35">
      <c r="A829" t="s">
        <v>1620</v>
      </c>
      <c r="B829" t="s">
        <v>18</v>
      </c>
      <c r="C829" t="s">
        <v>2253</v>
      </c>
      <c r="D829">
        <v>7</v>
      </c>
      <c r="E829" t="s">
        <v>2790</v>
      </c>
      <c r="F829" t="s">
        <v>2276</v>
      </c>
      <c r="G829" t="s">
        <v>1621</v>
      </c>
      <c r="H829" t="s">
        <v>494</v>
      </c>
      <c r="I829" t="s">
        <v>495</v>
      </c>
      <c r="J829" t="s">
        <v>16</v>
      </c>
    </row>
    <row r="830" spans="1:11" x14ac:dyDescent="0.35">
      <c r="A830" t="s">
        <v>1622</v>
      </c>
      <c r="B830" t="s">
        <v>66</v>
      </c>
      <c r="C830" t="s">
        <v>2264</v>
      </c>
      <c r="D830">
        <v>2</v>
      </c>
      <c r="E830" t="s">
        <v>2791</v>
      </c>
      <c r="F830" t="s">
        <v>2743</v>
      </c>
      <c r="G830" t="s">
        <v>2792</v>
      </c>
      <c r="H830" t="s">
        <v>1623</v>
      </c>
      <c r="I830" t="s">
        <v>1624</v>
      </c>
      <c r="J830" t="s">
        <v>16</v>
      </c>
    </row>
    <row r="831" spans="1:11" x14ac:dyDescent="0.35">
      <c r="A831" t="s">
        <v>1625</v>
      </c>
      <c r="B831" t="s">
        <v>66</v>
      </c>
      <c r="C831" t="s">
        <v>2268</v>
      </c>
      <c r="D831">
        <v>2</v>
      </c>
      <c r="E831" t="s">
        <v>2793</v>
      </c>
      <c r="F831" t="s">
        <v>2794</v>
      </c>
      <c r="G831" t="s">
        <v>2795</v>
      </c>
      <c r="H831" t="s">
        <v>734</v>
      </c>
      <c r="I831" t="s">
        <v>735</v>
      </c>
      <c r="J831" t="s">
        <v>16</v>
      </c>
      <c r="K831" t="s">
        <v>171</v>
      </c>
    </row>
    <row r="832" spans="1:11" x14ac:dyDescent="0.35">
      <c r="A832" t="s">
        <v>1626</v>
      </c>
      <c r="B832" t="s">
        <v>12</v>
      </c>
      <c r="C832" t="s">
        <v>2264</v>
      </c>
      <c r="D832">
        <v>4</v>
      </c>
      <c r="E832" t="s">
        <v>2674</v>
      </c>
      <c r="F832" t="s">
        <v>2497</v>
      </c>
      <c r="G832" t="s">
        <v>2796</v>
      </c>
      <c r="H832" t="s">
        <v>218</v>
      </c>
      <c r="I832" t="s">
        <v>219</v>
      </c>
      <c r="J832" t="s">
        <v>16</v>
      </c>
      <c r="K832" t="s">
        <v>171</v>
      </c>
    </row>
    <row r="833" spans="1:11" x14ac:dyDescent="0.35">
      <c r="A833" t="s">
        <v>1627</v>
      </c>
      <c r="B833" t="s">
        <v>12</v>
      </c>
      <c r="C833" t="s">
        <v>2264</v>
      </c>
      <c r="D833">
        <v>4</v>
      </c>
      <c r="E833" t="s">
        <v>2638</v>
      </c>
      <c r="F833" t="s">
        <v>2336</v>
      </c>
      <c r="G833" t="s">
        <v>1628</v>
      </c>
      <c r="H833" t="s">
        <v>14</v>
      </c>
      <c r="I833" t="s">
        <v>15</v>
      </c>
      <c r="J833" t="s">
        <v>16</v>
      </c>
    </row>
    <row r="834" spans="1:11" x14ac:dyDescent="0.35">
      <c r="A834" t="s">
        <v>1629</v>
      </c>
      <c r="B834" t="s">
        <v>18</v>
      </c>
      <c r="C834" t="s">
        <v>2297</v>
      </c>
      <c r="D834">
        <v>6</v>
      </c>
      <c r="E834" t="s">
        <v>2784</v>
      </c>
      <c r="F834" t="s">
        <v>2797</v>
      </c>
      <c r="G834" t="s">
        <v>1245</v>
      </c>
      <c r="H834" t="s">
        <v>28</v>
      </c>
      <c r="I834" t="s">
        <v>29</v>
      </c>
      <c r="J834" t="s">
        <v>16</v>
      </c>
      <c r="K834" t="s">
        <v>384</v>
      </c>
    </row>
    <row r="835" spans="1:11" x14ac:dyDescent="0.35">
      <c r="A835" t="s">
        <v>1630</v>
      </c>
      <c r="B835" t="s">
        <v>66</v>
      </c>
      <c r="C835" t="s">
        <v>2268</v>
      </c>
      <c r="D835">
        <v>3</v>
      </c>
      <c r="E835" t="s">
        <v>2342</v>
      </c>
      <c r="F835" t="s">
        <v>2343</v>
      </c>
      <c r="G835" t="s">
        <v>599</v>
      </c>
      <c r="H835" t="s">
        <v>195</v>
      </c>
      <c r="I835" t="s">
        <v>196</v>
      </c>
      <c r="J835" t="s">
        <v>16</v>
      </c>
      <c r="K835" t="s">
        <v>50</v>
      </c>
    </row>
    <row r="836" spans="1:11" x14ac:dyDescent="0.35">
      <c r="A836" t="s">
        <v>1631</v>
      </c>
      <c r="B836" t="s">
        <v>2271</v>
      </c>
      <c r="E836" t="s">
        <v>2289</v>
      </c>
      <c r="F836" t="s">
        <v>2798</v>
      </c>
      <c r="G836" t="s">
        <v>1632</v>
      </c>
      <c r="H836" t="s">
        <v>169</v>
      </c>
      <c r="I836" t="s">
        <v>170</v>
      </c>
      <c r="J836" t="s">
        <v>16</v>
      </c>
      <c r="K836" t="s">
        <v>1605</v>
      </c>
    </row>
    <row r="837" spans="1:11" x14ac:dyDescent="0.35">
      <c r="A837" t="s">
        <v>1633</v>
      </c>
      <c r="B837" t="s">
        <v>66</v>
      </c>
      <c r="C837" t="s">
        <v>2264</v>
      </c>
      <c r="D837">
        <v>5</v>
      </c>
      <c r="E837" t="s">
        <v>2799</v>
      </c>
      <c r="F837" t="s">
        <v>2800</v>
      </c>
      <c r="G837" t="s">
        <v>670</v>
      </c>
      <c r="H837" t="s">
        <v>145</v>
      </c>
      <c r="I837" t="s">
        <v>146</v>
      </c>
      <c r="J837" t="s">
        <v>16</v>
      </c>
      <c r="K837" t="s">
        <v>77</v>
      </c>
    </row>
    <row r="838" spans="1:11" x14ac:dyDescent="0.35">
      <c r="A838" t="s">
        <v>1634</v>
      </c>
      <c r="B838" t="s">
        <v>18</v>
      </c>
      <c r="C838" t="s">
        <v>2250</v>
      </c>
      <c r="D838">
        <v>6</v>
      </c>
      <c r="E838" t="s">
        <v>2300</v>
      </c>
      <c r="F838" t="s">
        <v>2276</v>
      </c>
      <c r="G838" t="s">
        <v>1635</v>
      </c>
      <c r="H838" t="s">
        <v>382</v>
      </c>
      <c r="I838" t="s">
        <v>383</v>
      </c>
      <c r="J838" t="s">
        <v>16</v>
      </c>
      <c r="K838" t="s">
        <v>77</v>
      </c>
    </row>
    <row r="839" spans="1:11" x14ac:dyDescent="0.35">
      <c r="A839" t="s">
        <v>1636</v>
      </c>
      <c r="B839" t="s">
        <v>66</v>
      </c>
      <c r="C839" t="s">
        <v>2429</v>
      </c>
      <c r="D839">
        <v>3</v>
      </c>
      <c r="E839" t="s">
        <v>2801</v>
      </c>
      <c r="F839" t="s">
        <v>2326</v>
      </c>
      <c r="G839" t="s">
        <v>1637</v>
      </c>
      <c r="H839" t="s">
        <v>382</v>
      </c>
      <c r="I839" t="s">
        <v>383</v>
      </c>
      <c r="J839" t="s">
        <v>16</v>
      </c>
    </row>
    <row r="840" spans="1:11" x14ac:dyDescent="0.35">
      <c r="A840" t="s">
        <v>1638</v>
      </c>
      <c r="B840" t="s">
        <v>66</v>
      </c>
      <c r="C840" t="s">
        <v>2268</v>
      </c>
      <c r="D840">
        <v>3</v>
      </c>
      <c r="E840" t="s">
        <v>2802</v>
      </c>
      <c r="F840" t="s">
        <v>2414</v>
      </c>
      <c r="G840" t="s">
        <v>1639</v>
      </c>
      <c r="H840" t="s">
        <v>28</v>
      </c>
      <c r="I840" t="s">
        <v>29</v>
      </c>
      <c r="J840" t="s">
        <v>16</v>
      </c>
    </row>
    <row r="841" spans="1:11" x14ac:dyDescent="0.35">
      <c r="A841" t="s">
        <v>1640</v>
      </c>
      <c r="B841" t="s">
        <v>12</v>
      </c>
      <c r="C841" t="s">
        <v>2264</v>
      </c>
      <c r="D841">
        <v>3</v>
      </c>
      <c r="E841" t="s">
        <v>2803</v>
      </c>
      <c r="F841" t="s">
        <v>2263</v>
      </c>
      <c r="G841" t="s">
        <v>1367</v>
      </c>
      <c r="H841" t="s">
        <v>405</v>
      </c>
      <c r="I841" t="s">
        <v>406</v>
      </c>
      <c r="J841" t="s">
        <v>16</v>
      </c>
      <c r="K841" t="s">
        <v>77</v>
      </c>
    </row>
    <row r="842" spans="1:11" x14ac:dyDescent="0.35">
      <c r="A842" t="s">
        <v>1641</v>
      </c>
      <c r="B842" t="s">
        <v>18</v>
      </c>
      <c r="C842" t="s">
        <v>2253</v>
      </c>
      <c r="D842">
        <v>7</v>
      </c>
      <c r="E842" t="s">
        <v>2804</v>
      </c>
      <c r="F842" t="s">
        <v>2270</v>
      </c>
      <c r="G842" t="s">
        <v>1642</v>
      </c>
      <c r="H842" t="s">
        <v>145</v>
      </c>
      <c r="I842" t="s">
        <v>146</v>
      </c>
      <c r="J842" t="s">
        <v>16</v>
      </c>
      <c r="K842" t="s">
        <v>1579</v>
      </c>
    </row>
    <row r="843" spans="1:11" x14ac:dyDescent="0.35">
      <c r="A843" t="s">
        <v>1643</v>
      </c>
      <c r="B843" t="s">
        <v>18</v>
      </c>
      <c r="C843" t="s">
        <v>2250</v>
      </c>
      <c r="D843">
        <v>4</v>
      </c>
      <c r="E843" t="s">
        <v>2300</v>
      </c>
      <c r="F843" t="s">
        <v>2255</v>
      </c>
      <c r="G843" t="s">
        <v>647</v>
      </c>
      <c r="H843" t="s">
        <v>145</v>
      </c>
      <c r="I843" t="s">
        <v>146</v>
      </c>
      <c r="J843" t="s">
        <v>16</v>
      </c>
      <c r="K843" t="s">
        <v>1579</v>
      </c>
    </row>
    <row r="844" spans="1:11" x14ac:dyDescent="0.35">
      <c r="A844" t="s">
        <v>1644</v>
      </c>
      <c r="B844" t="s">
        <v>66</v>
      </c>
      <c r="C844" t="s">
        <v>2250</v>
      </c>
      <c r="D844">
        <v>4</v>
      </c>
      <c r="E844" t="s">
        <v>2510</v>
      </c>
      <c r="F844" t="s">
        <v>2612</v>
      </c>
      <c r="G844" t="s">
        <v>1645</v>
      </c>
      <c r="H844" t="s">
        <v>772</v>
      </c>
      <c r="I844" t="s">
        <v>773</v>
      </c>
      <c r="J844" t="s">
        <v>16</v>
      </c>
      <c r="K844" t="s">
        <v>1579</v>
      </c>
    </row>
    <row r="845" spans="1:11" x14ac:dyDescent="0.35">
      <c r="A845" t="s">
        <v>1646</v>
      </c>
      <c r="B845" t="s">
        <v>66</v>
      </c>
      <c r="C845" t="s">
        <v>2264</v>
      </c>
      <c r="D845">
        <v>3</v>
      </c>
      <c r="E845" t="s">
        <v>2600</v>
      </c>
      <c r="F845" t="s">
        <v>2280</v>
      </c>
      <c r="G845" t="s">
        <v>236</v>
      </c>
      <c r="H845" t="s">
        <v>145</v>
      </c>
      <c r="I845" t="s">
        <v>146</v>
      </c>
      <c r="J845" t="s">
        <v>16</v>
      </c>
      <c r="K845" t="s">
        <v>1579</v>
      </c>
    </row>
    <row r="846" spans="1:11" x14ac:dyDescent="0.35">
      <c r="A846" t="s">
        <v>1647</v>
      </c>
      <c r="B846" t="s">
        <v>18</v>
      </c>
      <c r="C846" t="s">
        <v>2297</v>
      </c>
      <c r="D846">
        <v>7</v>
      </c>
      <c r="E846" t="s">
        <v>2285</v>
      </c>
      <c r="F846" t="s">
        <v>2805</v>
      </c>
      <c r="G846" t="s">
        <v>1648</v>
      </c>
      <c r="H846" t="s">
        <v>145</v>
      </c>
      <c r="I846" t="s">
        <v>146</v>
      </c>
      <c r="J846" t="s">
        <v>16</v>
      </c>
      <c r="K846" t="s">
        <v>1579</v>
      </c>
    </row>
    <row r="847" spans="1:11" x14ac:dyDescent="0.35">
      <c r="A847" t="s">
        <v>1649</v>
      </c>
      <c r="B847" t="s">
        <v>66</v>
      </c>
      <c r="C847" t="s">
        <v>2268</v>
      </c>
      <c r="D847">
        <v>3</v>
      </c>
      <c r="E847" t="s">
        <v>2312</v>
      </c>
      <c r="F847" t="s">
        <v>2278</v>
      </c>
      <c r="G847" t="s">
        <v>128</v>
      </c>
      <c r="H847" t="s">
        <v>68</v>
      </c>
      <c r="I847" t="s">
        <v>69</v>
      </c>
      <c r="J847" t="s">
        <v>16</v>
      </c>
      <c r="K847" t="s">
        <v>70</v>
      </c>
    </row>
    <row r="848" spans="1:11" x14ac:dyDescent="0.35">
      <c r="A848" t="s">
        <v>1650</v>
      </c>
      <c r="B848" t="s">
        <v>66</v>
      </c>
      <c r="C848" t="s">
        <v>2264</v>
      </c>
      <c r="D848">
        <v>3</v>
      </c>
      <c r="E848" t="s">
        <v>2722</v>
      </c>
      <c r="F848" t="s">
        <v>2723</v>
      </c>
      <c r="G848" t="s">
        <v>763</v>
      </c>
      <c r="H848" t="s">
        <v>405</v>
      </c>
      <c r="I848" t="s">
        <v>406</v>
      </c>
      <c r="J848" t="s">
        <v>16</v>
      </c>
      <c r="K848" t="s">
        <v>407</v>
      </c>
    </row>
    <row r="849" spans="1:11" x14ac:dyDescent="0.35">
      <c r="A849" t="s">
        <v>1651</v>
      </c>
      <c r="B849" t="s">
        <v>18</v>
      </c>
      <c r="C849" t="s">
        <v>2250</v>
      </c>
      <c r="D849">
        <v>6</v>
      </c>
      <c r="E849" t="s">
        <v>2766</v>
      </c>
      <c r="F849" t="s">
        <v>2407</v>
      </c>
      <c r="G849" t="s">
        <v>1652</v>
      </c>
      <c r="H849" t="s">
        <v>173</v>
      </c>
      <c r="I849" t="s">
        <v>174</v>
      </c>
      <c r="J849" t="s">
        <v>16</v>
      </c>
    </row>
    <row r="850" spans="1:11" x14ac:dyDescent="0.35">
      <c r="A850" t="s">
        <v>1653</v>
      </c>
      <c r="B850" t="s">
        <v>18</v>
      </c>
      <c r="C850" t="s">
        <v>2250</v>
      </c>
      <c r="D850">
        <v>6</v>
      </c>
      <c r="E850" t="s">
        <v>2688</v>
      </c>
      <c r="F850" t="s">
        <v>2806</v>
      </c>
      <c r="G850" t="s">
        <v>1654</v>
      </c>
      <c r="H850" t="s">
        <v>173</v>
      </c>
      <c r="I850" t="s">
        <v>174</v>
      </c>
      <c r="J850" t="s">
        <v>16</v>
      </c>
    </row>
    <row r="851" spans="1:11" x14ac:dyDescent="0.35">
      <c r="A851" t="s">
        <v>1655</v>
      </c>
      <c r="B851" t="s">
        <v>18</v>
      </c>
      <c r="C851" t="s">
        <v>2264</v>
      </c>
      <c r="D851">
        <v>6</v>
      </c>
      <c r="E851" t="s">
        <v>2289</v>
      </c>
      <c r="F851" t="s">
        <v>2515</v>
      </c>
      <c r="G851" t="s">
        <v>259</v>
      </c>
      <c r="H851" t="s">
        <v>173</v>
      </c>
      <c r="I851" t="s">
        <v>174</v>
      </c>
      <c r="J851" t="s">
        <v>16</v>
      </c>
    </row>
    <row r="852" spans="1:11" x14ac:dyDescent="0.35">
      <c r="A852" t="s">
        <v>1656</v>
      </c>
      <c r="B852" t="s">
        <v>18</v>
      </c>
      <c r="C852" t="s">
        <v>2264</v>
      </c>
      <c r="D852">
        <v>7</v>
      </c>
      <c r="E852" t="s">
        <v>2347</v>
      </c>
      <c r="F852" t="s">
        <v>2434</v>
      </c>
      <c r="G852" t="s">
        <v>1657</v>
      </c>
      <c r="H852" t="s">
        <v>164</v>
      </c>
      <c r="I852" t="s">
        <v>165</v>
      </c>
      <c r="J852" t="s">
        <v>16</v>
      </c>
    </row>
    <row r="853" spans="1:11" x14ac:dyDescent="0.35">
      <c r="A853" t="s">
        <v>1658</v>
      </c>
      <c r="B853" t="s">
        <v>66</v>
      </c>
      <c r="C853" t="s">
        <v>2268</v>
      </c>
      <c r="D853">
        <v>3</v>
      </c>
      <c r="E853" t="s">
        <v>2477</v>
      </c>
      <c r="F853" t="s">
        <v>2353</v>
      </c>
      <c r="G853" t="s">
        <v>1659</v>
      </c>
      <c r="H853" t="s">
        <v>373</v>
      </c>
      <c r="I853" t="s">
        <v>374</v>
      </c>
      <c r="J853" t="s">
        <v>16</v>
      </c>
    </row>
    <row r="854" spans="1:11" x14ac:dyDescent="0.35">
      <c r="A854" t="s">
        <v>1660</v>
      </c>
      <c r="B854" t="s">
        <v>18</v>
      </c>
      <c r="C854" t="s">
        <v>2247</v>
      </c>
      <c r="D854">
        <v>5</v>
      </c>
      <c r="E854" t="s">
        <v>2355</v>
      </c>
      <c r="F854" t="s">
        <v>2805</v>
      </c>
      <c r="G854" t="s">
        <v>1661</v>
      </c>
      <c r="H854" t="s">
        <v>145</v>
      </c>
      <c r="I854" t="s">
        <v>146</v>
      </c>
      <c r="J854" t="s">
        <v>16</v>
      </c>
    </row>
    <row r="855" spans="1:11" x14ac:dyDescent="0.35">
      <c r="A855" t="s">
        <v>1662</v>
      </c>
      <c r="B855" t="s">
        <v>12</v>
      </c>
      <c r="C855" t="s">
        <v>2247</v>
      </c>
      <c r="D855">
        <v>4</v>
      </c>
      <c r="E855" t="s">
        <v>2474</v>
      </c>
      <c r="F855" t="s">
        <v>2351</v>
      </c>
      <c r="G855" t="s">
        <v>1663</v>
      </c>
      <c r="H855" t="s">
        <v>405</v>
      </c>
      <c r="I855" t="s">
        <v>406</v>
      </c>
      <c r="J855" t="s">
        <v>16</v>
      </c>
    </row>
    <row r="856" spans="1:11" x14ac:dyDescent="0.35">
      <c r="A856" t="s">
        <v>1664</v>
      </c>
      <c r="B856" t="s">
        <v>12</v>
      </c>
      <c r="C856" t="s">
        <v>2247</v>
      </c>
      <c r="D856">
        <v>4</v>
      </c>
      <c r="E856" t="s">
        <v>2258</v>
      </c>
      <c r="F856" t="s">
        <v>2257</v>
      </c>
      <c r="G856" t="s">
        <v>1665</v>
      </c>
      <c r="H856" t="s">
        <v>405</v>
      </c>
      <c r="I856" t="s">
        <v>406</v>
      </c>
      <c r="J856" t="s">
        <v>16</v>
      </c>
      <c r="K856" t="s">
        <v>407</v>
      </c>
    </row>
    <row r="857" spans="1:11" x14ac:dyDescent="0.35">
      <c r="A857" t="s">
        <v>1666</v>
      </c>
      <c r="B857" t="s">
        <v>12</v>
      </c>
      <c r="C857" t="s">
        <v>2264</v>
      </c>
      <c r="D857">
        <v>4</v>
      </c>
      <c r="E857" t="s">
        <v>2512</v>
      </c>
      <c r="F857" t="s">
        <v>2476</v>
      </c>
      <c r="G857" t="s">
        <v>975</v>
      </c>
      <c r="H857" t="s">
        <v>405</v>
      </c>
      <c r="I857" t="s">
        <v>406</v>
      </c>
      <c r="J857" t="s">
        <v>16</v>
      </c>
      <c r="K857" t="s">
        <v>407</v>
      </c>
    </row>
    <row r="858" spans="1:11" x14ac:dyDescent="0.35">
      <c r="A858" t="s">
        <v>1667</v>
      </c>
      <c r="B858" t="s">
        <v>66</v>
      </c>
      <c r="C858" t="s">
        <v>2264</v>
      </c>
      <c r="D858">
        <v>4</v>
      </c>
      <c r="E858" t="s">
        <v>2722</v>
      </c>
      <c r="F858" t="s">
        <v>2723</v>
      </c>
      <c r="G858" t="s">
        <v>1360</v>
      </c>
      <c r="H858" t="s">
        <v>405</v>
      </c>
      <c r="I858" t="s">
        <v>406</v>
      </c>
      <c r="J858" t="s">
        <v>16</v>
      </c>
      <c r="K858" t="s">
        <v>407</v>
      </c>
    </row>
    <row r="859" spans="1:11" x14ac:dyDescent="0.35">
      <c r="A859" t="s">
        <v>1668</v>
      </c>
      <c r="B859" t="s">
        <v>12</v>
      </c>
      <c r="C859" t="s">
        <v>2247</v>
      </c>
      <c r="D859">
        <v>4</v>
      </c>
      <c r="E859" t="s">
        <v>2475</v>
      </c>
      <c r="F859" t="s">
        <v>2257</v>
      </c>
      <c r="G859" t="s">
        <v>975</v>
      </c>
      <c r="H859" t="s">
        <v>405</v>
      </c>
      <c r="I859" t="s">
        <v>406</v>
      </c>
      <c r="J859" t="s">
        <v>16</v>
      </c>
      <c r="K859" t="s">
        <v>407</v>
      </c>
    </row>
    <row r="860" spans="1:11" x14ac:dyDescent="0.35">
      <c r="A860" t="s">
        <v>1669</v>
      </c>
      <c r="B860" t="s">
        <v>12</v>
      </c>
      <c r="C860" t="s">
        <v>2264</v>
      </c>
      <c r="D860">
        <v>4</v>
      </c>
      <c r="E860" t="s">
        <v>2474</v>
      </c>
      <c r="F860" t="s">
        <v>2351</v>
      </c>
      <c r="G860" t="s">
        <v>1670</v>
      </c>
      <c r="H860" t="s">
        <v>405</v>
      </c>
      <c r="I860" t="s">
        <v>406</v>
      </c>
      <c r="J860" t="s">
        <v>16</v>
      </c>
      <c r="K860" t="s">
        <v>407</v>
      </c>
    </row>
    <row r="861" spans="1:11" x14ac:dyDescent="0.35">
      <c r="A861" t="s">
        <v>1671</v>
      </c>
      <c r="B861" t="s">
        <v>12</v>
      </c>
      <c r="C861" t="s">
        <v>2264</v>
      </c>
      <c r="D861">
        <v>3</v>
      </c>
      <c r="E861" t="s">
        <v>2393</v>
      </c>
      <c r="F861" t="s">
        <v>2351</v>
      </c>
      <c r="G861" t="s">
        <v>857</v>
      </c>
      <c r="H861" t="s">
        <v>154</v>
      </c>
      <c r="I861" t="s">
        <v>155</v>
      </c>
      <c r="J861" t="s">
        <v>16</v>
      </c>
    </row>
    <row r="862" spans="1:11" x14ac:dyDescent="0.35">
      <c r="A862" t="s">
        <v>1672</v>
      </c>
      <c r="B862" t="s">
        <v>12</v>
      </c>
      <c r="C862" t="s">
        <v>2264</v>
      </c>
      <c r="D862">
        <v>5</v>
      </c>
      <c r="E862" t="s">
        <v>2256</v>
      </c>
      <c r="F862" t="s">
        <v>2309</v>
      </c>
      <c r="G862" t="s">
        <v>469</v>
      </c>
      <c r="H862" t="s">
        <v>97</v>
      </c>
      <c r="I862" t="s">
        <v>98</v>
      </c>
      <c r="J862" t="s">
        <v>16</v>
      </c>
      <c r="K862" t="s">
        <v>407</v>
      </c>
    </row>
    <row r="863" spans="1:11" x14ac:dyDescent="0.35">
      <c r="A863" t="s">
        <v>1673</v>
      </c>
      <c r="B863" t="s">
        <v>12</v>
      </c>
      <c r="C863" t="s">
        <v>2268</v>
      </c>
      <c r="D863">
        <v>4</v>
      </c>
      <c r="E863" t="s">
        <v>2283</v>
      </c>
      <c r="F863" t="s">
        <v>2284</v>
      </c>
      <c r="G863" t="s">
        <v>1674</v>
      </c>
      <c r="H863" t="s">
        <v>80</v>
      </c>
      <c r="I863" t="s">
        <v>81</v>
      </c>
      <c r="J863" t="s">
        <v>16</v>
      </c>
    </row>
    <row r="864" spans="1:11" x14ac:dyDescent="0.35">
      <c r="A864" t="s">
        <v>1675</v>
      </c>
      <c r="B864" t="s">
        <v>12</v>
      </c>
      <c r="C864" t="s">
        <v>2247</v>
      </c>
      <c r="D864">
        <v>6</v>
      </c>
      <c r="E864" t="s">
        <v>2340</v>
      </c>
      <c r="F864" t="s">
        <v>2309</v>
      </c>
      <c r="G864" t="s">
        <v>1160</v>
      </c>
      <c r="H864" t="s">
        <v>405</v>
      </c>
      <c r="I864" t="s">
        <v>406</v>
      </c>
      <c r="J864" t="s">
        <v>16</v>
      </c>
      <c r="K864" t="s">
        <v>407</v>
      </c>
    </row>
    <row r="865" spans="1:11" x14ac:dyDescent="0.35">
      <c r="A865" t="s">
        <v>1676</v>
      </c>
      <c r="B865" t="s">
        <v>12</v>
      </c>
      <c r="C865" t="s">
        <v>2268</v>
      </c>
      <c r="D865">
        <v>4</v>
      </c>
      <c r="E865" t="s">
        <v>2256</v>
      </c>
      <c r="F865" t="s">
        <v>2497</v>
      </c>
      <c r="G865" t="s">
        <v>1677</v>
      </c>
      <c r="H865" t="s">
        <v>97</v>
      </c>
      <c r="I865" t="s">
        <v>98</v>
      </c>
      <c r="J865" t="s">
        <v>16</v>
      </c>
      <c r="K865" t="s">
        <v>407</v>
      </c>
    </row>
    <row r="866" spans="1:11" x14ac:dyDescent="0.35">
      <c r="A866" t="s">
        <v>1678</v>
      </c>
      <c r="B866" t="s">
        <v>18</v>
      </c>
      <c r="C866" t="s">
        <v>2247</v>
      </c>
      <c r="D866">
        <v>6</v>
      </c>
      <c r="E866" t="s">
        <v>2807</v>
      </c>
      <c r="F866" t="s">
        <v>2555</v>
      </c>
      <c r="G866" t="s">
        <v>1679</v>
      </c>
      <c r="H866" t="s">
        <v>209</v>
      </c>
      <c r="I866" t="s">
        <v>210</v>
      </c>
      <c r="J866" t="s">
        <v>16</v>
      </c>
      <c r="K866" t="s">
        <v>407</v>
      </c>
    </row>
    <row r="867" spans="1:11" x14ac:dyDescent="0.35">
      <c r="A867" t="s">
        <v>1680</v>
      </c>
      <c r="B867" t="s">
        <v>66</v>
      </c>
      <c r="C867" t="s">
        <v>2268</v>
      </c>
      <c r="D867">
        <v>4</v>
      </c>
      <c r="E867" t="s">
        <v>2383</v>
      </c>
      <c r="F867" t="s">
        <v>2484</v>
      </c>
      <c r="G867" t="s">
        <v>1681</v>
      </c>
      <c r="H867" t="s">
        <v>405</v>
      </c>
      <c r="I867" t="s">
        <v>406</v>
      </c>
      <c r="J867" t="s">
        <v>16</v>
      </c>
      <c r="K867" t="s">
        <v>407</v>
      </c>
    </row>
    <row r="868" spans="1:11" x14ac:dyDescent="0.35">
      <c r="A868" t="s">
        <v>1682</v>
      </c>
      <c r="B868" t="s">
        <v>18</v>
      </c>
      <c r="C868" t="s">
        <v>2264</v>
      </c>
      <c r="D868">
        <v>5</v>
      </c>
      <c r="E868" t="s">
        <v>2807</v>
      </c>
      <c r="F868" t="s">
        <v>2555</v>
      </c>
      <c r="G868" t="s">
        <v>1683</v>
      </c>
      <c r="H868" t="s">
        <v>209</v>
      </c>
      <c r="I868" t="s">
        <v>210</v>
      </c>
      <c r="J868" t="s">
        <v>16</v>
      </c>
      <c r="K868" t="s">
        <v>407</v>
      </c>
    </row>
    <row r="869" spans="1:11" x14ac:dyDescent="0.35">
      <c r="A869" t="s">
        <v>1684</v>
      </c>
      <c r="B869" t="s">
        <v>12</v>
      </c>
      <c r="C869" t="s">
        <v>2250</v>
      </c>
      <c r="D869">
        <v>4</v>
      </c>
      <c r="E869" t="s">
        <v>2499</v>
      </c>
      <c r="F869" t="s">
        <v>2331</v>
      </c>
      <c r="G869" t="s">
        <v>1685</v>
      </c>
      <c r="H869" t="s">
        <v>405</v>
      </c>
      <c r="I869" t="s">
        <v>406</v>
      </c>
      <c r="J869" t="s">
        <v>16</v>
      </c>
      <c r="K869" t="s">
        <v>407</v>
      </c>
    </row>
    <row r="870" spans="1:11" x14ac:dyDescent="0.35">
      <c r="A870" t="s">
        <v>1686</v>
      </c>
      <c r="B870" t="s">
        <v>12</v>
      </c>
      <c r="C870" t="s">
        <v>2264</v>
      </c>
      <c r="D870">
        <v>3</v>
      </c>
      <c r="E870" t="s">
        <v>2459</v>
      </c>
      <c r="F870" t="s">
        <v>2280</v>
      </c>
      <c r="G870" t="s">
        <v>1501</v>
      </c>
      <c r="H870" t="s">
        <v>209</v>
      </c>
      <c r="I870" t="s">
        <v>210</v>
      </c>
      <c r="J870" t="s">
        <v>16</v>
      </c>
      <c r="K870" t="s">
        <v>407</v>
      </c>
    </row>
    <row r="871" spans="1:11" x14ac:dyDescent="0.35">
      <c r="A871" t="s">
        <v>1687</v>
      </c>
      <c r="B871" t="s">
        <v>18</v>
      </c>
      <c r="C871" t="s">
        <v>2250</v>
      </c>
      <c r="D871">
        <v>6</v>
      </c>
      <c r="E871" t="s">
        <v>2807</v>
      </c>
      <c r="F871" t="s">
        <v>2555</v>
      </c>
      <c r="G871" t="s">
        <v>1688</v>
      </c>
      <c r="H871" t="s">
        <v>209</v>
      </c>
      <c r="I871" t="s">
        <v>210</v>
      </c>
      <c r="J871" t="s">
        <v>16</v>
      </c>
      <c r="K871" t="s">
        <v>407</v>
      </c>
    </row>
    <row r="872" spans="1:11" x14ac:dyDescent="0.35">
      <c r="A872" t="s">
        <v>1689</v>
      </c>
      <c r="B872" t="s">
        <v>66</v>
      </c>
      <c r="C872" t="s">
        <v>2264</v>
      </c>
      <c r="D872">
        <v>3</v>
      </c>
      <c r="E872" t="s">
        <v>2494</v>
      </c>
      <c r="F872" t="s">
        <v>2495</v>
      </c>
      <c r="G872" t="s">
        <v>763</v>
      </c>
      <c r="H872" t="s">
        <v>405</v>
      </c>
      <c r="I872" t="s">
        <v>406</v>
      </c>
      <c r="J872" t="s">
        <v>16</v>
      </c>
      <c r="K872" t="s">
        <v>407</v>
      </c>
    </row>
    <row r="873" spans="1:11" x14ac:dyDescent="0.35">
      <c r="A873" t="s">
        <v>1690</v>
      </c>
      <c r="B873" t="s">
        <v>66</v>
      </c>
      <c r="C873" t="s">
        <v>2264</v>
      </c>
      <c r="D873">
        <v>3</v>
      </c>
      <c r="E873" t="s">
        <v>2383</v>
      </c>
      <c r="F873" t="s">
        <v>2484</v>
      </c>
      <c r="G873" t="s">
        <v>763</v>
      </c>
      <c r="H873" t="s">
        <v>405</v>
      </c>
      <c r="I873" t="s">
        <v>406</v>
      </c>
      <c r="J873" t="s">
        <v>16</v>
      </c>
      <c r="K873" t="s">
        <v>407</v>
      </c>
    </row>
    <row r="874" spans="1:11" x14ac:dyDescent="0.35">
      <c r="A874" t="s">
        <v>1691</v>
      </c>
      <c r="B874" t="s">
        <v>18</v>
      </c>
      <c r="C874" t="s">
        <v>2264</v>
      </c>
      <c r="D874">
        <v>5</v>
      </c>
      <c r="E874" t="s">
        <v>2347</v>
      </c>
      <c r="F874" t="s">
        <v>2360</v>
      </c>
      <c r="G874" t="s">
        <v>1692</v>
      </c>
      <c r="H874" t="s">
        <v>164</v>
      </c>
      <c r="I874" t="s">
        <v>165</v>
      </c>
      <c r="J874" t="s">
        <v>16</v>
      </c>
    </row>
    <row r="875" spans="1:11" x14ac:dyDescent="0.35">
      <c r="A875" t="s">
        <v>1693</v>
      </c>
      <c r="B875" t="s">
        <v>12</v>
      </c>
      <c r="C875" t="s">
        <v>2264</v>
      </c>
      <c r="D875">
        <v>3</v>
      </c>
      <c r="E875" t="s">
        <v>2774</v>
      </c>
      <c r="F875" t="s">
        <v>2808</v>
      </c>
      <c r="G875" t="s">
        <v>1694</v>
      </c>
      <c r="H875" t="s">
        <v>586</v>
      </c>
      <c r="I875" t="s">
        <v>587</v>
      </c>
      <c r="J875" t="s">
        <v>16</v>
      </c>
    </row>
    <row r="876" spans="1:11" x14ac:dyDescent="0.35">
      <c r="A876" t="s">
        <v>1695</v>
      </c>
      <c r="B876" t="s">
        <v>66</v>
      </c>
      <c r="C876" t="s">
        <v>2250</v>
      </c>
      <c r="D876">
        <v>4</v>
      </c>
      <c r="E876" t="s">
        <v>2647</v>
      </c>
      <c r="F876" t="s">
        <v>2809</v>
      </c>
      <c r="G876" t="s">
        <v>580</v>
      </c>
      <c r="H876" t="s">
        <v>373</v>
      </c>
      <c r="I876" t="s">
        <v>374</v>
      </c>
      <c r="J876" t="s">
        <v>16</v>
      </c>
      <c r="K876" t="s">
        <v>1696</v>
      </c>
    </row>
    <row r="877" spans="1:11" x14ac:dyDescent="0.35">
      <c r="A877" t="s">
        <v>1697</v>
      </c>
      <c r="B877" t="s">
        <v>66</v>
      </c>
      <c r="C877" t="s">
        <v>2268</v>
      </c>
      <c r="D877">
        <v>4</v>
      </c>
      <c r="E877" t="s">
        <v>2549</v>
      </c>
      <c r="F877" t="s">
        <v>2346</v>
      </c>
      <c r="G877" t="s">
        <v>670</v>
      </c>
      <c r="H877" t="s">
        <v>145</v>
      </c>
      <c r="I877" t="s">
        <v>146</v>
      </c>
      <c r="J877" t="s">
        <v>16</v>
      </c>
    </row>
    <row r="878" spans="1:11" x14ac:dyDescent="0.35">
      <c r="A878" t="s">
        <v>1698</v>
      </c>
      <c r="B878" t="s">
        <v>18</v>
      </c>
      <c r="C878" t="s">
        <v>2247</v>
      </c>
      <c r="D878">
        <v>4</v>
      </c>
      <c r="E878" t="s">
        <v>2589</v>
      </c>
      <c r="F878" t="s">
        <v>2324</v>
      </c>
      <c r="G878" t="s">
        <v>1245</v>
      </c>
      <c r="H878" t="s">
        <v>28</v>
      </c>
      <c r="I878" t="s">
        <v>29</v>
      </c>
      <c r="J878" t="s">
        <v>16</v>
      </c>
    </row>
    <row r="879" spans="1:11" x14ac:dyDescent="0.35">
      <c r="A879" t="s">
        <v>1699</v>
      </c>
      <c r="B879" t="s">
        <v>66</v>
      </c>
      <c r="C879" t="s">
        <v>2264</v>
      </c>
      <c r="D879">
        <v>3</v>
      </c>
      <c r="E879" t="s">
        <v>2402</v>
      </c>
      <c r="F879" t="s">
        <v>2353</v>
      </c>
      <c r="G879" t="s">
        <v>1700</v>
      </c>
      <c r="H879" t="s">
        <v>373</v>
      </c>
      <c r="I879" t="s">
        <v>374</v>
      </c>
      <c r="J879" t="s">
        <v>16</v>
      </c>
    </row>
    <row r="880" spans="1:11" x14ac:dyDescent="0.35">
      <c r="A880" t="s">
        <v>1701</v>
      </c>
      <c r="B880" t="s">
        <v>18</v>
      </c>
      <c r="C880" t="s">
        <v>2250</v>
      </c>
      <c r="D880">
        <v>5</v>
      </c>
      <c r="E880" t="s">
        <v>2810</v>
      </c>
      <c r="F880" t="s">
        <v>2423</v>
      </c>
      <c r="G880" t="s">
        <v>1551</v>
      </c>
      <c r="H880" t="s">
        <v>430</v>
      </c>
      <c r="I880" t="s">
        <v>431</v>
      </c>
      <c r="J880" t="s">
        <v>16</v>
      </c>
    </row>
    <row r="881" spans="1:11" x14ac:dyDescent="0.35">
      <c r="A881" t="s">
        <v>1702</v>
      </c>
      <c r="B881" t="s">
        <v>66</v>
      </c>
      <c r="C881" t="s">
        <v>2250</v>
      </c>
      <c r="D881">
        <v>3</v>
      </c>
      <c r="E881" t="s">
        <v>2413</v>
      </c>
      <c r="F881" t="s">
        <v>2249</v>
      </c>
      <c r="G881" t="s">
        <v>1182</v>
      </c>
      <c r="H881" t="s">
        <v>73</v>
      </c>
      <c r="I881" t="s">
        <v>74</v>
      </c>
      <c r="J881" t="s">
        <v>16</v>
      </c>
      <c r="K881" t="s">
        <v>624</v>
      </c>
    </row>
    <row r="882" spans="1:11" x14ac:dyDescent="0.35">
      <c r="A882" t="s">
        <v>1703</v>
      </c>
      <c r="B882" t="s">
        <v>66</v>
      </c>
      <c r="C882" t="s">
        <v>2250</v>
      </c>
      <c r="D882">
        <v>3</v>
      </c>
      <c r="E882" t="s">
        <v>2450</v>
      </c>
      <c r="F882" t="s">
        <v>2249</v>
      </c>
      <c r="G882" t="s">
        <v>1182</v>
      </c>
      <c r="H882" t="s">
        <v>73</v>
      </c>
      <c r="I882" t="s">
        <v>74</v>
      </c>
      <c r="J882" t="s">
        <v>16</v>
      </c>
      <c r="K882" t="s">
        <v>624</v>
      </c>
    </row>
    <row r="883" spans="1:11" x14ac:dyDescent="0.35">
      <c r="A883" t="s">
        <v>1704</v>
      </c>
      <c r="B883" t="s">
        <v>66</v>
      </c>
      <c r="C883" t="s">
        <v>2250</v>
      </c>
      <c r="D883">
        <v>3</v>
      </c>
      <c r="E883" t="s">
        <v>2413</v>
      </c>
      <c r="F883" t="s">
        <v>2249</v>
      </c>
      <c r="G883" t="s">
        <v>1705</v>
      </c>
      <c r="H883" t="s">
        <v>73</v>
      </c>
      <c r="I883" t="s">
        <v>74</v>
      </c>
      <c r="J883" t="s">
        <v>16</v>
      </c>
      <c r="K883" t="s">
        <v>624</v>
      </c>
    </row>
    <row r="884" spans="1:11" x14ac:dyDescent="0.35">
      <c r="A884" t="s">
        <v>1706</v>
      </c>
      <c r="B884" t="s">
        <v>12</v>
      </c>
      <c r="C884" t="s">
        <v>2268</v>
      </c>
      <c r="D884">
        <v>3</v>
      </c>
      <c r="E884" t="s">
        <v>2803</v>
      </c>
      <c r="F884" t="s">
        <v>2257</v>
      </c>
      <c r="G884" t="s">
        <v>1367</v>
      </c>
      <c r="H884" t="s">
        <v>405</v>
      </c>
      <c r="I884" t="s">
        <v>406</v>
      </c>
      <c r="J884" t="s">
        <v>16</v>
      </c>
      <c r="K884" t="s">
        <v>77</v>
      </c>
    </row>
    <row r="885" spans="1:11" x14ac:dyDescent="0.35">
      <c r="A885" t="s">
        <v>1707</v>
      </c>
      <c r="B885" t="s">
        <v>66</v>
      </c>
      <c r="C885" t="s">
        <v>2268</v>
      </c>
      <c r="D885">
        <v>3</v>
      </c>
      <c r="E885" t="s">
        <v>2811</v>
      </c>
      <c r="F885" t="s">
        <v>2645</v>
      </c>
      <c r="G885" t="s">
        <v>670</v>
      </c>
      <c r="H885" t="s">
        <v>145</v>
      </c>
      <c r="I885" t="s">
        <v>146</v>
      </c>
      <c r="J885" t="s">
        <v>16</v>
      </c>
    </row>
    <row r="886" spans="1:11" x14ac:dyDescent="0.35">
      <c r="A886" t="s">
        <v>1708</v>
      </c>
      <c r="B886" t="s">
        <v>18</v>
      </c>
      <c r="C886" t="s">
        <v>2264</v>
      </c>
      <c r="D886">
        <v>5</v>
      </c>
      <c r="E886" t="s">
        <v>2812</v>
      </c>
      <c r="F886" t="s">
        <v>2813</v>
      </c>
      <c r="G886" t="s">
        <v>1709</v>
      </c>
      <c r="H886" t="s">
        <v>28</v>
      </c>
      <c r="I886" t="s">
        <v>29</v>
      </c>
      <c r="J886" t="s">
        <v>16</v>
      </c>
      <c r="K886" t="s">
        <v>77</v>
      </c>
    </row>
    <row r="887" spans="1:11" x14ac:dyDescent="0.35">
      <c r="A887" t="s">
        <v>1710</v>
      </c>
      <c r="B887" t="s">
        <v>18</v>
      </c>
      <c r="C887" t="s">
        <v>2250</v>
      </c>
      <c r="D887">
        <v>5</v>
      </c>
      <c r="E887" t="s">
        <v>2258</v>
      </c>
      <c r="F887" t="s">
        <v>2753</v>
      </c>
      <c r="G887" t="s">
        <v>1245</v>
      </c>
      <c r="H887" t="s">
        <v>28</v>
      </c>
      <c r="I887" t="s">
        <v>29</v>
      </c>
      <c r="J887" t="s">
        <v>16</v>
      </c>
    </row>
    <row r="888" spans="1:11" x14ac:dyDescent="0.35">
      <c r="A888" t="s">
        <v>1711</v>
      </c>
      <c r="B888" t="s">
        <v>12</v>
      </c>
      <c r="C888" t="s">
        <v>2268</v>
      </c>
      <c r="D888">
        <v>3</v>
      </c>
      <c r="E888" t="s">
        <v>2799</v>
      </c>
      <c r="F888" t="s">
        <v>2449</v>
      </c>
      <c r="G888" t="s">
        <v>1146</v>
      </c>
      <c r="H888" t="s">
        <v>173</v>
      </c>
      <c r="I888" t="s">
        <v>174</v>
      </c>
      <c r="J888" t="s">
        <v>16</v>
      </c>
    </row>
    <row r="889" spans="1:11" x14ac:dyDescent="0.35">
      <c r="A889" t="s">
        <v>1712</v>
      </c>
      <c r="B889" t="s">
        <v>12</v>
      </c>
      <c r="C889" t="s">
        <v>2268</v>
      </c>
      <c r="D889">
        <v>4</v>
      </c>
      <c r="E889" t="s">
        <v>2389</v>
      </c>
      <c r="F889" t="s">
        <v>2317</v>
      </c>
      <c r="G889" t="s">
        <v>1397</v>
      </c>
      <c r="H889" t="s">
        <v>125</v>
      </c>
      <c r="I889" t="s">
        <v>126</v>
      </c>
      <c r="J889" t="s">
        <v>16</v>
      </c>
    </row>
    <row r="890" spans="1:11" x14ac:dyDescent="0.35">
      <c r="A890" t="s">
        <v>1713</v>
      </c>
      <c r="B890" t="s">
        <v>18</v>
      </c>
      <c r="C890" t="s">
        <v>2250</v>
      </c>
      <c r="D890">
        <v>6</v>
      </c>
      <c r="E890" t="s">
        <v>2814</v>
      </c>
      <c r="F890" t="s">
        <v>2815</v>
      </c>
      <c r="G890" t="s">
        <v>1714</v>
      </c>
      <c r="H890" t="s">
        <v>35</v>
      </c>
      <c r="I890" t="s">
        <v>36</v>
      </c>
      <c r="J890" t="s">
        <v>16</v>
      </c>
      <c r="K890" t="s">
        <v>1573</v>
      </c>
    </row>
    <row r="891" spans="1:11" x14ac:dyDescent="0.35">
      <c r="A891" t="s">
        <v>1715</v>
      </c>
      <c r="B891" t="s">
        <v>12</v>
      </c>
      <c r="C891" t="s">
        <v>2268</v>
      </c>
      <c r="D891">
        <v>5</v>
      </c>
      <c r="E891" t="s">
        <v>2799</v>
      </c>
      <c r="F891" t="s">
        <v>2331</v>
      </c>
      <c r="G891" t="s">
        <v>1146</v>
      </c>
      <c r="H891" t="s">
        <v>173</v>
      </c>
      <c r="I891" t="s">
        <v>174</v>
      </c>
      <c r="J891" t="s">
        <v>16</v>
      </c>
    </row>
    <row r="892" spans="1:11" x14ac:dyDescent="0.35">
      <c r="A892" t="s">
        <v>1716</v>
      </c>
      <c r="B892" t="s">
        <v>2274</v>
      </c>
      <c r="C892" t="s">
        <v>2268</v>
      </c>
      <c r="D892">
        <v>3</v>
      </c>
      <c r="E892" t="s">
        <v>2816</v>
      </c>
      <c r="F892" t="s">
        <v>2280</v>
      </c>
      <c r="G892" t="s">
        <v>1717</v>
      </c>
      <c r="H892" t="s">
        <v>35</v>
      </c>
      <c r="I892" t="s">
        <v>36</v>
      </c>
      <c r="J892" t="s">
        <v>16</v>
      </c>
    </row>
    <row r="893" spans="1:11" x14ac:dyDescent="0.35">
      <c r="A893" t="s">
        <v>1718</v>
      </c>
      <c r="B893" t="s">
        <v>18</v>
      </c>
      <c r="C893" t="s">
        <v>2247</v>
      </c>
      <c r="D893">
        <v>6</v>
      </c>
      <c r="E893" t="s">
        <v>2812</v>
      </c>
      <c r="F893" t="s">
        <v>2333</v>
      </c>
      <c r="G893" t="s">
        <v>647</v>
      </c>
      <c r="H893" t="s">
        <v>145</v>
      </c>
      <c r="I893" t="s">
        <v>146</v>
      </c>
      <c r="J893" t="s">
        <v>16</v>
      </c>
      <c r="K893" t="s">
        <v>1719</v>
      </c>
    </row>
    <row r="894" spans="1:11" x14ac:dyDescent="0.35">
      <c r="A894" t="s">
        <v>1720</v>
      </c>
      <c r="B894" t="s">
        <v>18</v>
      </c>
      <c r="C894" t="s">
        <v>2247</v>
      </c>
      <c r="D894">
        <v>6</v>
      </c>
      <c r="E894" t="s">
        <v>2347</v>
      </c>
      <c r="F894" t="s">
        <v>2360</v>
      </c>
      <c r="G894" t="s">
        <v>1721</v>
      </c>
      <c r="H894" t="s">
        <v>164</v>
      </c>
      <c r="I894" t="s">
        <v>165</v>
      </c>
      <c r="J894" t="s">
        <v>16</v>
      </c>
    </row>
    <row r="895" spans="1:11" x14ac:dyDescent="0.35">
      <c r="A895" t="s">
        <v>1722</v>
      </c>
      <c r="B895" t="s">
        <v>66</v>
      </c>
      <c r="C895" t="s">
        <v>2268</v>
      </c>
      <c r="D895">
        <v>3</v>
      </c>
      <c r="E895" t="s">
        <v>2609</v>
      </c>
      <c r="F895" t="s">
        <v>2696</v>
      </c>
      <c r="G895" t="s">
        <v>623</v>
      </c>
      <c r="H895" t="s">
        <v>73</v>
      </c>
      <c r="I895" t="s">
        <v>74</v>
      </c>
      <c r="J895" t="s">
        <v>16</v>
      </c>
      <c r="K895" t="s">
        <v>50</v>
      </c>
    </row>
    <row r="896" spans="1:11" x14ac:dyDescent="0.35">
      <c r="A896" t="s">
        <v>1723</v>
      </c>
      <c r="B896" t="s">
        <v>18</v>
      </c>
      <c r="C896" t="s">
        <v>2250</v>
      </c>
      <c r="D896">
        <v>5</v>
      </c>
      <c r="E896" t="s">
        <v>2817</v>
      </c>
      <c r="F896" t="s">
        <v>2360</v>
      </c>
      <c r="G896" t="s">
        <v>1709</v>
      </c>
      <c r="H896" t="s">
        <v>28</v>
      </c>
      <c r="I896" t="s">
        <v>29</v>
      </c>
      <c r="J896" t="s">
        <v>16</v>
      </c>
    </row>
    <row r="897" spans="1:11" x14ac:dyDescent="0.35">
      <c r="A897" t="s">
        <v>1724</v>
      </c>
      <c r="B897" t="s">
        <v>18</v>
      </c>
      <c r="C897" t="s">
        <v>2359</v>
      </c>
      <c r="D897">
        <v>7</v>
      </c>
      <c r="E897" t="s">
        <v>2289</v>
      </c>
      <c r="F897" t="s">
        <v>2449</v>
      </c>
      <c r="G897" t="s">
        <v>1725</v>
      </c>
      <c r="H897" t="s">
        <v>772</v>
      </c>
      <c r="I897" t="s">
        <v>773</v>
      </c>
      <c r="J897" t="s">
        <v>16</v>
      </c>
      <c r="K897" t="s">
        <v>948</v>
      </c>
    </row>
    <row r="898" spans="1:11" x14ac:dyDescent="0.35">
      <c r="A898" t="s">
        <v>1726</v>
      </c>
      <c r="B898" t="s">
        <v>66</v>
      </c>
      <c r="C898" t="s">
        <v>2268</v>
      </c>
      <c r="D898">
        <v>3</v>
      </c>
      <c r="E898" t="s">
        <v>2818</v>
      </c>
      <c r="F898" t="s">
        <v>2819</v>
      </c>
      <c r="G898" t="s">
        <v>1727</v>
      </c>
      <c r="H898" t="s">
        <v>145</v>
      </c>
      <c r="I898" t="s">
        <v>146</v>
      </c>
      <c r="J898" t="s">
        <v>16</v>
      </c>
      <c r="K898" t="s">
        <v>284</v>
      </c>
    </row>
    <row r="899" spans="1:11" x14ac:dyDescent="0.35">
      <c r="A899" t="s">
        <v>1728</v>
      </c>
      <c r="B899" t="s">
        <v>12</v>
      </c>
      <c r="C899" t="s">
        <v>2264</v>
      </c>
      <c r="D899">
        <v>3</v>
      </c>
      <c r="E899" t="s">
        <v>2389</v>
      </c>
      <c r="F899" t="s">
        <v>2420</v>
      </c>
      <c r="G899" t="s">
        <v>317</v>
      </c>
      <c r="H899" t="s">
        <v>14</v>
      </c>
      <c r="I899" t="s">
        <v>15</v>
      </c>
      <c r="J899" t="s">
        <v>16</v>
      </c>
      <c r="K899" t="s">
        <v>50</v>
      </c>
    </row>
    <row r="900" spans="1:11" x14ac:dyDescent="0.35">
      <c r="A900" t="s">
        <v>1729</v>
      </c>
      <c r="B900" t="s">
        <v>18</v>
      </c>
      <c r="C900" t="s">
        <v>2268</v>
      </c>
      <c r="D900">
        <v>4</v>
      </c>
      <c r="E900" t="s">
        <v>2820</v>
      </c>
      <c r="F900" t="s">
        <v>2821</v>
      </c>
      <c r="G900" t="s">
        <v>1730</v>
      </c>
      <c r="H900" t="s">
        <v>1731</v>
      </c>
      <c r="I900" t="s">
        <v>1732</v>
      </c>
      <c r="J900" t="s">
        <v>16</v>
      </c>
      <c r="K900" t="s">
        <v>1602</v>
      </c>
    </row>
    <row r="901" spans="1:11" x14ac:dyDescent="0.35">
      <c r="A901" t="s">
        <v>1733</v>
      </c>
      <c r="B901" t="s">
        <v>12</v>
      </c>
      <c r="C901" t="s">
        <v>2250</v>
      </c>
      <c r="D901">
        <v>5</v>
      </c>
      <c r="E901" t="s">
        <v>2799</v>
      </c>
      <c r="F901" t="s">
        <v>2822</v>
      </c>
      <c r="G901" t="s">
        <v>1293</v>
      </c>
      <c r="H901" t="s">
        <v>169</v>
      </c>
      <c r="I901" t="s">
        <v>170</v>
      </c>
      <c r="J901" t="s">
        <v>16</v>
      </c>
      <c r="K901" t="s">
        <v>392</v>
      </c>
    </row>
    <row r="902" spans="1:11" x14ac:dyDescent="0.35">
      <c r="A902" t="s">
        <v>1734</v>
      </c>
      <c r="B902" t="s">
        <v>12</v>
      </c>
      <c r="C902" t="s">
        <v>2268</v>
      </c>
      <c r="D902">
        <v>3</v>
      </c>
      <c r="E902" t="s">
        <v>2406</v>
      </c>
      <c r="F902" t="s">
        <v>2346</v>
      </c>
      <c r="G902" t="s">
        <v>1735</v>
      </c>
      <c r="H902" t="s">
        <v>48</v>
      </c>
      <c r="I902" t="s">
        <v>49</v>
      </c>
      <c r="J902" t="s">
        <v>16</v>
      </c>
    </row>
    <row r="903" spans="1:11" x14ac:dyDescent="0.35">
      <c r="A903" t="s">
        <v>1736</v>
      </c>
      <c r="B903" t="s">
        <v>18</v>
      </c>
      <c r="C903" t="s">
        <v>2253</v>
      </c>
      <c r="D903">
        <v>10</v>
      </c>
      <c r="E903" t="s">
        <v>2823</v>
      </c>
      <c r="F903" t="s">
        <v>2515</v>
      </c>
      <c r="G903" t="s">
        <v>1737</v>
      </c>
      <c r="H903" t="s">
        <v>354</v>
      </c>
      <c r="I903" t="s">
        <v>355</v>
      </c>
      <c r="J903" t="s">
        <v>16</v>
      </c>
    </row>
    <row r="904" spans="1:11" x14ac:dyDescent="0.35">
      <c r="A904" t="s">
        <v>1738</v>
      </c>
      <c r="B904" t="s">
        <v>12</v>
      </c>
      <c r="C904" t="s">
        <v>2264</v>
      </c>
      <c r="D904">
        <v>4</v>
      </c>
      <c r="E904" t="s">
        <v>2389</v>
      </c>
      <c r="F904" t="s">
        <v>2420</v>
      </c>
      <c r="G904" t="s">
        <v>317</v>
      </c>
      <c r="H904" t="s">
        <v>14</v>
      </c>
      <c r="I904" t="s">
        <v>15</v>
      </c>
      <c r="J904" t="s">
        <v>16</v>
      </c>
    </row>
    <row r="905" spans="1:11" x14ac:dyDescent="0.35">
      <c r="A905" t="s">
        <v>1739</v>
      </c>
      <c r="B905" t="s">
        <v>2274</v>
      </c>
      <c r="C905" t="s">
        <v>2268</v>
      </c>
      <c r="D905">
        <v>3</v>
      </c>
      <c r="E905" t="s">
        <v>2824</v>
      </c>
      <c r="F905" t="s">
        <v>2307</v>
      </c>
      <c r="G905" t="s">
        <v>1740</v>
      </c>
      <c r="H905" t="s">
        <v>1741</v>
      </c>
      <c r="I905" t="s">
        <v>1742</v>
      </c>
      <c r="J905" t="s">
        <v>16</v>
      </c>
    </row>
    <row r="906" spans="1:11" x14ac:dyDescent="0.35">
      <c r="A906" t="s">
        <v>1743</v>
      </c>
      <c r="B906" t="s">
        <v>66</v>
      </c>
      <c r="C906" t="s">
        <v>2268</v>
      </c>
      <c r="D906">
        <v>3</v>
      </c>
      <c r="E906" t="s">
        <v>2722</v>
      </c>
      <c r="F906" t="s">
        <v>2723</v>
      </c>
      <c r="G906" t="s">
        <v>1744</v>
      </c>
      <c r="H906" t="s">
        <v>405</v>
      </c>
      <c r="I906" t="s">
        <v>406</v>
      </c>
      <c r="J906" t="s">
        <v>16</v>
      </c>
      <c r="K906" t="s">
        <v>407</v>
      </c>
    </row>
    <row r="907" spans="1:11" x14ac:dyDescent="0.35">
      <c r="A907" t="s">
        <v>1745</v>
      </c>
      <c r="B907" t="s">
        <v>18</v>
      </c>
      <c r="C907" t="s">
        <v>2297</v>
      </c>
      <c r="D907">
        <v>7</v>
      </c>
      <c r="E907" t="s">
        <v>2358</v>
      </c>
      <c r="F907" t="s">
        <v>2423</v>
      </c>
      <c r="G907" t="s">
        <v>163</v>
      </c>
      <c r="H907" t="s">
        <v>164</v>
      </c>
      <c r="I907" t="s">
        <v>165</v>
      </c>
      <c r="J907" t="s">
        <v>16</v>
      </c>
    </row>
    <row r="908" spans="1:11" x14ac:dyDescent="0.35">
      <c r="A908" t="s">
        <v>1746</v>
      </c>
      <c r="B908" t="s">
        <v>18</v>
      </c>
      <c r="C908" t="s">
        <v>2250</v>
      </c>
      <c r="D908">
        <v>5</v>
      </c>
      <c r="E908" t="s">
        <v>2347</v>
      </c>
      <c r="F908" t="s">
        <v>2735</v>
      </c>
      <c r="G908" t="s">
        <v>1747</v>
      </c>
      <c r="H908" t="s">
        <v>28</v>
      </c>
      <c r="I908" t="s">
        <v>29</v>
      </c>
      <c r="J908" t="s">
        <v>16</v>
      </c>
      <c r="K908" t="s">
        <v>1602</v>
      </c>
    </row>
    <row r="909" spans="1:11" x14ac:dyDescent="0.35">
      <c r="A909" t="s">
        <v>1748</v>
      </c>
      <c r="B909" t="s">
        <v>18</v>
      </c>
      <c r="C909" t="s">
        <v>2359</v>
      </c>
      <c r="D909">
        <v>5</v>
      </c>
      <c r="E909" t="s">
        <v>2419</v>
      </c>
      <c r="F909" t="s">
        <v>2449</v>
      </c>
      <c r="G909" t="s">
        <v>1749</v>
      </c>
      <c r="H909" t="s">
        <v>849</v>
      </c>
      <c r="I909" t="s">
        <v>850</v>
      </c>
      <c r="J909" t="s">
        <v>16</v>
      </c>
      <c r="K909" t="s">
        <v>1602</v>
      </c>
    </row>
    <row r="910" spans="1:11" x14ac:dyDescent="0.35">
      <c r="A910" t="s">
        <v>672</v>
      </c>
      <c r="B910" t="s">
        <v>66</v>
      </c>
      <c r="C910" t="s">
        <v>2268</v>
      </c>
      <c r="D910">
        <v>3</v>
      </c>
      <c r="E910" t="s">
        <v>2342</v>
      </c>
      <c r="F910" t="s">
        <v>2343</v>
      </c>
      <c r="G910" t="s">
        <v>599</v>
      </c>
      <c r="H910" t="s">
        <v>195</v>
      </c>
      <c r="I910" t="s">
        <v>196</v>
      </c>
      <c r="J910" t="s">
        <v>16</v>
      </c>
      <c r="K910" t="s">
        <v>50</v>
      </c>
    </row>
    <row r="911" spans="1:11" x14ac:dyDescent="0.35">
      <c r="A911" t="s">
        <v>1750</v>
      </c>
      <c r="B911" t="s">
        <v>18</v>
      </c>
      <c r="C911" t="s">
        <v>2250</v>
      </c>
      <c r="D911">
        <v>5</v>
      </c>
      <c r="E911" t="s">
        <v>2302</v>
      </c>
      <c r="F911" t="s">
        <v>2683</v>
      </c>
      <c r="G911" t="s">
        <v>1751</v>
      </c>
      <c r="H911" t="s">
        <v>164</v>
      </c>
      <c r="I911" t="s">
        <v>165</v>
      </c>
      <c r="J911" t="s">
        <v>16</v>
      </c>
      <c r="K911" t="s">
        <v>892</v>
      </c>
    </row>
    <row r="912" spans="1:11" x14ac:dyDescent="0.35">
      <c r="A912" t="s">
        <v>1752</v>
      </c>
      <c r="B912" t="s">
        <v>12</v>
      </c>
      <c r="C912" t="s">
        <v>2264</v>
      </c>
      <c r="D912">
        <v>3</v>
      </c>
      <c r="E912" t="s">
        <v>2503</v>
      </c>
      <c r="F912" t="s">
        <v>2331</v>
      </c>
      <c r="G912" t="s">
        <v>283</v>
      </c>
      <c r="H912" t="s">
        <v>145</v>
      </c>
      <c r="I912" t="s">
        <v>146</v>
      </c>
      <c r="J912" t="s">
        <v>16</v>
      </c>
    </row>
    <row r="913" spans="1:11" x14ac:dyDescent="0.35">
      <c r="A913" t="s">
        <v>1753</v>
      </c>
      <c r="B913" t="s">
        <v>12</v>
      </c>
      <c r="C913" t="s">
        <v>2264</v>
      </c>
      <c r="D913">
        <v>5</v>
      </c>
      <c r="E913" t="s">
        <v>2825</v>
      </c>
      <c r="F913" t="s">
        <v>2423</v>
      </c>
      <c r="G913" t="s">
        <v>283</v>
      </c>
      <c r="H913" t="s">
        <v>145</v>
      </c>
      <c r="I913" t="s">
        <v>146</v>
      </c>
      <c r="J913" t="s">
        <v>16</v>
      </c>
      <c r="K913" t="s">
        <v>284</v>
      </c>
    </row>
    <row r="914" spans="1:11" x14ac:dyDescent="0.35">
      <c r="A914" t="s">
        <v>1754</v>
      </c>
      <c r="B914" t="s">
        <v>18</v>
      </c>
      <c r="C914" t="s">
        <v>2297</v>
      </c>
      <c r="D914">
        <v>6</v>
      </c>
      <c r="E914" t="s">
        <v>2347</v>
      </c>
      <c r="F914" t="s">
        <v>2826</v>
      </c>
      <c r="G914" t="s">
        <v>1503</v>
      </c>
      <c r="H914" t="s">
        <v>164</v>
      </c>
      <c r="I914" t="s">
        <v>165</v>
      </c>
      <c r="J914" t="s">
        <v>16</v>
      </c>
      <c r="K914" t="s">
        <v>624</v>
      </c>
    </row>
    <row r="915" spans="1:11" x14ac:dyDescent="0.35">
      <c r="A915" t="s">
        <v>1755</v>
      </c>
      <c r="B915" t="s">
        <v>18</v>
      </c>
      <c r="C915" t="s">
        <v>2297</v>
      </c>
      <c r="D915">
        <v>6</v>
      </c>
      <c r="E915" t="s">
        <v>2347</v>
      </c>
      <c r="F915" t="s">
        <v>2826</v>
      </c>
      <c r="G915" t="s">
        <v>1756</v>
      </c>
      <c r="H915" t="s">
        <v>164</v>
      </c>
      <c r="I915" t="s">
        <v>165</v>
      </c>
      <c r="J915" t="s">
        <v>16</v>
      </c>
      <c r="K915" t="s">
        <v>624</v>
      </c>
    </row>
    <row r="916" spans="1:11" x14ac:dyDescent="0.35">
      <c r="A916" t="s">
        <v>1757</v>
      </c>
      <c r="B916" t="s">
        <v>66</v>
      </c>
      <c r="C916" t="s">
        <v>2268</v>
      </c>
      <c r="D916">
        <v>4</v>
      </c>
      <c r="E916" t="s">
        <v>2378</v>
      </c>
      <c r="F916" t="s">
        <v>2379</v>
      </c>
      <c r="G916" t="s">
        <v>261</v>
      </c>
      <c r="H916" t="s">
        <v>186</v>
      </c>
      <c r="I916" t="s">
        <v>187</v>
      </c>
      <c r="J916" t="s">
        <v>16</v>
      </c>
      <c r="K916" t="s">
        <v>50</v>
      </c>
    </row>
    <row r="917" spans="1:11" x14ac:dyDescent="0.35">
      <c r="A917" t="s">
        <v>1758</v>
      </c>
      <c r="B917" t="s">
        <v>66</v>
      </c>
      <c r="C917" t="s">
        <v>2268</v>
      </c>
      <c r="D917">
        <v>3</v>
      </c>
      <c r="E917" t="s">
        <v>2609</v>
      </c>
      <c r="F917" t="s">
        <v>2696</v>
      </c>
      <c r="G917" t="s">
        <v>623</v>
      </c>
      <c r="H917" t="s">
        <v>73</v>
      </c>
      <c r="I917" t="s">
        <v>74</v>
      </c>
      <c r="J917" t="s">
        <v>16</v>
      </c>
      <c r="K917" t="s">
        <v>50</v>
      </c>
    </row>
    <row r="918" spans="1:11" x14ac:dyDescent="0.35">
      <c r="A918" t="s">
        <v>1759</v>
      </c>
      <c r="B918" t="s">
        <v>66</v>
      </c>
      <c r="C918" t="s">
        <v>2268</v>
      </c>
      <c r="D918">
        <v>3</v>
      </c>
      <c r="E918" t="s">
        <v>2389</v>
      </c>
      <c r="F918" t="s">
        <v>2341</v>
      </c>
      <c r="G918" t="s">
        <v>138</v>
      </c>
      <c r="H918" t="s">
        <v>14</v>
      </c>
      <c r="I918" t="s">
        <v>15</v>
      </c>
      <c r="J918" t="s">
        <v>16</v>
      </c>
      <c r="K918" t="s">
        <v>50</v>
      </c>
    </row>
    <row r="919" spans="1:11" x14ac:dyDescent="0.35">
      <c r="A919" t="s">
        <v>1760</v>
      </c>
      <c r="B919" t="s">
        <v>18</v>
      </c>
      <c r="C919" t="s">
        <v>2332</v>
      </c>
      <c r="D919">
        <v>6</v>
      </c>
      <c r="E919" t="s">
        <v>2355</v>
      </c>
      <c r="F919" t="s">
        <v>2407</v>
      </c>
      <c r="G919" t="s">
        <v>1022</v>
      </c>
      <c r="H919" t="s">
        <v>125</v>
      </c>
      <c r="I919" t="s">
        <v>126</v>
      </c>
      <c r="J919" t="s">
        <v>16</v>
      </c>
      <c r="K919" t="s">
        <v>624</v>
      </c>
    </row>
    <row r="920" spans="1:11" x14ac:dyDescent="0.35">
      <c r="A920" t="s">
        <v>1761</v>
      </c>
      <c r="B920" t="s">
        <v>18</v>
      </c>
      <c r="C920" t="s">
        <v>2264</v>
      </c>
      <c r="D920">
        <v>3</v>
      </c>
      <c r="E920" t="s">
        <v>2355</v>
      </c>
      <c r="F920" t="s">
        <v>2407</v>
      </c>
      <c r="G920" t="s">
        <v>1022</v>
      </c>
      <c r="H920" t="s">
        <v>125</v>
      </c>
      <c r="I920" t="s">
        <v>126</v>
      </c>
      <c r="J920" t="s">
        <v>16</v>
      </c>
      <c r="K920" t="s">
        <v>624</v>
      </c>
    </row>
    <row r="921" spans="1:11" x14ac:dyDescent="0.35">
      <c r="A921" t="s">
        <v>1762</v>
      </c>
      <c r="B921" t="s">
        <v>18</v>
      </c>
      <c r="C921" t="s">
        <v>2332</v>
      </c>
      <c r="D921">
        <v>6</v>
      </c>
      <c r="E921" t="s">
        <v>2355</v>
      </c>
      <c r="F921" t="s">
        <v>2407</v>
      </c>
      <c r="G921" t="s">
        <v>1022</v>
      </c>
      <c r="H921" t="s">
        <v>125</v>
      </c>
      <c r="I921" t="s">
        <v>126</v>
      </c>
      <c r="J921" t="s">
        <v>16</v>
      </c>
      <c r="K921" t="s">
        <v>624</v>
      </c>
    </row>
    <row r="922" spans="1:11" x14ac:dyDescent="0.35">
      <c r="A922" t="s">
        <v>1763</v>
      </c>
      <c r="B922" t="s">
        <v>18</v>
      </c>
      <c r="C922" t="s">
        <v>2332</v>
      </c>
      <c r="D922">
        <v>6</v>
      </c>
      <c r="E922" t="s">
        <v>2355</v>
      </c>
      <c r="F922" t="s">
        <v>2407</v>
      </c>
      <c r="G922" t="s">
        <v>1022</v>
      </c>
      <c r="H922" t="s">
        <v>125</v>
      </c>
      <c r="I922" t="s">
        <v>126</v>
      </c>
      <c r="J922" t="s">
        <v>16</v>
      </c>
      <c r="K922" t="s">
        <v>624</v>
      </c>
    </row>
    <row r="923" spans="1:11" x14ac:dyDescent="0.35">
      <c r="A923" t="s">
        <v>794</v>
      </c>
      <c r="B923" t="s">
        <v>66</v>
      </c>
      <c r="C923" t="s">
        <v>2264</v>
      </c>
      <c r="D923">
        <v>3</v>
      </c>
      <c r="E923" t="s">
        <v>2482</v>
      </c>
      <c r="F923" t="s">
        <v>2313</v>
      </c>
      <c r="G923" t="s">
        <v>138</v>
      </c>
      <c r="H923" t="s">
        <v>14</v>
      </c>
      <c r="I923" t="s">
        <v>15</v>
      </c>
      <c r="J923" t="s">
        <v>16</v>
      </c>
      <c r="K923" t="s">
        <v>50</v>
      </c>
    </row>
    <row r="924" spans="1:11" x14ac:dyDescent="0.35">
      <c r="A924" t="s">
        <v>1764</v>
      </c>
      <c r="B924" t="s">
        <v>66</v>
      </c>
      <c r="C924" t="s">
        <v>2264</v>
      </c>
      <c r="D924">
        <v>3</v>
      </c>
      <c r="E924" t="s">
        <v>2315</v>
      </c>
      <c r="F924" t="s">
        <v>2392</v>
      </c>
      <c r="G924" t="s">
        <v>1765</v>
      </c>
      <c r="H924" t="s">
        <v>68</v>
      </c>
      <c r="I924" t="s">
        <v>69</v>
      </c>
      <c r="J924" t="s">
        <v>16</v>
      </c>
      <c r="K924" t="s">
        <v>426</v>
      </c>
    </row>
    <row r="925" spans="1:11" x14ac:dyDescent="0.35">
      <c r="A925" t="s">
        <v>1766</v>
      </c>
      <c r="B925" t="s">
        <v>18</v>
      </c>
      <c r="C925" t="s">
        <v>2359</v>
      </c>
      <c r="D925">
        <v>6</v>
      </c>
      <c r="E925" t="s">
        <v>2712</v>
      </c>
      <c r="F925" t="s">
        <v>2326</v>
      </c>
      <c r="G925" t="s">
        <v>807</v>
      </c>
      <c r="H925" t="s">
        <v>169</v>
      </c>
      <c r="I925" t="s">
        <v>170</v>
      </c>
      <c r="J925" t="s">
        <v>16</v>
      </c>
      <c r="K925" t="s">
        <v>624</v>
      </c>
    </row>
    <row r="926" spans="1:11" x14ac:dyDescent="0.35">
      <c r="A926" t="s">
        <v>1767</v>
      </c>
      <c r="B926" t="s">
        <v>18</v>
      </c>
      <c r="C926" t="s">
        <v>2359</v>
      </c>
      <c r="D926">
        <v>6</v>
      </c>
      <c r="E926" t="s">
        <v>2712</v>
      </c>
      <c r="F926" t="s">
        <v>2326</v>
      </c>
      <c r="G926" t="s">
        <v>1768</v>
      </c>
      <c r="H926" t="s">
        <v>169</v>
      </c>
      <c r="I926" t="s">
        <v>170</v>
      </c>
      <c r="J926" t="s">
        <v>16</v>
      </c>
      <c r="K926" t="s">
        <v>624</v>
      </c>
    </row>
    <row r="927" spans="1:11" x14ac:dyDescent="0.35">
      <c r="A927" t="s">
        <v>1769</v>
      </c>
      <c r="B927" t="s">
        <v>12</v>
      </c>
      <c r="C927" t="s">
        <v>2250</v>
      </c>
      <c r="D927">
        <v>4</v>
      </c>
      <c r="E927" t="s">
        <v>2389</v>
      </c>
      <c r="F927" t="s">
        <v>2346</v>
      </c>
      <c r="G927" t="s">
        <v>1293</v>
      </c>
      <c r="H927" t="s">
        <v>169</v>
      </c>
      <c r="I927" t="s">
        <v>170</v>
      </c>
      <c r="J927" t="s">
        <v>16</v>
      </c>
    </row>
    <row r="928" spans="1:11" x14ac:dyDescent="0.35">
      <c r="A928" t="s">
        <v>1770</v>
      </c>
      <c r="B928" t="s">
        <v>12</v>
      </c>
      <c r="C928" t="s">
        <v>2268</v>
      </c>
      <c r="D928">
        <v>3</v>
      </c>
      <c r="E928" t="s">
        <v>2467</v>
      </c>
      <c r="F928" t="s">
        <v>2356</v>
      </c>
      <c r="G928" t="s">
        <v>1771</v>
      </c>
      <c r="H928" t="s">
        <v>430</v>
      </c>
      <c r="I928" t="s">
        <v>431</v>
      </c>
      <c r="J928" t="s">
        <v>16</v>
      </c>
    </row>
    <row r="929" spans="1:11" x14ac:dyDescent="0.35">
      <c r="A929" t="s">
        <v>1772</v>
      </c>
      <c r="B929" t="s">
        <v>12</v>
      </c>
      <c r="C929" t="s">
        <v>2250</v>
      </c>
      <c r="D929">
        <v>4</v>
      </c>
      <c r="E929" t="s">
        <v>2389</v>
      </c>
      <c r="F929" t="s">
        <v>2346</v>
      </c>
      <c r="G929" t="s">
        <v>1293</v>
      </c>
      <c r="H929" t="s">
        <v>169</v>
      </c>
      <c r="I929" t="s">
        <v>170</v>
      </c>
      <c r="J929" t="s">
        <v>16</v>
      </c>
    </row>
    <row r="930" spans="1:11" x14ac:dyDescent="0.35">
      <c r="A930" t="s">
        <v>1773</v>
      </c>
      <c r="B930" t="s">
        <v>12</v>
      </c>
      <c r="C930" t="s">
        <v>2250</v>
      </c>
      <c r="D930">
        <v>3</v>
      </c>
      <c r="E930" t="s">
        <v>2490</v>
      </c>
      <c r="F930" t="s">
        <v>2249</v>
      </c>
      <c r="G930" t="s">
        <v>1774</v>
      </c>
      <c r="H930" t="s">
        <v>373</v>
      </c>
      <c r="I930" t="s">
        <v>374</v>
      </c>
      <c r="J930" t="s">
        <v>16</v>
      </c>
    </row>
    <row r="931" spans="1:11" x14ac:dyDescent="0.35">
      <c r="A931" t="s">
        <v>1775</v>
      </c>
      <c r="B931" t="s">
        <v>12</v>
      </c>
      <c r="C931" t="s">
        <v>2250</v>
      </c>
      <c r="D931">
        <v>4</v>
      </c>
      <c r="E931" t="s">
        <v>2350</v>
      </c>
      <c r="F931" t="s">
        <v>2351</v>
      </c>
      <c r="G931" t="s">
        <v>410</v>
      </c>
      <c r="H931" t="s">
        <v>169</v>
      </c>
      <c r="I931" t="s">
        <v>170</v>
      </c>
      <c r="J931" t="s">
        <v>16</v>
      </c>
      <c r="K931" t="s">
        <v>624</v>
      </c>
    </row>
    <row r="932" spans="1:11" x14ac:dyDescent="0.35">
      <c r="A932" t="s">
        <v>1776</v>
      </c>
      <c r="B932" t="s">
        <v>12</v>
      </c>
      <c r="C932" t="s">
        <v>2268</v>
      </c>
      <c r="D932">
        <v>3</v>
      </c>
      <c r="E932" t="s">
        <v>2490</v>
      </c>
      <c r="F932" t="s">
        <v>2249</v>
      </c>
      <c r="G932" t="s">
        <v>1774</v>
      </c>
      <c r="H932" t="s">
        <v>373</v>
      </c>
      <c r="I932" t="s">
        <v>374</v>
      </c>
      <c r="J932" t="s">
        <v>16</v>
      </c>
      <c r="K932" t="s">
        <v>624</v>
      </c>
    </row>
    <row r="933" spans="1:11" x14ac:dyDescent="0.35">
      <c r="A933" t="s">
        <v>1777</v>
      </c>
      <c r="B933" t="s">
        <v>66</v>
      </c>
      <c r="C933" t="s">
        <v>2264</v>
      </c>
      <c r="D933">
        <v>3</v>
      </c>
      <c r="E933" t="s">
        <v>2722</v>
      </c>
      <c r="F933" t="s">
        <v>2723</v>
      </c>
      <c r="G933" t="s">
        <v>1778</v>
      </c>
      <c r="H933" t="s">
        <v>405</v>
      </c>
      <c r="I933" t="s">
        <v>406</v>
      </c>
      <c r="J933" t="s">
        <v>16</v>
      </c>
      <c r="K933" t="s">
        <v>407</v>
      </c>
    </row>
    <row r="934" spans="1:11" x14ac:dyDescent="0.35">
      <c r="A934" t="s">
        <v>1779</v>
      </c>
      <c r="B934" t="s">
        <v>12</v>
      </c>
      <c r="C934" t="s">
        <v>2264</v>
      </c>
      <c r="D934">
        <v>4</v>
      </c>
      <c r="E934" t="s">
        <v>2772</v>
      </c>
      <c r="F934" t="s">
        <v>2351</v>
      </c>
      <c r="G934" t="s">
        <v>1220</v>
      </c>
      <c r="H934" t="s">
        <v>405</v>
      </c>
      <c r="I934" t="s">
        <v>406</v>
      </c>
      <c r="J934" t="s">
        <v>16</v>
      </c>
      <c r="K934" t="s">
        <v>407</v>
      </c>
    </row>
    <row r="935" spans="1:11" x14ac:dyDescent="0.35">
      <c r="A935" t="s">
        <v>1780</v>
      </c>
      <c r="B935" t="s">
        <v>12</v>
      </c>
      <c r="C935" t="s">
        <v>2264</v>
      </c>
      <c r="D935">
        <v>4</v>
      </c>
      <c r="E935" t="s">
        <v>2474</v>
      </c>
      <c r="F935" t="s">
        <v>2351</v>
      </c>
      <c r="G935" t="s">
        <v>1781</v>
      </c>
      <c r="H935" t="s">
        <v>405</v>
      </c>
      <c r="I935" t="s">
        <v>406</v>
      </c>
      <c r="J935" t="s">
        <v>16</v>
      </c>
      <c r="K935" t="s">
        <v>407</v>
      </c>
    </row>
    <row r="936" spans="1:11" x14ac:dyDescent="0.35">
      <c r="A936" t="s">
        <v>1782</v>
      </c>
      <c r="B936" t="s">
        <v>12</v>
      </c>
      <c r="C936" t="s">
        <v>2268</v>
      </c>
      <c r="D936">
        <v>5</v>
      </c>
      <c r="E936" t="s">
        <v>2283</v>
      </c>
      <c r="F936" t="s">
        <v>2284</v>
      </c>
      <c r="G936" t="s">
        <v>1783</v>
      </c>
      <c r="H936" t="s">
        <v>80</v>
      </c>
      <c r="I936" t="s">
        <v>81</v>
      </c>
      <c r="J936" t="s">
        <v>16</v>
      </c>
    </row>
    <row r="937" spans="1:11" x14ac:dyDescent="0.35">
      <c r="A937" t="s">
        <v>1784</v>
      </c>
      <c r="B937" t="s">
        <v>12</v>
      </c>
      <c r="C937" t="s">
        <v>2268</v>
      </c>
      <c r="D937">
        <v>5</v>
      </c>
      <c r="E937" t="s">
        <v>2283</v>
      </c>
      <c r="F937" t="s">
        <v>2284</v>
      </c>
      <c r="G937" t="s">
        <v>1785</v>
      </c>
      <c r="H937" t="s">
        <v>80</v>
      </c>
      <c r="I937" t="s">
        <v>81</v>
      </c>
      <c r="J937" t="s">
        <v>16</v>
      </c>
    </row>
    <row r="938" spans="1:11" x14ac:dyDescent="0.35">
      <c r="A938" t="s">
        <v>1786</v>
      </c>
      <c r="B938" t="s">
        <v>12</v>
      </c>
      <c r="C938" t="s">
        <v>2268</v>
      </c>
      <c r="D938">
        <v>5</v>
      </c>
      <c r="E938" t="s">
        <v>2283</v>
      </c>
      <c r="F938" t="s">
        <v>2284</v>
      </c>
      <c r="G938" t="s">
        <v>1787</v>
      </c>
      <c r="H938" t="s">
        <v>80</v>
      </c>
      <c r="I938" t="s">
        <v>81</v>
      </c>
      <c r="J938" t="s">
        <v>16</v>
      </c>
    </row>
    <row r="939" spans="1:11" x14ac:dyDescent="0.35">
      <c r="A939" t="s">
        <v>1788</v>
      </c>
      <c r="B939" t="s">
        <v>12</v>
      </c>
      <c r="C939" t="s">
        <v>2268</v>
      </c>
      <c r="D939">
        <v>5</v>
      </c>
      <c r="E939" t="s">
        <v>2283</v>
      </c>
      <c r="F939" t="s">
        <v>2284</v>
      </c>
      <c r="G939" t="s">
        <v>1789</v>
      </c>
      <c r="H939" t="s">
        <v>80</v>
      </c>
      <c r="I939" t="s">
        <v>81</v>
      </c>
      <c r="J939" t="s">
        <v>16</v>
      </c>
    </row>
    <row r="940" spans="1:11" x14ac:dyDescent="0.35">
      <c r="A940" t="s">
        <v>1790</v>
      </c>
      <c r="B940" t="s">
        <v>66</v>
      </c>
      <c r="C940" t="s">
        <v>2268</v>
      </c>
      <c r="D940">
        <v>4</v>
      </c>
      <c r="E940" t="s">
        <v>2494</v>
      </c>
      <c r="F940" t="s">
        <v>2495</v>
      </c>
      <c r="G940" t="s">
        <v>1681</v>
      </c>
      <c r="H940" t="s">
        <v>405</v>
      </c>
      <c r="I940" t="s">
        <v>406</v>
      </c>
      <c r="J940" t="s">
        <v>16</v>
      </c>
      <c r="K940" t="s">
        <v>407</v>
      </c>
    </row>
    <row r="941" spans="1:11" x14ac:dyDescent="0.35">
      <c r="A941" t="s">
        <v>1791</v>
      </c>
      <c r="B941" t="s">
        <v>12</v>
      </c>
      <c r="C941" t="s">
        <v>2264</v>
      </c>
      <c r="D941">
        <v>4</v>
      </c>
      <c r="E941" t="s">
        <v>2499</v>
      </c>
      <c r="F941" t="s">
        <v>2331</v>
      </c>
      <c r="G941" t="s">
        <v>1792</v>
      </c>
      <c r="H941" t="s">
        <v>405</v>
      </c>
      <c r="I941" t="s">
        <v>406</v>
      </c>
      <c r="J941" t="s">
        <v>16</v>
      </c>
      <c r="K941" t="s">
        <v>407</v>
      </c>
    </row>
    <row r="942" spans="1:11" x14ac:dyDescent="0.35">
      <c r="A942" t="s">
        <v>1793</v>
      </c>
      <c r="B942" t="s">
        <v>12</v>
      </c>
      <c r="C942" t="s">
        <v>2268</v>
      </c>
      <c r="D942">
        <v>3</v>
      </c>
      <c r="E942" t="s">
        <v>2459</v>
      </c>
      <c r="F942" t="s">
        <v>2346</v>
      </c>
      <c r="G942" t="s">
        <v>168</v>
      </c>
      <c r="H942" t="s">
        <v>169</v>
      </c>
      <c r="I942" t="s">
        <v>170</v>
      </c>
      <c r="J942" t="s">
        <v>16</v>
      </c>
      <c r="K942" t="s">
        <v>1294</v>
      </c>
    </row>
    <row r="943" spans="1:11" x14ac:dyDescent="0.35">
      <c r="A943" t="s">
        <v>1794</v>
      </c>
      <c r="B943" t="s">
        <v>12</v>
      </c>
      <c r="C943" t="s">
        <v>2264</v>
      </c>
      <c r="D943">
        <v>3</v>
      </c>
      <c r="E943" t="s">
        <v>2609</v>
      </c>
      <c r="F943" t="s">
        <v>2280</v>
      </c>
      <c r="G943" t="s">
        <v>1795</v>
      </c>
      <c r="H943" t="s">
        <v>169</v>
      </c>
      <c r="I943" t="s">
        <v>170</v>
      </c>
      <c r="J943" t="s">
        <v>16</v>
      </c>
      <c r="K943" t="s">
        <v>1294</v>
      </c>
    </row>
    <row r="944" spans="1:11" x14ac:dyDescent="0.35">
      <c r="A944" t="s">
        <v>1796</v>
      </c>
      <c r="B944" t="s">
        <v>12</v>
      </c>
      <c r="C944" t="s">
        <v>2264</v>
      </c>
      <c r="D944">
        <v>3</v>
      </c>
      <c r="E944" t="s">
        <v>2569</v>
      </c>
      <c r="F944" t="s">
        <v>2827</v>
      </c>
      <c r="G944" t="s">
        <v>317</v>
      </c>
      <c r="H944" t="s">
        <v>14</v>
      </c>
      <c r="I944" t="s">
        <v>15</v>
      </c>
      <c r="J944" t="s">
        <v>16</v>
      </c>
      <c r="K944" t="s">
        <v>50</v>
      </c>
    </row>
    <row r="945" spans="1:11" x14ac:dyDescent="0.35">
      <c r="A945" t="s">
        <v>1797</v>
      </c>
      <c r="B945" t="s">
        <v>18</v>
      </c>
      <c r="C945" t="s">
        <v>2297</v>
      </c>
      <c r="D945">
        <v>7</v>
      </c>
      <c r="E945" t="s">
        <v>2589</v>
      </c>
      <c r="F945" t="s">
        <v>2530</v>
      </c>
      <c r="G945" t="s">
        <v>1798</v>
      </c>
      <c r="H945" t="s">
        <v>28</v>
      </c>
      <c r="I945" t="s">
        <v>29</v>
      </c>
      <c r="J945" t="s">
        <v>16</v>
      </c>
      <c r="K945" t="s">
        <v>624</v>
      </c>
    </row>
    <row r="946" spans="1:11" x14ac:dyDescent="0.35">
      <c r="A946" t="s">
        <v>1474</v>
      </c>
      <c r="B946" t="s">
        <v>66</v>
      </c>
      <c r="C946" t="s">
        <v>2268</v>
      </c>
      <c r="D946">
        <v>2</v>
      </c>
      <c r="E946" t="s">
        <v>2342</v>
      </c>
      <c r="F946" t="s">
        <v>2343</v>
      </c>
      <c r="G946" t="s">
        <v>599</v>
      </c>
      <c r="H946" t="s">
        <v>195</v>
      </c>
      <c r="I946" t="s">
        <v>196</v>
      </c>
      <c r="J946" t="s">
        <v>16</v>
      </c>
      <c r="K946" t="s">
        <v>50</v>
      </c>
    </row>
    <row r="947" spans="1:11" x14ac:dyDescent="0.35">
      <c r="A947" t="s">
        <v>1799</v>
      </c>
      <c r="B947" t="s">
        <v>18</v>
      </c>
      <c r="C947" t="s">
        <v>2297</v>
      </c>
      <c r="D947">
        <v>6</v>
      </c>
      <c r="E947" t="s">
        <v>2702</v>
      </c>
      <c r="F947" t="s">
        <v>2455</v>
      </c>
      <c r="G947" t="s">
        <v>1800</v>
      </c>
      <c r="H947" t="s">
        <v>405</v>
      </c>
      <c r="I947" t="s">
        <v>406</v>
      </c>
      <c r="J947" t="s">
        <v>16</v>
      </c>
      <c r="K947" t="s">
        <v>624</v>
      </c>
    </row>
    <row r="948" spans="1:11" x14ac:dyDescent="0.35">
      <c r="A948" t="s">
        <v>1801</v>
      </c>
      <c r="B948" t="s">
        <v>12</v>
      </c>
      <c r="C948" t="s">
        <v>2250</v>
      </c>
      <c r="D948">
        <v>5</v>
      </c>
      <c r="E948" t="s">
        <v>2406</v>
      </c>
      <c r="F948" t="s">
        <v>2588</v>
      </c>
      <c r="G948" t="s">
        <v>1802</v>
      </c>
      <c r="H948" t="s">
        <v>1803</v>
      </c>
      <c r="I948" t="s">
        <v>1804</v>
      </c>
      <c r="J948" t="s">
        <v>16</v>
      </c>
      <c r="K948" t="s">
        <v>624</v>
      </c>
    </row>
    <row r="949" spans="1:11" x14ac:dyDescent="0.35">
      <c r="A949" t="s">
        <v>1805</v>
      </c>
      <c r="B949" t="s">
        <v>2274</v>
      </c>
      <c r="C949" t="s">
        <v>2268</v>
      </c>
      <c r="D949">
        <v>4</v>
      </c>
      <c r="E949" t="s">
        <v>2260</v>
      </c>
      <c r="F949" t="s">
        <v>2343</v>
      </c>
      <c r="G949" t="s">
        <v>1806</v>
      </c>
      <c r="H949" t="s">
        <v>195</v>
      </c>
      <c r="I949" t="s">
        <v>196</v>
      </c>
      <c r="J949" t="s">
        <v>16</v>
      </c>
      <c r="K949" t="s">
        <v>1807</v>
      </c>
    </row>
    <row r="950" spans="1:11" x14ac:dyDescent="0.35">
      <c r="A950" t="s">
        <v>1808</v>
      </c>
      <c r="B950" t="s">
        <v>2274</v>
      </c>
      <c r="C950" t="s">
        <v>2268</v>
      </c>
      <c r="D950">
        <v>4</v>
      </c>
      <c r="E950" t="s">
        <v>2260</v>
      </c>
      <c r="F950" t="s">
        <v>2336</v>
      </c>
      <c r="G950" t="s">
        <v>1809</v>
      </c>
      <c r="H950" t="s">
        <v>195</v>
      </c>
      <c r="I950" t="s">
        <v>196</v>
      </c>
      <c r="J950" t="s">
        <v>16</v>
      </c>
      <c r="K950" t="s">
        <v>1807</v>
      </c>
    </row>
    <row r="951" spans="1:11" x14ac:dyDescent="0.35">
      <c r="A951" t="s">
        <v>1810</v>
      </c>
      <c r="B951" t="s">
        <v>18</v>
      </c>
      <c r="C951" t="s">
        <v>2268</v>
      </c>
      <c r="D951">
        <v>3</v>
      </c>
      <c r="E951" t="s">
        <v>2358</v>
      </c>
      <c r="F951" t="s">
        <v>2724</v>
      </c>
      <c r="G951" t="s">
        <v>1811</v>
      </c>
      <c r="H951" t="s">
        <v>1812</v>
      </c>
      <c r="I951" t="s">
        <v>1813</v>
      </c>
      <c r="J951" t="s">
        <v>16</v>
      </c>
      <c r="K951" t="s">
        <v>1814</v>
      </c>
    </row>
    <row r="952" spans="1:11" x14ac:dyDescent="0.35">
      <c r="A952" t="s">
        <v>1815</v>
      </c>
      <c r="B952" t="s">
        <v>18</v>
      </c>
      <c r="C952" t="s">
        <v>2491</v>
      </c>
      <c r="D952">
        <v>9</v>
      </c>
      <c r="E952" t="s">
        <v>2337</v>
      </c>
      <c r="F952" t="s">
        <v>2408</v>
      </c>
      <c r="G952" t="s">
        <v>891</v>
      </c>
      <c r="H952" t="s">
        <v>164</v>
      </c>
      <c r="I952" t="s">
        <v>165</v>
      </c>
      <c r="J952" t="s">
        <v>16</v>
      </c>
    </row>
    <row r="953" spans="1:11" x14ac:dyDescent="0.35">
      <c r="A953" t="s">
        <v>1816</v>
      </c>
      <c r="B953" t="s">
        <v>18</v>
      </c>
      <c r="C953" t="s">
        <v>2491</v>
      </c>
      <c r="D953">
        <v>8</v>
      </c>
      <c r="E953" t="s">
        <v>2302</v>
      </c>
      <c r="F953" t="s">
        <v>2805</v>
      </c>
      <c r="G953" t="s">
        <v>1817</v>
      </c>
      <c r="H953" t="s">
        <v>164</v>
      </c>
      <c r="I953" t="s">
        <v>165</v>
      </c>
      <c r="J953" t="s">
        <v>16</v>
      </c>
    </row>
    <row r="954" spans="1:11" x14ac:dyDescent="0.35">
      <c r="A954" t="s">
        <v>1818</v>
      </c>
      <c r="B954" t="s">
        <v>12</v>
      </c>
      <c r="C954" t="s">
        <v>2268</v>
      </c>
      <c r="D954">
        <v>3</v>
      </c>
      <c r="E954" t="s">
        <v>2828</v>
      </c>
      <c r="F954" t="s">
        <v>2336</v>
      </c>
      <c r="G954" t="s">
        <v>13</v>
      </c>
      <c r="H954" t="s">
        <v>14</v>
      </c>
      <c r="I954" t="s">
        <v>15</v>
      </c>
      <c r="J954" t="s">
        <v>16</v>
      </c>
    </row>
    <row r="955" spans="1:11" x14ac:dyDescent="0.35">
      <c r="A955" t="s">
        <v>1819</v>
      </c>
      <c r="B955" t="s">
        <v>2271</v>
      </c>
      <c r="E955" t="s">
        <v>2829</v>
      </c>
      <c r="F955" t="s">
        <v>2280</v>
      </c>
      <c r="G955" t="s">
        <v>1820</v>
      </c>
      <c r="H955" t="s">
        <v>16</v>
      </c>
      <c r="I955" t="s">
        <v>224</v>
      </c>
    </row>
    <row r="956" spans="1:11" x14ac:dyDescent="0.35">
      <c r="A956" t="s">
        <v>1821</v>
      </c>
      <c r="B956" t="s">
        <v>1033</v>
      </c>
      <c r="E956" t="s">
        <v>2830</v>
      </c>
      <c r="F956" t="s">
        <v>2382</v>
      </c>
      <c r="G956" t="s">
        <v>1822</v>
      </c>
      <c r="H956" t="s">
        <v>16</v>
      </c>
      <c r="I956" t="s">
        <v>224</v>
      </c>
      <c r="K956" t="s">
        <v>1823</v>
      </c>
    </row>
    <row r="957" spans="1:11" x14ac:dyDescent="0.35">
      <c r="A957" t="s">
        <v>1824</v>
      </c>
      <c r="B957" t="s">
        <v>18</v>
      </c>
      <c r="C957" t="s">
        <v>2491</v>
      </c>
      <c r="D957">
        <v>11</v>
      </c>
      <c r="E957" t="s">
        <v>2814</v>
      </c>
      <c r="F957" t="s">
        <v>2427</v>
      </c>
      <c r="G957" t="s">
        <v>1825</v>
      </c>
      <c r="H957" t="s">
        <v>241</v>
      </c>
      <c r="I957" t="s">
        <v>242</v>
      </c>
      <c r="J957" t="s">
        <v>16</v>
      </c>
      <c r="K957" t="s">
        <v>70</v>
      </c>
    </row>
    <row r="958" spans="1:11" x14ac:dyDescent="0.35">
      <c r="A958" t="s">
        <v>1826</v>
      </c>
      <c r="B958" t="s">
        <v>66</v>
      </c>
      <c r="C958" t="s">
        <v>2268</v>
      </c>
      <c r="D958">
        <v>3</v>
      </c>
      <c r="E958" t="s">
        <v>2831</v>
      </c>
      <c r="F958" t="s">
        <v>2832</v>
      </c>
      <c r="G958" t="s">
        <v>1827</v>
      </c>
      <c r="H958" t="s">
        <v>195</v>
      </c>
      <c r="I958" t="s">
        <v>196</v>
      </c>
      <c r="J958" t="s">
        <v>16</v>
      </c>
    </row>
    <row r="959" spans="1:11" x14ac:dyDescent="0.35">
      <c r="A959" t="s">
        <v>1828</v>
      </c>
      <c r="B959" t="s">
        <v>12</v>
      </c>
      <c r="C959" t="s">
        <v>2268</v>
      </c>
      <c r="D959">
        <v>3</v>
      </c>
      <c r="E959" t="s">
        <v>2833</v>
      </c>
      <c r="F959" t="s">
        <v>2469</v>
      </c>
      <c r="G959" t="s">
        <v>1829</v>
      </c>
      <c r="H959" t="s">
        <v>28</v>
      </c>
      <c r="I959" t="s">
        <v>29</v>
      </c>
      <c r="J959" t="s">
        <v>16</v>
      </c>
      <c r="K959" t="s">
        <v>440</v>
      </c>
    </row>
    <row r="960" spans="1:11" x14ac:dyDescent="0.35">
      <c r="A960" t="s">
        <v>1830</v>
      </c>
      <c r="B960" t="s">
        <v>12</v>
      </c>
      <c r="C960" t="s">
        <v>2264</v>
      </c>
      <c r="D960">
        <v>4</v>
      </c>
      <c r="E960" t="s">
        <v>2834</v>
      </c>
      <c r="F960" t="s">
        <v>2278</v>
      </c>
      <c r="G960" t="s">
        <v>1831</v>
      </c>
      <c r="H960" t="s">
        <v>430</v>
      </c>
      <c r="I960" t="s">
        <v>431</v>
      </c>
      <c r="J960" t="s">
        <v>16</v>
      </c>
      <c r="K960" t="s">
        <v>1832</v>
      </c>
    </row>
    <row r="961" spans="1:11" x14ac:dyDescent="0.35">
      <c r="A961" t="s">
        <v>1833</v>
      </c>
      <c r="B961" t="s">
        <v>2271</v>
      </c>
      <c r="E961" t="s">
        <v>2835</v>
      </c>
      <c r="F961" t="s">
        <v>2318</v>
      </c>
      <c r="G961" t="s">
        <v>1834</v>
      </c>
      <c r="H961" t="s">
        <v>354</v>
      </c>
      <c r="I961" t="s">
        <v>355</v>
      </c>
      <c r="J961" t="s">
        <v>16</v>
      </c>
      <c r="K961" t="s">
        <v>45</v>
      </c>
    </row>
    <row r="962" spans="1:11" x14ac:dyDescent="0.35">
      <c r="A962" t="s">
        <v>1835</v>
      </c>
      <c r="B962" t="s">
        <v>18</v>
      </c>
      <c r="C962" t="s">
        <v>2250</v>
      </c>
      <c r="D962">
        <v>4</v>
      </c>
      <c r="E962" t="s">
        <v>2836</v>
      </c>
      <c r="F962" t="s">
        <v>2530</v>
      </c>
      <c r="G962" t="s">
        <v>807</v>
      </c>
      <c r="H962" t="s">
        <v>169</v>
      </c>
      <c r="I962" t="s">
        <v>170</v>
      </c>
      <c r="J962" t="s">
        <v>16</v>
      </c>
    </row>
    <row r="963" spans="1:11" x14ac:dyDescent="0.35">
      <c r="A963" t="s">
        <v>1836</v>
      </c>
      <c r="B963" t="s">
        <v>2271</v>
      </c>
      <c r="E963" t="s">
        <v>2258</v>
      </c>
      <c r="F963" t="s">
        <v>2284</v>
      </c>
      <c r="G963" t="s">
        <v>1837</v>
      </c>
      <c r="H963" t="s">
        <v>1838</v>
      </c>
      <c r="I963" t="s">
        <v>1839</v>
      </c>
      <c r="J963" t="s">
        <v>16</v>
      </c>
      <c r="K963" t="s">
        <v>1840</v>
      </c>
    </row>
    <row r="964" spans="1:11" x14ac:dyDescent="0.35">
      <c r="A964" t="s">
        <v>1841</v>
      </c>
      <c r="B964" t="s">
        <v>2271</v>
      </c>
      <c r="E964" t="s">
        <v>2355</v>
      </c>
      <c r="F964" t="s">
        <v>2837</v>
      </c>
      <c r="G964" t="s">
        <v>1842</v>
      </c>
      <c r="H964" t="s">
        <v>97</v>
      </c>
      <c r="I964" t="s">
        <v>98</v>
      </c>
      <c r="J964" t="s">
        <v>16</v>
      </c>
      <c r="K964" t="s">
        <v>499</v>
      </c>
    </row>
    <row r="965" spans="1:11" x14ac:dyDescent="0.35">
      <c r="A965" t="s">
        <v>1843</v>
      </c>
      <c r="B965" t="s">
        <v>18</v>
      </c>
      <c r="C965" t="s">
        <v>2359</v>
      </c>
      <c r="D965">
        <v>6</v>
      </c>
      <c r="E965" t="s">
        <v>2604</v>
      </c>
      <c r="F965" t="s">
        <v>2535</v>
      </c>
      <c r="G965" t="s">
        <v>1844</v>
      </c>
      <c r="H965" t="s">
        <v>241</v>
      </c>
      <c r="I965" t="s">
        <v>242</v>
      </c>
      <c r="J965" t="s">
        <v>16</v>
      </c>
      <c r="K965" t="s">
        <v>1845</v>
      </c>
    </row>
    <row r="966" spans="1:11" x14ac:dyDescent="0.35">
      <c r="A966" t="s">
        <v>1846</v>
      </c>
      <c r="B966" t="s">
        <v>18</v>
      </c>
      <c r="C966" t="s">
        <v>2268</v>
      </c>
      <c r="D966">
        <v>4</v>
      </c>
      <c r="E966" t="s">
        <v>2279</v>
      </c>
      <c r="F966" t="s">
        <v>2317</v>
      </c>
      <c r="G966" t="s">
        <v>1847</v>
      </c>
      <c r="H966" t="s">
        <v>68</v>
      </c>
      <c r="I966" t="s">
        <v>69</v>
      </c>
      <c r="J966" t="s">
        <v>16</v>
      </c>
      <c r="K966" t="s">
        <v>440</v>
      </c>
    </row>
    <row r="967" spans="1:11" x14ac:dyDescent="0.35">
      <c r="A967" t="s">
        <v>1848</v>
      </c>
      <c r="B967" t="s">
        <v>2271</v>
      </c>
      <c r="E967" t="s">
        <v>2258</v>
      </c>
      <c r="F967" t="s">
        <v>2336</v>
      </c>
      <c r="G967" t="s">
        <v>1849</v>
      </c>
      <c r="H967" t="s">
        <v>1838</v>
      </c>
      <c r="I967" t="s">
        <v>1839</v>
      </c>
      <c r="J967" t="s">
        <v>16</v>
      </c>
      <c r="K967" t="s">
        <v>1840</v>
      </c>
    </row>
    <row r="968" spans="1:11" x14ac:dyDescent="0.35">
      <c r="A968" t="s">
        <v>1850</v>
      </c>
      <c r="B968" t="s">
        <v>2271</v>
      </c>
      <c r="E968" t="s">
        <v>2258</v>
      </c>
      <c r="F968" t="s">
        <v>2284</v>
      </c>
      <c r="G968" t="s">
        <v>1851</v>
      </c>
      <c r="H968" t="s">
        <v>1852</v>
      </c>
      <c r="I968" t="s">
        <v>1853</v>
      </c>
      <c r="J968" t="s">
        <v>16</v>
      </c>
      <c r="K968" t="s">
        <v>1854</v>
      </c>
    </row>
    <row r="969" spans="1:11" x14ac:dyDescent="0.35">
      <c r="A969" t="s">
        <v>1855</v>
      </c>
      <c r="B969" t="s">
        <v>12</v>
      </c>
      <c r="C969" t="s">
        <v>2429</v>
      </c>
      <c r="D969">
        <v>3</v>
      </c>
      <c r="E969" t="s">
        <v>2838</v>
      </c>
      <c r="F969" t="s">
        <v>2839</v>
      </c>
      <c r="G969" t="s">
        <v>1293</v>
      </c>
      <c r="H969" t="s">
        <v>169</v>
      </c>
      <c r="I969" t="s">
        <v>170</v>
      </c>
      <c r="J969" t="s">
        <v>16</v>
      </c>
      <c r="K969" t="s">
        <v>77</v>
      </c>
    </row>
    <row r="970" spans="1:11" x14ac:dyDescent="0.35">
      <c r="A970" t="s">
        <v>1856</v>
      </c>
      <c r="B970" t="s">
        <v>18</v>
      </c>
      <c r="C970" t="s">
        <v>2247</v>
      </c>
      <c r="D970">
        <v>5</v>
      </c>
      <c r="E970" t="s">
        <v>2355</v>
      </c>
      <c r="F970" t="s">
        <v>2317</v>
      </c>
      <c r="G970" t="s">
        <v>1353</v>
      </c>
      <c r="H970" t="s">
        <v>14</v>
      </c>
      <c r="I970" t="s">
        <v>15</v>
      </c>
      <c r="J970" t="s">
        <v>16</v>
      </c>
      <c r="K970" t="s">
        <v>1857</v>
      </c>
    </row>
    <row r="971" spans="1:11" x14ac:dyDescent="0.35">
      <c r="A971" t="s">
        <v>1858</v>
      </c>
      <c r="B971" t="s">
        <v>12</v>
      </c>
      <c r="C971" t="s">
        <v>2268</v>
      </c>
      <c r="D971">
        <v>4</v>
      </c>
      <c r="E971" t="s">
        <v>2358</v>
      </c>
      <c r="F971" t="s">
        <v>2455</v>
      </c>
      <c r="G971" t="s">
        <v>1338</v>
      </c>
      <c r="H971" t="s">
        <v>382</v>
      </c>
      <c r="I971" t="s">
        <v>383</v>
      </c>
      <c r="J971" t="s">
        <v>16</v>
      </c>
      <c r="K971" t="s">
        <v>407</v>
      </c>
    </row>
    <row r="972" spans="1:11" x14ac:dyDescent="0.35">
      <c r="A972" t="s">
        <v>1859</v>
      </c>
      <c r="B972" t="s">
        <v>18</v>
      </c>
      <c r="C972" t="s">
        <v>2247</v>
      </c>
      <c r="D972">
        <v>5</v>
      </c>
      <c r="E972" t="s">
        <v>2840</v>
      </c>
      <c r="F972" t="s">
        <v>2841</v>
      </c>
      <c r="G972" t="s">
        <v>1860</v>
      </c>
      <c r="H972" t="s">
        <v>734</v>
      </c>
      <c r="I972" t="s">
        <v>735</v>
      </c>
      <c r="J972" t="s">
        <v>16</v>
      </c>
      <c r="K972" t="s">
        <v>1861</v>
      </c>
    </row>
    <row r="973" spans="1:11" x14ac:dyDescent="0.35">
      <c r="A973" t="s">
        <v>1862</v>
      </c>
      <c r="B973" t="s">
        <v>2274</v>
      </c>
      <c r="C973" t="s">
        <v>2268</v>
      </c>
      <c r="D973">
        <v>4</v>
      </c>
      <c r="E973" t="s">
        <v>2674</v>
      </c>
      <c r="F973" t="s">
        <v>2269</v>
      </c>
      <c r="G973" t="s">
        <v>1863</v>
      </c>
      <c r="H973" t="s">
        <v>169</v>
      </c>
      <c r="I973" t="s">
        <v>170</v>
      </c>
      <c r="J973" t="s">
        <v>16</v>
      </c>
    </row>
    <row r="974" spans="1:11" x14ac:dyDescent="0.35">
      <c r="A974" t="s">
        <v>1864</v>
      </c>
      <c r="B974" t="s">
        <v>66</v>
      </c>
      <c r="C974" t="s">
        <v>2268</v>
      </c>
      <c r="D974">
        <v>3</v>
      </c>
      <c r="E974" t="s">
        <v>2842</v>
      </c>
      <c r="F974" t="s">
        <v>2843</v>
      </c>
      <c r="G974" t="s">
        <v>1865</v>
      </c>
      <c r="H974" t="s">
        <v>125</v>
      </c>
      <c r="I974" t="s">
        <v>126</v>
      </c>
      <c r="J974" t="s">
        <v>16</v>
      </c>
      <c r="K974" t="s">
        <v>1866</v>
      </c>
    </row>
    <row r="975" spans="1:11" x14ac:dyDescent="0.35">
      <c r="A975" t="s">
        <v>1867</v>
      </c>
      <c r="B975" t="s">
        <v>18</v>
      </c>
      <c r="C975" t="s">
        <v>2268</v>
      </c>
      <c r="D975">
        <v>5</v>
      </c>
      <c r="E975" t="s">
        <v>2285</v>
      </c>
      <c r="F975" t="s">
        <v>2514</v>
      </c>
      <c r="G975" t="s">
        <v>640</v>
      </c>
      <c r="H975" t="s">
        <v>373</v>
      </c>
      <c r="I975" t="s">
        <v>374</v>
      </c>
      <c r="J975" t="s">
        <v>16</v>
      </c>
      <c r="K975" t="s">
        <v>1868</v>
      </c>
    </row>
    <row r="976" spans="1:11" x14ac:dyDescent="0.35">
      <c r="A976" t="s">
        <v>1869</v>
      </c>
      <c r="B976" t="s">
        <v>12</v>
      </c>
      <c r="C976" t="s">
        <v>2264</v>
      </c>
      <c r="D976">
        <v>3</v>
      </c>
      <c r="E976" t="s">
        <v>2474</v>
      </c>
      <c r="F976" t="s">
        <v>2346</v>
      </c>
      <c r="G976" t="s">
        <v>1160</v>
      </c>
      <c r="H976" t="s">
        <v>405</v>
      </c>
      <c r="I976" t="s">
        <v>406</v>
      </c>
      <c r="J976" t="s">
        <v>16</v>
      </c>
      <c r="K976" t="s">
        <v>407</v>
      </c>
    </row>
    <row r="977" spans="1:11" x14ac:dyDescent="0.35">
      <c r="A977" t="s">
        <v>1870</v>
      </c>
      <c r="B977" t="s">
        <v>12</v>
      </c>
      <c r="C977" t="s">
        <v>2268</v>
      </c>
      <c r="D977">
        <v>3</v>
      </c>
      <c r="E977" t="s">
        <v>2510</v>
      </c>
      <c r="F977" t="s">
        <v>2420</v>
      </c>
      <c r="G977" t="s">
        <v>1871</v>
      </c>
      <c r="H977" t="s">
        <v>14</v>
      </c>
      <c r="I977" t="s">
        <v>15</v>
      </c>
      <c r="J977" t="s">
        <v>16</v>
      </c>
    </row>
    <row r="978" spans="1:11" x14ac:dyDescent="0.35">
      <c r="A978" t="s">
        <v>1872</v>
      </c>
      <c r="B978" t="s">
        <v>66</v>
      </c>
      <c r="C978" t="s">
        <v>2268</v>
      </c>
      <c r="D978">
        <v>3</v>
      </c>
      <c r="E978" t="s">
        <v>2844</v>
      </c>
      <c r="F978" t="s">
        <v>2845</v>
      </c>
      <c r="G978" t="s">
        <v>1873</v>
      </c>
      <c r="H978" t="s">
        <v>1874</v>
      </c>
      <c r="I978" t="s">
        <v>1875</v>
      </c>
      <c r="J978" t="s">
        <v>16</v>
      </c>
    </row>
    <row r="979" spans="1:11" x14ac:dyDescent="0.35">
      <c r="A979" t="s">
        <v>1876</v>
      </c>
      <c r="B979" t="s">
        <v>66</v>
      </c>
      <c r="C979" t="s">
        <v>2268</v>
      </c>
      <c r="D979">
        <v>3</v>
      </c>
      <c r="E979" t="s">
        <v>2312</v>
      </c>
      <c r="F979" t="s">
        <v>2313</v>
      </c>
      <c r="G979" t="s">
        <v>138</v>
      </c>
      <c r="H979" t="s">
        <v>14</v>
      </c>
      <c r="I979" t="s">
        <v>15</v>
      </c>
      <c r="J979" t="s">
        <v>16</v>
      </c>
    </row>
    <row r="980" spans="1:11" x14ac:dyDescent="0.35">
      <c r="A980" t="s">
        <v>1877</v>
      </c>
      <c r="B980" t="s">
        <v>12</v>
      </c>
      <c r="C980" t="s">
        <v>2264</v>
      </c>
      <c r="D980">
        <v>3</v>
      </c>
      <c r="E980" t="s">
        <v>2499</v>
      </c>
      <c r="F980" t="s">
        <v>2331</v>
      </c>
      <c r="G980" t="s">
        <v>1160</v>
      </c>
      <c r="H980" t="s">
        <v>405</v>
      </c>
      <c r="I980" t="s">
        <v>406</v>
      </c>
      <c r="J980" t="s">
        <v>16</v>
      </c>
    </row>
    <row r="981" spans="1:11" x14ac:dyDescent="0.35">
      <c r="A981" t="s">
        <v>1878</v>
      </c>
      <c r="B981" t="s">
        <v>12</v>
      </c>
      <c r="C981" t="s">
        <v>2268</v>
      </c>
      <c r="D981">
        <v>4</v>
      </c>
      <c r="E981" t="s">
        <v>2258</v>
      </c>
      <c r="F981" t="s">
        <v>2497</v>
      </c>
      <c r="G981" t="s">
        <v>1879</v>
      </c>
      <c r="H981" t="s">
        <v>97</v>
      </c>
      <c r="I981" t="s">
        <v>98</v>
      </c>
      <c r="J981" t="s">
        <v>16</v>
      </c>
      <c r="K981" t="s">
        <v>407</v>
      </c>
    </row>
    <row r="982" spans="1:11" x14ac:dyDescent="0.35">
      <c r="A982" t="s">
        <v>1880</v>
      </c>
      <c r="B982" t="s">
        <v>18</v>
      </c>
      <c r="C982" t="s">
        <v>2264</v>
      </c>
      <c r="D982">
        <v>4</v>
      </c>
      <c r="E982" t="s">
        <v>2384</v>
      </c>
      <c r="F982" t="s">
        <v>2344</v>
      </c>
      <c r="G982" t="s">
        <v>259</v>
      </c>
      <c r="H982" t="s">
        <v>173</v>
      </c>
      <c r="I982" t="s">
        <v>174</v>
      </c>
      <c r="J982" t="s">
        <v>16</v>
      </c>
      <c r="K982" t="s">
        <v>1079</v>
      </c>
    </row>
    <row r="983" spans="1:11" x14ac:dyDescent="0.35">
      <c r="A983" t="s">
        <v>1881</v>
      </c>
      <c r="B983" t="s">
        <v>12</v>
      </c>
      <c r="C983" t="s">
        <v>2264</v>
      </c>
      <c r="D983">
        <v>4</v>
      </c>
      <c r="E983" t="s">
        <v>2846</v>
      </c>
      <c r="F983" t="s">
        <v>2476</v>
      </c>
      <c r="G983" t="s">
        <v>1160</v>
      </c>
      <c r="H983" t="s">
        <v>405</v>
      </c>
      <c r="I983" t="s">
        <v>406</v>
      </c>
      <c r="J983" t="s">
        <v>16</v>
      </c>
      <c r="K983" t="s">
        <v>407</v>
      </c>
    </row>
    <row r="984" spans="1:11" x14ac:dyDescent="0.35">
      <c r="A984" t="s">
        <v>1882</v>
      </c>
      <c r="B984" t="s">
        <v>12</v>
      </c>
      <c r="C984" t="s">
        <v>2264</v>
      </c>
      <c r="D984">
        <v>4</v>
      </c>
      <c r="E984" t="s">
        <v>2702</v>
      </c>
      <c r="F984" t="s">
        <v>2476</v>
      </c>
      <c r="G984" t="s">
        <v>2847</v>
      </c>
      <c r="H984" t="s">
        <v>405</v>
      </c>
      <c r="I984" t="s">
        <v>406</v>
      </c>
      <c r="J984" t="s">
        <v>16</v>
      </c>
      <c r="K984" t="s">
        <v>407</v>
      </c>
    </row>
    <row r="985" spans="1:11" x14ac:dyDescent="0.35">
      <c r="A985" t="s">
        <v>1883</v>
      </c>
      <c r="B985" t="s">
        <v>12</v>
      </c>
      <c r="C985" t="s">
        <v>2268</v>
      </c>
      <c r="D985">
        <v>3</v>
      </c>
      <c r="E985" t="s">
        <v>2462</v>
      </c>
      <c r="F985" t="s">
        <v>2848</v>
      </c>
      <c r="G985" t="s">
        <v>1884</v>
      </c>
      <c r="H985" t="s">
        <v>1623</v>
      </c>
      <c r="I985" t="s">
        <v>1624</v>
      </c>
      <c r="J985" t="s">
        <v>16</v>
      </c>
      <c r="K985" t="s">
        <v>1409</v>
      </c>
    </row>
    <row r="986" spans="1:11" x14ac:dyDescent="0.35">
      <c r="A986" t="s">
        <v>1885</v>
      </c>
      <c r="B986" t="s">
        <v>18</v>
      </c>
      <c r="C986" t="s">
        <v>2297</v>
      </c>
      <c r="D986">
        <v>6</v>
      </c>
      <c r="E986" t="s">
        <v>2302</v>
      </c>
      <c r="F986" t="s">
        <v>2849</v>
      </c>
      <c r="G986" t="s">
        <v>1886</v>
      </c>
      <c r="H986" t="s">
        <v>726</v>
      </c>
      <c r="I986" t="s">
        <v>727</v>
      </c>
      <c r="J986" t="s">
        <v>16</v>
      </c>
      <c r="K986" t="s">
        <v>2565</v>
      </c>
    </row>
    <row r="987" spans="1:11" x14ac:dyDescent="0.35">
      <c r="A987" t="s">
        <v>1887</v>
      </c>
      <c r="B987" t="s">
        <v>18</v>
      </c>
      <c r="C987" t="s">
        <v>2250</v>
      </c>
      <c r="D987">
        <v>5</v>
      </c>
      <c r="E987" t="s">
        <v>2812</v>
      </c>
      <c r="F987" t="s">
        <v>2360</v>
      </c>
      <c r="G987" t="s">
        <v>259</v>
      </c>
      <c r="H987" t="s">
        <v>173</v>
      </c>
      <c r="I987" t="s">
        <v>174</v>
      </c>
      <c r="J987" t="s">
        <v>16</v>
      </c>
      <c r="K987" t="s">
        <v>1079</v>
      </c>
    </row>
    <row r="988" spans="1:11" x14ac:dyDescent="0.35">
      <c r="A988" t="s">
        <v>1888</v>
      </c>
      <c r="B988" t="s">
        <v>66</v>
      </c>
      <c r="C988" t="s">
        <v>2268</v>
      </c>
      <c r="D988">
        <v>3</v>
      </c>
      <c r="E988" t="s">
        <v>2609</v>
      </c>
      <c r="F988" t="s">
        <v>2351</v>
      </c>
      <c r="G988" t="s">
        <v>309</v>
      </c>
      <c r="H988" t="s">
        <v>264</v>
      </c>
      <c r="I988" t="s">
        <v>265</v>
      </c>
      <c r="J988" t="s">
        <v>16</v>
      </c>
      <c r="K988" t="s">
        <v>624</v>
      </c>
    </row>
    <row r="989" spans="1:11" x14ac:dyDescent="0.35">
      <c r="A989" t="s">
        <v>1889</v>
      </c>
      <c r="B989" t="s">
        <v>18</v>
      </c>
      <c r="C989" t="s">
        <v>2250</v>
      </c>
      <c r="D989">
        <v>5</v>
      </c>
      <c r="E989" t="s">
        <v>2285</v>
      </c>
      <c r="F989" t="s">
        <v>2423</v>
      </c>
      <c r="G989" t="s">
        <v>163</v>
      </c>
      <c r="H989" t="s">
        <v>164</v>
      </c>
      <c r="I989" t="s">
        <v>165</v>
      </c>
      <c r="J989" t="s">
        <v>16</v>
      </c>
      <c r="K989" t="s">
        <v>996</v>
      </c>
    </row>
    <row r="990" spans="1:11" x14ac:dyDescent="0.35">
      <c r="A990" t="s">
        <v>1890</v>
      </c>
      <c r="B990" t="s">
        <v>66</v>
      </c>
      <c r="C990" t="s">
        <v>2268</v>
      </c>
      <c r="D990">
        <v>3</v>
      </c>
      <c r="E990" t="s">
        <v>2466</v>
      </c>
      <c r="F990" t="s">
        <v>2317</v>
      </c>
      <c r="G990" t="s">
        <v>1891</v>
      </c>
      <c r="H990" t="s">
        <v>233</v>
      </c>
      <c r="I990" t="s">
        <v>234</v>
      </c>
      <c r="J990" t="s">
        <v>16</v>
      </c>
      <c r="K990" t="s">
        <v>45</v>
      </c>
    </row>
    <row r="991" spans="1:11" x14ac:dyDescent="0.35">
      <c r="A991" t="s">
        <v>1892</v>
      </c>
      <c r="B991" t="s">
        <v>66</v>
      </c>
      <c r="C991" t="s">
        <v>2264</v>
      </c>
      <c r="D991">
        <v>3</v>
      </c>
      <c r="E991" t="s">
        <v>2380</v>
      </c>
      <c r="F991" t="s">
        <v>2850</v>
      </c>
      <c r="G991" t="s">
        <v>153</v>
      </c>
      <c r="H991" t="s">
        <v>154</v>
      </c>
      <c r="I991" t="s">
        <v>155</v>
      </c>
      <c r="J991" t="s">
        <v>16</v>
      </c>
      <c r="K991" t="s">
        <v>624</v>
      </c>
    </row>
    <row r="992" spans="1:11" x14ac:dyDescent="0.35">
      <c r="A992" t="s">
        <v>1893</v>
      </c>
      <c r="B992" t="s">
        <v>66</v>
      </c>
      <c r="C992" t="s">
        <v>2264</v>
      </c>
      <c r="D992">
        <v>3</v>
      </c>
      <c r="E992" t="s">
        <v>2734</v>
      </c>
      <c r="F992" t="s">
        <v>2523</v>
      </c>
      <c r="G992" t="s">
        <v>153</v>
      </c>
      <c r="H992" t="s">
        <v>154</v>
      </c>
      <c r="I992" t="s">
        <v>155</v>
      </c>
      <c r="J992" t="s">
        <v>16</v>
      </c>
      <c r="K992" t="s">
        <v>624</v>
      </c>
    </row>
    <row r="993" spans="1:11" x14ac:dyDescent="0.35">
      <c r="A993" t="s">
        <v>1894</v>
      </c>
      <c r="B993" t="s">
        <v>66</v>
      </c>
      <c r="C993" t="s">
        <v>2264</v>
      </c>
      <c r="D993">
        <v>3</v>
      </c>
      <c r="E993" t="s">
        <v>2734</v>
      </c>
      <c r="F993" t="s">
        <v>2523</v>
      </c>
      <c r="G993" t="s">
        <v>153</v>
      </c>
      <c r="H993" t="s">
        <v>154</v>
      </c>
      <c r="I993" t="s">
        <v>155</v>
      </c>
      <c r="J993" t="s">
        <v>16</v>
      </c>
      <c r="K993" t="s">
        <v>624</v>
      </c>
    </row>
    <row r="994" spans="1:11" x14ac:dyDescent="0.35">
      <c r="A994" t="s">
        <v>1895</v>
      </c>
      <c r="B994" t="s">
        <v>66</v>
      </c>
      <c r="C994" t="s">
        <v>2264</v>
      </c>
      <c r="D994">
        <v>3</v>
      </c>
      <c r="E994" t="s">
        <v>2380</v>
      </c>
      <c r="F994" t="s">
        <v>2850</v>
      </c>
      <c r="G994" t="s">
        <v>153</v>
      </c>
      <c r="H994" t="s">
        <v>154</v>
      </c>
      <c r="I994" t="s">
        <v>155</v>
      </c>
      <c r="J994" t="s">
        <v>16</v>
      </c>
      <c r="K994" t="s">
        <v>624</v>
      </c>
    </row>
    <row r="995" spans="1:11" x14ac:dyDescent="0.35">
      <c r="A995" t="s">
        <v>1896</v>
      </c>
      <c r="B995" t="s">
        <v>66</v>
      </c>
      <c r="C995" t="s">
        <v>2264</v>
      </c>
      <c r="D995">
        <v>3</v>
      </c>
      <c r="E995" t="s">
        <v>2380</v>
      </c>
      <c r="F995" t="s">
        <v>2850</v>
      </c>
      <c r="G995" t="s">
        <v>153</v>
      </c>
      <c r="H995" t="s">
        <v>154</v>
      </c>
      <c r="I995" t="s">
        <v>155</v>
      </c>
      <c r="J995" t="s">
        <v>16</v>
      </c>
      <c r="K995" t="s">
        <v>624</v>
      </c>
    </row>
    <row r="996" spans="1:11" x14ac:dyDescent="0.35">
      <c r="A996" t="s">
        <v>1897</v>
      </c>
      <c r="B996" t="s">
        <v>66</v>
      </c>
      <c r="C996" t="s">
        <v>2264</v>
      </c>
      <c r="D996">
        <v>3</v>
      </c>
      <c r="E996" t="s">
        <v>2380</v>
      </c>
      <c r="F996" t="s">
        <v>2850</v>
      </c>
      <c r="G996" t="s">
        <v>153</v>
      </c>
      <c r="H996" t="s">
        <v>154</v>
      </c>
      <c r="I996" t="s">
        <v>155</v>
      </c>
      <c r="J996" t="s">
        <v>16</v>
      </c>
      <c r="K996" t="s">
        <v>624</v>
      </c>
    </row>
    <row r="997" spans="1:11" x14ac:dyDescent="0.35">
      <c r="A997" t="s">
        <v>1898</v>
      </c>
      <c r="B997" t="s">
        <v>66</v>
      </c>
      <c r="C997" t="s">
        <v>2429</v>
      </c>
      <c r="D997">
        <v>2</v>
      </c>
      <c r="E997" t="s">
        <v>2454</v>
      </c>
      <c r="F997" t="s">
        <v>2344</v>
      </c>
      <c r="G997" t="s">
        <v>1899</v>
      </c>
      <c r="H997" t="s">
        <v>387</v>
      </c>
      <c r="I997" t="s">
        <v>388</v>
      </c>
      <c r="J997" t="s">
        <v>16</v>
      </c>
      <c r="K997" t="s">
        <v>55</v>
      </c>
    </row>
    <row r="998" spans="1:11" x14ac:dyDescent="0.35">
      <c r="A998" t="s">
        <v>1900</v>
      </c>
      <c r="B998" t="s">
        <v>18</v>
      </c>
      <c r="C998" t="s">
        <v>2247</v>
      </c>
      <c r="D998">
        <v>4</v>
      </c>
      <c r="E998" t="s">
        <v>2302</v>
      </c>
      <c r="F998" t="s">
        <v>2527</v>
      </c>
      <c r="G998" t="s">
        <v>1901</v>
      </c>
      <c r="H998" t="s">
        <v>68</v>
      </c>
      <c r="I998" t="s">
        <v>69</v>
      </c>
      <c r="J998" t="s">
        <v>16</v>
      </c>
      <c r="K998" t="s">
        <v>1902</v>
      </c>
    </row>
    <row r="999" spans="1:11" x14ac:dyDescent="0.35">
      <c r="A999" t="s">
        <v>1903</v>
      </c>
      <c r="B999" t="s">
        <v>18</v>
      </c>
      <c r="C999" t="s">
        <v>2359</v>
      </c>
      <c r="D999">
        <v>5</v>
      </c>
      <c r="E999" t="s">
        <v>2790</v>
      </c>
      <c r="F999" t="s">
        <v>2301</v>
      </c>
      <c r="G999" t="s">
        <v>1904</v>
      </c>
      <c r="H999" t="s">
        <v>494</v>
      </c>
      <c r="I999" t="s">
        <v>495</v>
      </c>
      <c r="J999" t="s">
        <v>16</v>
      </c>
      <c r="K999" t="s">
        <v>1905</v>
      </c>
    </row>
    <row r="1000" spans="1:11" x14ac:dyDescent="0.35">
      <c r="A1000" t="s">
        <v>1906</v>
      </c>
      <c r="B1000" t="s">
        <v>18</v>
      </c>
      <c r="C1000" t="s">
        <v>2359</v>
      </c>
      <c r="D1000">
        <v>5</v>
      </c>
      <c r="E1000" t="s">
        <v>2793</v>
      </c>
      <c r="F1000" t="s">
        <v>2851</v>
      </c>
      <c r="G1000" t="s">
        <v>259</v>
      </c>
      <c r="H1000" t="s">
        <v>173</v>
      </c>
      <c r="I1000" t="s">
        <v>174</v>
      </c>
      <c r="J1000" t="s">
        <v>16</v>
      </c>
      <c r="K1000" t="s">
        <v>1905</v>
      </c>
    </row>
    <row r="1001" spans="1:11" x14ac:dyDescent="0.35">
      <c r="A1001" t="s">
        <v>1907</v>
      </c>
      <c r="B1001" t="s">
        <v>18</v>
      </c>
      <c r="C1001" t="s">
        <v>2297</v>
      </c>
      <c r="D1001">
        <v>5</v>
      </c>
      <c r="E1001" t="s">
        <v>2419</v>
      </c>
      <c r="F1001" t="s">
        <v>2270</v>
      </c>
      <c r="G1001" t="s">
        <v>1908</v>
      </c>
      <c r="H1001" t="s">
        <v>923</v>
      </c>
      <c r="I1001" t="s">
        <v>924</v>
      </c>
      <c r="J1001" t="s">
        <v>16</v>
      </c>
      <c r="K1001" t="s">
        <v>1905</v>
      </c>
    </row>
    <row r="1002" spans="1:11" x14ac:dyDescent="0.35">
      <c r="A1002" t="s">
        <v>1909</v>
      </c>
      <c r="B1002" t="s">
        <v>66</v>
      </c>
      <c r="C1002" t="s">
        <v>2268</v>
      </c>
      <c r="D1002">
        <v>3</v>
      </c>
      <c r="E1002" t="s">
        <v>2605</v>
      </c>
      <c r="F1002" t="s">
        <v>2331</v>
      </c>
      <c r="G1002" t="s">
        <v>240</v>
      </c>
      <c r="H1002" t="s">
        <v>241</v>
      </c>
      <c r="I1002" t="s">
        <v>242</v>
      </c>
      <c r="J1002" t="s">
        <v>16</v>
      </c>
    </row>
    <row r="1003" spans="1:11" x14ac:dyDescent="0.35">
      <c r="A1003" t="s">
        <v>1910</v>
      </c>
      <c r="B1003" t="s">
        <v>66</v>
      </c>
      <c r="C1003" t="s">
        <v>2250</v>
      </c>
      <c r="D1003">
        <v>4</v>
      </c>
      <c r="E1003" t="s">
        <v>2852</v>
      </c>
      <c r="F1003" t="s">
        <v>2249</v>
      </c>
      <c r="G1003" t="s">
        <v>217</v>
      </c>
      <c r="H1003" t="s">
        <v>218</v>
      </c>
      <c r="I1003" t="s">
        <v>219</v>
      </c>
      <c r="J1003" t="s">
        <v>16</v>
      </c>
    </row>
    <row r="1004" spans="1:11" x14ac:dyDescent="0.35">
      <c r="A1004" t="s">
        <v>1911</v>
      </c>
      <c r="B1004" t="s">
        <v>12</v>
      </c>
      <c r="C1004" t="s">
        <v>2247</v>
      </c>
      <c r="D1004">
        <v>4</v>
      </c>
      <c r="E1004" t="s">
        <v>2384</v>
      </c>
      <c r="F1004" t="s">
        <v>2675</v>
      </c>
      <c r="G1004" t="s">
        <v>1293</v>
      </c>
      <c r="H1004" t="s">
        <v>169</v>
      </c>
      <c r="I1004" t="s">
        <v>170</v>
      </c>
      <c r="J1004" t="s">
        <v>16</v>
      </c>
    </row>
    <row r="1005" spans="1:11" x14ac:dyDescent="0.35">
      <c r="A1005" t="s">
        <v>1912</v>
      </c>
      <c r="B1005" t="s">
        <v>12</v>
      </c>
      <c r="C1005" t="s">
        <v>2359</v>
      </c>
      <c r="D1005">
        <v>4</v>
      </c>
      <c r="E1005" t="s">
        <v>2496</v>
      </c>
      <c r="F1005" t="s">
        <v>2278</v>
      </c>
      <c r="G1005" t="s">
        <v>1831</v>
      </c>
      <c r="H1005" t="s">
        <v>430</v>
      </c>
      <c r="I1005" t="s">
        <v>431</v>
      </c>
      <c r="J1005" t="s">
        <v>16</v>
      </c>
    </row>
    <row r="1006" spans="1:11" x14ac:dyDescent="0.35">
      <c r="A1006" t="s">
        <v>1913</v>
      </c>
      <c r="B1006" t="s">
        <v>12</v>
      </c>
      <c r="C1006" t="s">
        <v>2264</v>
      </c>
      <c r="D1006">
        <v>3</v>
      </c>
      <c r="E1006" t="s">
        <v>2352</v>
      </c>
      <c r="F1006" t="s">
        <v>2420</v>
      </c>
      <c r="G1006" t="s">
        <v>317</v>
      </c>
      <c r="H1006" t="s">
        <v>14</v>
      </c>
      <c r="I1006" t="s">
        <v>15</v>
      </c>
      <c r="J1006" t="s">
        <v>16</v>
      </c>
      <c r="K1006" t="s">
        <v>50</v>
      </c>
    </row>
    <row r="1007" spans="1:11" x14ac:dyDescent="0.35">
      <c r="A1007" t="s">
        <v>1914</v>
      </c>
      <c r="B1007" t="s">
        <v>12</v>
      </c>
      <c r="C1007" t="s">
        <v>2268</v>
      </c>
      <c r="D1007">
        <v>3</v>
      </c>
      <c r="E1007" t="s">
        <v>2421</v>
      </c>
      <c r="F1007" t="s">
        <v>2309</v>
      </c>
      <c r="G1007" t="s">
        <v>1397</v>
      </c>
      <c r="H1007" t="s">
        <v>125</v>
      </c>
      <c r="I1007" t="s">
        <v>126</v>
      </c>
      <c r="J1007" t="s">
        <v>16</v>
      </c>
      <c r="K1007" t="s">
        <v>77</v>
      </c>
    </row>
    <row r="1008" spans="1:11" x14ac:dyDescent="0.35">
      <c r="A1008" t="s">
        <v>1915</v>
      </c>
      <c r="B1008" t="s">
        <v>12</v>
      </c>
      <c r="C1008" t="s">
        <v>2429</v>
      </c>
      <c r="D1008">
        <v>3</v>
      </c>
      <c r="E1008" t="s">
        <v>2853</v>
      </c>
      <c r="F1008" t="s">
        <v>2257</v>
      </c>
      <c r="G1008" t="s">
        <v>1367</v>
      </c>
      <c r="H1008" t="s">
        <v>405</v>
      </c>
      <c r="I1008" t="s">
        <v>406</v>
      </c>
      <c r="J1008" t="s">
        <v>16</v>
      </c>
      <c r="K1008" t="s">
        <v>77</v>
      </c>
    </row>
    <row r="1009" spans="1:11" x14ac:dyDescent="0.35">
      <c r="A1009" t="s">
        <v>1916</v>
      </c>
      <c r="B1009" t="s">
        <v>12</v>
      </c>
      <c r="C1009" t="s">
        <v>2264</v>
      </c>
      <c r="D1009">
        <v>4</v>
      </c>
      <c r="E1009" t="s">
        <v>2853</v>
      </c>
      <c r="F1009" t="s">
        <v>2263</v>
      </c>
      <c r="G1009" t="s">
        <v>975</v>
      </c>
      <c r="H1009" t="s">
        <v>405</v>
      </c>
      <c r="I1009" t="s">
        <v>406</v>
      </c>
      <c r="J1009" t="s">
        <v>16</v>
      </c>
      <c r="K1009" t="s">
        <v>77</v>
      </c>
    </row>
    <row r="1010" spans="1:11" x14ac:dyDescent="0.35">
      <c r="A1010" t="s">
        <v>1917</v>
      </c>
      <c r="B1010" t="s">
        <v>12</v>
      </c>
      <c r="C1010" t="s">
        <v>2268</v>
      </c>
      <c r="D1010">
        <v>3</v>
      </c>
      <c r="E1010" t="s">
        <v>2838</v>
      </c>
      <c r="F1010" t="s">
        <v>2839</v>
      </c>
      <c r="G1010" t="s">
        <v>1293</v>
      </c>
      <c r="H1010" t="s">
        <v>169</v>
      </c>
      <c r="I1010" t="s">
        <v>170</v>
      </c>
      <c r="J1010" t="s">
        <v>16</v>
      </c>
      <c r="K1010" t="s">
        <v>77</v>
      </c>
    </row>
    <row r="1011" spans="1:11" x14ac:dyDescent="0.35">
      <c r="A1011" t="s">
        <v>1918</v>
      </c>
      <c r="B1011" t="s">
        <v>12</v>
      </c>
      <c r="C1011" t="s">
        <v>2268</v>
      </c>
      <c r="D1011">
        <v>3</v>
      </c>
      <c r="E1011" t="s">
        <v>2593</v>
      </c>
      <c r="F1011" t="s">
        <v>2449</v>
      </c>
      <c r="G1011" t="s">
        <v>1293</v>
      </c>
      <c r="H1011" t="s">
        <v>169</v>
      </c>
      <c r="I1011" t="s">
        <v>170</v>
      </c>
      <c r="J1011" t="s">
        <v>16</v>
      </c>
      <c r="K1011" t="s">
        <v>77</v>
      </c>
    </row>
    <row r="1012" spans="1:11" x14ac:dyDescent="0.35">
      <c r="A1012" t="s">
        <v>1919</v>
      </c>
      <c r="B1012" t="s">
        <v>12</v>
      </c>
      <c r="C1012" t="s">
        <v>2268</v>
      </c>
      <c r="D1012">
        <v>3</v>
      </c>
      <c r="E1012" t="s">
        <v>2838</v>
      </c>
      <c r="F1012" t="s">
        <v>2839</v>
      </c>
      <c r="G1012" t="s">
        <v>1293</v>
      </c>
      <c r="H1012" t="s">
        <v>169</v>
      </c>
      <c r="I1012" t="s">
        <v>170</v>
      </c>
      <c r="J1012" t="s">
        <v>16</v>
      </c>
      <c r="K1012" t="s">
        <v>77</v>
      </c>
    </row>
    <row r="1013" spans="1:11" x14ac:dyDescent="0.35">
      <c r="A1013" t="s">
        <v>1920</v>
      </c>
      <c r="B1013" t="s">
        <v>66</v>
      </c>
      <c r="C1013" t="s">
        <v>2268</v>
      </c>
      <c r="D1013">
        <v>2</v>
      </c>
      <c r="E1013" t="s">
        <v>2854</v>
      </c>
      <c r="F1013" t="s">
        <v>2309</v>
      </c>
      <c r="G1013" t="s">
        <v>1921</v>
      </c>
      <c r="H1013" t="s">
        <v>1922</v>
      </c>
      <c r="I1013" t="s">
        <v>1923</v>
      </c>
      <c r="J1013" t="s">
        <v>16</v>
      </c>
      <c r="K1013" t="s">
        <v>1861</v>
      </c>
    </row>
    <row r="1014" spans="1:11" x14ac:dyDescent="0.35">
      <c r="A1014" t="s">
        <v>1924</v>
      </c>
      <c r="B1014" t="s">
        <v>66</v>
      </c>
      <c r="C1014" t="s">
        <v>2268</v>
      </c>
      <c r="D1014">
        <v>3</v>
      </c>
      <c r="E1014" t="s">
        <v>2406</v>
      </c>
      <c r="F1014" t="s">
        <v>2855</v>
      </c>
      <c r="G1014" t="s">
        <v>1925</v>
      </c>
      <c r="H1014" t="s">
        <v>291</v>
      </c>
      <c r="I1014" t="s">
        <v>292</v>
      </c>
      <c r="J1014" t="s">
        <v>16</v>
      </c>
      <c r="K1014" t="s">
        <v>1409</v>
      </c>
    </row>
    <row r="1015" spans="1:11" x14ac:dyDescent="0.35">
      <c r="A1015" t="s">
        <v>1926</v>
      </c>
      <c r="B1015" t="s">
        <v>12</v>
      </c>
      <c r="C1015" t="s">
        <v>2264</v>
      </c>
      <c r="D1015">
        <v>4</v>
      </c>
      <c r="E1015" t="s">
        <v>2260</v>
      </c>
      <c r="F1015" t="s">
        <v>2322</v>
      </c>
      <c r="G1015" t="s">
        <v>280</v>
      </c>
      <c r="H1015" t="s">
        <v>48</v>
      </c>
      <c r="I1015" t="s">
        <v>49</v>
      </c>
      <c r="J1015" t="s">
        <v>16</v>
      </c>
      <c r="K1015" t="s">
        <v>50</v>
      </c>
    </row>
    <row r="1016" spans="1:11" x14ac:dyDescent="0.35">
      <c r="A1016" t="s">
        <v>1927</v>
      </c>
      <c r="B1016" t="s">
        <v>66</v>
      </c>
      <c r="C1016" t="s">
        <v>2429</v>
      </c>
      <c r="D1016">
        <v>2</v>
      </c>
      <c r="E1016" t="s">
        <v>2856</v>
      </c>
      <c r="F1016" t="s">
        <v>2480</v>
      </c>
      <c r="G1016" t="s">
        <v>1928</v>
      </c>
      <c r="H1016" t="s">
        <v>430</v>
      </c>
      <c r="I1016" t="s">
        <v>431</v>
      </c>
      <c r="J1016" t="s">
        <v>16</v>
      </c>
      <c r="K1016" t="s">
        <v>948</v>
      </c>
    </row>
    <row r="1017" spans="1:11" x14ac:dyDescent="0.35">
      <c r="A1017" t="s">
        <v>1929</v>
      </c>
      <c r="B1017" t="s">
        <v>18</v>
      </c>
      <c r="C1017" t="s">
        <v>2264</v>
      </c>
      <c r="D1017">
        <v>5</v>
      </c>
      <c r="E1017" t="s">
        <v>2857</v>
      </c>
      <c r="F1017" t="s">
        <v>2382</v>
      </c>
      <c r="G1017" t="s">
        <v>807</v>
      </c>
      <c r="H1017" t="s">
        <v>169</v>
      </c>
      <c r="I1017" t="s">
        <v>170</v>
      </c>
      <c r="J1017" t="s">
        <v>16</v>
      </c>
      <c r="K1017" t="s">
        <v>948</v>
      </c>
    </row>
    <row r="1018" spans="1:11" x14ac:dyDescent="0.35">
      <c r="A1018" t="s">
        <v>1930</v>
      </c>
      <c r="B1018" t="s">
        <v>18</v>
      </c>
      <c r="C1018" t="s">
        <v>2359</v>
      </c>
      <c r="D1018">
        <v>5</v>
      </c>
      <c r="E1018" t="s">
        <v>2858</v>
      </c>
      <c r="F1018" t="s">
        <v>2336</v>
      </c>
      <c r="G1018" t="s">
        <v>1931</v>
      </c>
      <c r="H1018" t="s">
        <v>89</v>
      </c>
      <c r="I1018" t="s">
        <v>90</v>
      </c>
      <c r="J1018" t="s">
        <v>16</v>
      </c>
      <c r="K1018" t="s">
        <v>948</v>
      </c>
    </row>
    <row r="1019" spans="1:11" x14ac:dyDescent="0.35">
      <c r="A1019" t="s">
        <v>1932</v>
      </c>
      <c r="B1019" t="s">
        <v>18</v>
      </c>
      <c r="C1019" t="s">
        <v>2359</v>
      </c>
      <c r="D1019">
        <v>5</v>
      </c>
      <c r="E1019" t="s">
        <v>2358</v>
      </c>
      <c r="F1019" t="s">
        <v>2276</v>
      </c>
      <c r="G1019" t="s">
        <v>1933</v>
      </c>
      <c r="H1019" t="s">
        <v>399</v>
      </c>
      <c r="I1019" t="s">
        <v>400</v>
      </c>
      <c r="J1019" t="s">
        <v>16</v>
      </c>
      <c r="K1019" t="s">
        <v>948</v>
      </c>
    </row>
    <row r="1020" spans="1:11" x14ac:dyDescent="0.35">
      <c r="A1020" t="s">
        <v>1934</v>
      </c>
      <c r="B1020" t="s">
        <v>66</v>
      </c>
      <c r="C1020" t="s">
        <v>2268</v>
      </c>
      <c r="D1020">
        <v>2</v>
      </c>
      <c r="E1020" t="s">
        <v>2653</v>
      </c>
      <c r="F1020" t="s">
        <v>2642</v>
      </c>
      <c r="G1020" t="s">
        <v>323</v>
      </c>
      <c r="H1020" t="s">
        <v>141</v>
      </c>
      <c r="I1020" t="s">
        <v>142</v>
      </c>
      <c r="J1020" t="s">
        <v>16</v>
      </c>
      <c r="K1020" t="s">
        <v>948</v>
      </c>
    </row>
    <row r="1021" spans="1:11" x14ac:dyDescent="0.35">
      <c r="A1021" t="s">
        <v>1935</v>
      </c>
      <c r="B1021" t="s">
        <v>18</v>
      </c>
      <c r="C1021" t="s">
        <v>2250</v>
      </c>
      <c r="D1021">
        <v>5</v>
      </c>
      <c r="E1021" t="s">
        <v>2634</v>
      </c>
      <c r="F1021" t="s">
        <v>2518</v>
      </c>
      <c r="G1021" t="s">
        <v>1463</v>
      </c>
      <c r="H1021" t="s">
        <v>1464</v>
      </c>
      <c r="I1021" t="s">
        <v>1465</v>
      </c>
      <c r="J1021" t="s">
        <v>16</v>
      </c>
      <c r="K1021" t="s">
        <v>948</v>
      </c>
    </row>
    <row r="1022" spans="1:11" x14ac:dyDescent="0.35">
      <c r="A1022" t="s">
        <v>1936</v>
      </c>
      <c r="B1022" t="s">
        <v>18</v>
      </c>
      <c r="C1022" t="s">
        <v>2359</v>
      </c>
      <c r="D1022">
        <v>5</v>
      </c>
      <c r="E1022" t="s">
        <v>2347</v>
      </c>
      <c r="F1022" t="s">
        <v>2360</v>
      </c>
      <c r="G1022" t="s">
        <v>1937</v>
      </c>
      <c r="H1022" t="s">
        <v>233</v>
      </c>
      <c r="I1022" t="s">
        <v>234</v>
      </c>
      <c r="J1022" t="s">
        <v>16</v>
      </c>
      <c r="K1022" t="s">
        <v>948</v>
      </c>
    </row>
    <row r="1023" spans="1:11" x14ac:dyDescent="0.35">
      <c r="A1023" t="s">
        <v>1938</v>
      </c>
      <c r="B1023" t="s">
        <v>18</v>
      </c>
      <c r="C1023" t="s">
        <v>2359</v>
      </c>
      <c r="D1023">
        <v>5</v>
      </c>
      <c r="E1023" t="s">
        <v>2300</v>
      </c>
      <c r="F1023" t="s">
        <v>2307</v>
      </c>
      <c r="G1023" t="s">
        <v>259</v>
      </c>
      <c r="H1023" t="s">
        <v>173</v>
      </c>
      <c r="I1023" t="s">
        <v>174</v>
      </c>
      <c r="J1023" t="s">
        <v>16</v>
      </c>
      <c r="K1023" t="s">
        <v>948</v>
      </c>
    </row>
    <row r="1024" spans="1:11" x14ac:dyDescent="0.35">
      <c r="A1024" t="s">
        <v>1939</v>
      </c>
      <c r="B1024" t="s">
        <v>66</v>
      </c>
      <c r="C1024" t="s">
        <v>2268</v>
      </c>
      <c r="D1024">
        <v>3</v>
      </c>
      <c r="E1024" t="s">
        <v>2366</v>
      </c>
      <c r="F1024" t="s">
        <v>2392</v>
      </c>
      <c r="G1024" t="s">
        <v>623</v>
      </c>
      <c r="H1024" t="s">
        <v>73</v>
      </c>
      <c r="I1024" t="s">
        <v>74</v>
      </c>
      <c r="J1024" t="s">
        <v>16</v>
      </c>
      <c r="K1024" t="s">
        <v>50</v>
      </c>
    </row>
    <row r="1025" spans="1:11" x14ac:dyDescent="0.35">
      <c r="A1025" t="s">
        <v>1940</v>
      </c>
      <c r="B1025" t="s">
        <v>12</v>
      </c>
      <c r="C1025" t="s">
        <v>2268</v>
      </c>
      <c r="D1025">
        <v>3</v>
      </c>
      <c r="E1025" t="s">
        <v>2260</v>
      </c>
      <c r="F1025" t="s">
        <v>2322</v>
      </c>
      <c r="G1025" t="s">
        <v>47</v>
      </c>
      <c r="H1025" t="s">
        <v>48</v>
      </c>
      <c r="I1025" t="s">
        <v>49</v>
      </c>
      <c r="J1025" t="s">
        <v>16</v>
      </c>
      <c r="K1025" t="s">
        <v>50</v>
      </c>
    </row>
    <row r="1026" spans="1:11" x14ac:dyDescent="0.35">
      <c r="A1026" t="s">
        <v>1941</v>
      </c>
      <c r="B1026" t="s">
        <v>18</v>
      </c>
      <c r="C1026" t="s">
        <v>2297</v>
      </c>
      <c r="D1026">
        <v>6</v>
      </c>
      <c r="E1026" t="s">
        <v>2406</v>
      </c>
      <c r="F1026" t="s">
        <v>2317</v>
      </c>
      <c r="G1026" t="s">
        <v>561</v>
      </c>
      <c r="H1026" t="s">
        <v>154</v>
      </c>
      <c r="I1026" t="s">
        <v>155</v>
      </c>
      <c r="J1026" t="s">
        <v>16</v>
      </c>
      <c r="K1026" t="s">
        <v>948</v>
      </c>
    </row>
    <row r="1027" spans="1:11" x14ac:dyDescent="0.35">
      <c r="A1027" t="s">
        <v>1942</v>
      </c>
      <c r="B1027" t="s">
        <v>18</v>
      </c>
      <c r="C1027" t="s">
        <v>2332</v>
      </c>
      <c r="D1027">
        <v>7</v>
      </c>
      <c r="E1027" t="s">
        <v>2347</v>
      </c>
      <c r="F1027" t="s">
        <v>2270</v>
      </c>
      <c r="G1027" t="s">
        <v>1943</v>
      </c>
      <c r="H1027" t="s">
        <v>450</v>
      </c>
      <c r="I1027" t="s">
        <v>451</v>
      </c>
      <c r="J1027" t="s">
        <v>16</v>
      </c>
    </row>
    <row r="1028" spans="1:11" x14ac:dyDescent="0.35">
      <c r="A1028" t="s">
        <v>1944</v>
      </c>
      <c r="B1028" t="s">
        <v>12</v>
      </c>
      <c r="C1028" t="s">
        <v>2268</v>
      </c>
      <c r="D1028">
        <v>3</v>
      </c>
      <c r="E1028" t="s">
        <v>2569</v>
      </c>
      <c r="F1028" t="s">
        <v>2827</v>
      </c>
      <c r="G1028" t="s">
        <v>136</v>
      </c>
      <c r="H1028" t="s">
        <v>14</v>
      </c>
      <c r="I1028" t="s">
        <v>15</v>
      </c>
      <c r="J1028" t="s">
        <v>16</v>
      </c>
    </row>
    <row r="1029" spans="1:11" x14ac:dyDescent="0.35">
      <c r="A1029" t="s">
        <v>1945</v>
      </c>
      <c r="B1029" t="s">
        <v>66</v>
      </c>
      <c r="C1029" t="s">
        <v>2250</v>
      </c>
      <c r="D1029">
        <v>3</v>
      </c>
      <c r="E1029" t="s">
        <v>2389</v>
      </c>
      <c r="F1029" t="s">
        <v>2612</v>
      </c>
      <c r="G1029" t="s">
        <v>1946</v>
      </c>
      <c r="H1029" t="s">
        <v>218</v>
      </c>
      <c r="I1029" t="s">
        <v>219</v>
      </c>
      <c r="J1029" t="s">
        <v>16</v>
      </c>
    </row>
    <row r="1030" spans="1:11" x14ac:dyDescent="0.35">
      <c r="A1030" t="s">
        <v>1947</v>
      </c>
      <c r="B1030" t="s">
        <v>18</v>
      </c>
      <c r="C1030" t="s">
        <v>2250</v>
      </c>
      <c r="D1030">
        <v>5</v>
      </c>
      <c r="E1030" t="s">
        <v>2260</v>
      </c>
      <c r="F1030" t="s">
        <v>2317</v>
      </c>
      <c r="G1030" t="s">
        <v>1948</v>
      </c>
      <c r="H1030" t="s">
        <v>186</v>
      </c>
      <c r="I1030" t="s">
        <v>187</v>
      </c>
      <c r="J1030" t="s">
        <v>16</v>
      </c>
    </row>
    <row r="1031" spans="1:11" x14ac:dyDescent="0.35">
      <c r="A1031" t="s">
        <v>1949</v>
      </c>
      <c r="B1031" t="s">
        <v>12</v>
      </c>
      <c r="C1031" t="s">
        <v>2264</v>
      </c>
      <c r="D1031">
        <v>3</v>
      </c>
      <c r="E1031" t="s">
        <v>2859</v>
      </c>
      <c r="F1031" t="s">
        <v>2832</v>
      </c>
      <c r="G1031" t="s">
        <v>1950</v>
      </c>
      <c r="H1031" t="s">
        <v>686</v>
      </c>
      <c r="I1031" t="s">
        <v>687</v>
      </c>
      <c r="J1031" t="s">
        <v>16</v>
      </c>
      <c r="K1031" t="s">
        <v>50</v>
      </c>
    </row>
    <row r="1032" spans="1:11" x14ac:dyDescent="0.35">
      <c r="A1032" t="s">
        <v>1951</v>
      </c>
      <c r="B1032" t="s">
        <v>12</v>
      </c>
      <c r="C1032" t="s">
        <v>2264</v>
      </c>
      <c r="D1032">
        <v>4</v>
      </c>
      <c r="E1032" t="s">
        <v>2389</v>
      </c>
      <c r="F1032" t="s">
        <v>2420</v>
      </c>
      <c r="G1032" t="s">
        <v>317</v>
      </c>
      <c r="H1032" t="s">
        <v>14</v>
      </c>
      <c r="I1032" t="s">
        <v>15</v>
      </c>
      <c r="J1032" t="s">
        <v>16</v>
      </c>
      <c r="K1032" t="s">
        <v>50</v>
      </c>
    </row>
    <row r="1033" spans="1:11" x14ac:dyDescent="0.35">
      <c r="A1033" t="s">
        <v>1952</v>
      </c>
      <c r="B1033" t="s">
        <v>18</v>
      </c>
      <c r="C1033" t="s">
        <v>2359</v>
      </c>
      <c r="D1033">
        <v>6</v>
      </c>
      <c r="E1033" t="s">
        <v>2763</v>
      </c>
      <c r="F1033" t="s">
        <v>2309</v>
      </c>
      <c r="G1033" t="s">
        <v>1953</v>
      </c>
      <c r="H1033" t="s">
        <v>80</v>
      </c>
      <c r="I1033" t="s">
        <v>81</v>
      </c>
      <c r="J1033" t="s">
        <v>16</v>
      </c>
      <c r="K1033" t="s">
        <v>948</v>
      </c>
    </row>
    <row r="1034" spans="1:11" x14ac:dyDescent="0.35">
      <c r="A1034" t="s">
        <v>1954</v>
      </c>
      <c r="B1034" t="s">
        <v>12</v>
      </c>
      <c r="C1034" t="s">
        <v>2268</v>
      </c>
      <c r="D1034">
        <v>3</v>
      </c>
      <c r="E1034" t="s">
        <v>2260</v>
      </c>
      <c r="F1034" t="s">
        <v>2346</v>
      </c>
      <c r="G1034" t="s">
        <v>1955</v>
      </c>
      <c r="H1034" t="s">
        <v>48</v>
      </c>
      <c r="I1034" t="s">
        <v>49</v>
      </c>
      <c r="J1034" t="s">
        <v>16</v>
      </c>
      <c r="K1034" t="s">
        <v>50</v>
      </c>
    </row>
    <row r="1035" spans="1:11" x14ac:dyDescent="0.35">
      <c r="A1035" t="s">
        <v>1956</v>
      </c>
      <c r="B1035" t="s">
        <v>18</v>
      </c>
      <c r="C1035" t="s">
        <v>2359</v>
      </c>
      <c r="D1035">
        <v>5</v>
      </c>
      <c r="E1035" t="s">
        <v>2358</v>
      </c>
      <c r="F1035" t="s">
        <v>2309</v>
      </c>
      <c r="G1035" t="s">
        <v>1957</v>
      </c>
      <c r="H1035" t="s">
        <v>430</v>
      </c>
      <c r="I1035" t="s">
        <v>431</v>
      </c>
      <c r="J1035" t="s">
        <v>16</v>
      </c>
      <c r="K1035" t="s">
        <v>948</v>
      </c>
    </row>
    <row r="1036" spans="1:11" x14ac:dyDescent="0.35">
      <c r="A1036" t="s">
        <v>1958</v>
      </c>
      <c r="B1036" t="s">
        <v>18</v>
      </c>
      <c r="C1036" t="s">
        <v>2359</v>
      </c>
      <c r="D1036">
        <v>6</v>
      </c>
      <c r="E1036" t="s">
        <v>2406</v>
      </c>
      <c r="F1036" t="s">
        <v>2860</v>
      </c>
      <c r="G1036" t="s">
        <v>157</v>
      </c>
      <c r="H1036" t="s">
        <v>68</v>
      </c>
      <c r="I1036" t="s">
        <v>69</v>
      </c>
      <c r="J1036" t="s">
        <v>16</v>
      </c>
      <c r="K1036" t="s">
        <v>948</v>
      </c>
    </row>
    <row r="1037" spans="1:11" x14ac:dyDescent="0.35">
      <c r="A1037" t="s">
        <v>1959</v>
      </c>
      <c r="B1037" t="s">
        <v>18</v>
      </c>
      <c r="C1037" t="s">
        <v>2264</v>
      </c>
      <c r="D1037">
        <v>6</v>
      </c>
      <c r="E1037" t="s">
        <v>2772</v>
      </c>
      <c r="F1037" t="s">
        <v>2610</v>
      </c>
      <c r="G1037" t="s">
        <v>1960</v>
      </c>
      <c r="H1037" t="s">
        <v>109</v>
      </c>
      <c r="I1037" t="s">
        <v>110</v>
      </c>
      <c r="J1037" t="s">
        <v>16</v>
      </c>
      <c r="K1037" t="s">
        <v>948</v>
      </c>
    </row>
    <row r="1038" spans="1:11" x14ac:dyDescent="0.35">
      <c r="A1038" t="s">
        <v>1961</v>
      </c>
      <c r="B1038" t="s">
        <v>66</v>
      </c>
      <c r="C1038" t="s">
        <v>2264</v>
      </c>
      <c r="D1038">
        <v>3</v>
      </c>
      <c r="E1038" t="s">
        <v>2340</v>
      </c>
      <c r="F1038" t="s">
        <v>2353</v>
      </c>
      <c r="G1038" t="s">
        <v>599</v>
      </c>
      <c r="H1038" t="s">
        <v>195</v>
      </c>
      <c r="I1038" t="s">
        <v>196</v>
      </c>
      <c r="J1038" t="s">
        <v>16</v>
      </c>
      <c r="K1038" t="s">
        <v>948</v>
      </c>
    </row>
    <row r="1039" spans="1:11" x14ac:dyDescent="0.35">
      <c r="A1039" t="s">
        <v>1962</v>
      </c>
      <c r="B1039" t="s">
        <v>18</v>
      </c>
      <c r="C1039" t="s">
        <v>2359</v>
      </c>
      <c r="D1039">
        <v>5</v>
      </c>
      <c r="E1039" t="s">
        <v>2358</v>
      </c>
      <c r="F1039" t="s">
        <v>2476</v>
      </c>
      <c r="G1039" t="s">
        <v>391</v>
      </c>
      <c r="H1039" t="s">
        <v>141</v>
      </c>
      <c r="I1039" t="s">
        <v>142</v>
      </c>
      <c r="J1039" t="s">
        <v>16</v>
      </c>
      <c r="K1039" t="s">
        <v>948</v>
      </c>
    </row>
    <row r="1040" spans="1:11" x14ac:dyDescent="0.35">
      <c r="A1040" t="s">
        <v>1963</v>
      </c>
      <c r="B1040" t="s">
        <v>66</v>
      </c>
      <c r="C1040" t="s">
        <v>2268</v>
      </c>
      <c r="D1040">
        <v>3</v>
      </c>
      <c r="E1040" t="s">
        <v>2477</v>
      </c>
      <c r="F1040" t="s">
        <v>2861</v>
      </c>
      <c r="G1040" t="s">
        <v>1964</v>
      </c>
      <c r="H1040" t="s">
        <v>145</v>
      </c>
      <c r="I1040" t="s">
        <v>146</v>
      </c>
      <c r="J1040" t="s">
        <v>16</v>
      </c>
      <c r="K1040" t="s">
        <v>948</v>
      </c>
    </row>
    <row r="1041" spans="1:11" x14ac:dyDescent="0.35">
      <c r="A1041" t="s">
        <v>1965</v>
      </c>
      <c r="B1041" t="s">
        <v>18</v>
      </c>
      <c r="C1041" t="s">
        <v>2359</v>
      </c>
      <c r="D1041">
        <v>4</v>
      </c>
      <c r="E1041" t="s">
        <v>2358</v>
      </c>
      <c r="F1041" t="s">
        <v>2360</v>
      </c>
      <c r="G1041" t="s">
        <v>1206</v>
      </c>
      <c r="H1041" t="s">
        <v>1207</v>
      </c>
      <c r="I1041" t="s">
        <v>1208</v>
      </c>
      <c r="J1041" t="s">
        <v>16</v>
      </c>
      <c r="K1041" t="s">
        <v>948</v>
      </c>
    </row>
    <row r="1042" spans="1:11" x14ac:dyDescent="0.35">
      <c r="A1042" t="s">
        <v>1308</v>
      </c>
      <c r="B1042" t="s">
        <v>12</v>
      </c>
      <c r="C1042" t="s">
        <v>2264</v>
      </c>
      <c r="D1042">
        <v>4</v>
      </c>
      <c r="E1042" t="s">
        <v>2248</v>
      </c>
      <c r="F1042" t="s">
        <v>2311</v>
      </c>
      <c r="G1042" t="s">
        <v>321</v>
      </c>
      <c r="H1042" t="s">
        <v>14</v>
      </c>
      <c r="I1042" t="s">
        <v>15</v>
      </c>
      <c r="J1042" t="s">
        <v>16</v>
      </c>
      <c r="K1042" t="s">
        <v>50</v>
      </c>
    </row>
    <row r="1043" spans="1:11" x14ac:dyDescent="0.35">
      <c r="A1043" t="s">
        <v>1966</v>
      </c>
      <c r="B1043" t="s">
        <v>12</v>
      </c>
      <c r="C1043" t="s">
        <v>2268</v>
      </c>
      <c r="D1043">
        <v>4</v>
      </c>
      <c r="E1043" t="s">
        <v>2627</v>
      </c>
      <c r="F1043" t="s">
        <v>2269</v>
      </c>
      <c r="G1043" t="s">
        <v>857</v>
      </c>
      <c r="H1043" t="s">
        <v>154</v>
      </c>
      <c r="I1043" t="s">
        <v>155</v>
      </c>
      <c r="J1043" t="s">
        <v>16</v>
      </c>
    </row>
    <row r="1044" spans="1:11" x14ac:dyDescent="0.35">
      <c r="A1044" t="s">
        <v>1967</v>
      </c>
      <c r="B1044" t="s">
        <v>18</v>
      </c>
      <c r="C1044" t="s">
        <v>2253</v>
      </c>
      <c r="D1044">
        <v>7</v>
      </c>
      <c r="E1044" t="s">
        <v>2406</v>
      </c>
      <c r="F1044" t="s">
        <v>2309</v>
      </c>
      <c r="G1044" t="s">
        <v>1968</v>
      </c>
      <c r="H1044" t="s">
        <v>430</v>
      </c>
      <c r="I1044" t="s">
        <v>431</v>
      </c>
      <c r="J1044" t="s">
        <v>16</v>
      </c>
      <c r="K1044" t="s">
        <v>1969</v>
      </c>
    </row>
    <row r="1045" spans="1:11" x14ac:dyDescent="0.35">
      <c r="A1045" t="s">
        <v>1970</v>
      </c>
      <c r="B1045" t="s">
        <v>66</v>
      </c>
      <c r="C1045" t="s">
        <v>2250</v>
      </c>
      <c r="D1045">
        <v>4</v>
      </c>
      <c r="E1045" t="s">
        <v>2852</v>
      </c>
      <c r="F1045" t="s">
        <v>2249</v>
      </c>
      <c r="G1045" t="s">
        <v>626</v>
      </c>
      <c r="H1045" t="s">
        <v>218</v>
      </c>
      <c r="I1045" t="s">
        <v>219</v>
      </c>
      <c r="J1045" t="s">
        <v>16</v>
      </c>
      <c r="K1045" t="s">
        <v>624</v>
      </c>
    </row>
    <row r="1046" spans="1:11" x14ac:dyDescent="0.35">
      <c r="A1046" t="s">
        <v>1971</v>
      </c>
      <c r="B1046" t="s">
        <v>12</v>
      </c>
      <c r="C1046" t="s">
        <v>2247</v>
      </c>
      <c r="D1046">
        <v>4</v>
      </c>
      <c r="E1046" t="s">
        <v>2467</v>
      </c>
      <c r="F1046" t="s">
        <v>2356</v>
      </c>
      <c r="G1046" t="s">
        <v>1972</v>
      </c>
      <c r="H1046" t="s">
        <v>430</v>
      </c>
      <c r="I1046" t="s">
        <v>431</v>
      </c>
      <c r="J1046" t="s">
        <v>16</v>
      </c>
      <c r="K1046" t="s">
        <v>624</v>
      </c>
    </row>
    <row r="1047" spans="1:11" x14ac:dyDescent="0.35">
      <c r="A1047" t="s">
        <v>1973</v>
      </c>
      <c r="B1047" t="s">
        <v>12</v>
      </c>
      <c r="C1047" t="s">
        <v>2264</v>
      </c>
      <c r="D1047">
        <v>4</v>
      </c>
      <c r="E1047" t="s">
        <v>2248</v>
      </c>
      <c r="F1047" t="s">
        <v>2311</v>
      </c>
      <c r="G1047" t="s">
        <v>317</v>
      </c>
      <c r="H1047" t="s">
        <v>14</v>
      </c>
      <c r="I1047" t="s">
        <v>15</v>
      </c>
      <c r="J1047" t="s">
        <v>16</v>
      </c>
      <c r="K1047" t="s">
        <v>50</v>
      </c>
    </row>
    <row r="1048" spans="1:11" x14ac:dyDescent="0.35">
      <c r="A1048" t="s">
        <v>1974</v>
      </c>
      <c r="B1048" t="s">
        <v>12</v>
      </c>
      <c r="C1048" t="s">
        <v>2250</v>
      </c>
      <c r="D1048">
        <v>4</v>
      </c>
      <c r="E1048" t="s">
        <v>2432</v>
      </c>
      <c r="F1048" t="s">
        <v>2351</v>
      </c>
      <c r="G1048" t="s">
        <v>1051</v>
      </c>
      <c r="H1048" t="s">
        <v>169</v>
      </c>
      <c r="I1048" t="s">
        <v>170</v>
      </c>
      <c r="J1048" t="s">
        <v>16</v>
      </c>
      <c r="K1048" t="s">
        <v>624</v>
      </c>
    </row>
    <row r="1049" spans="1:11" x14ac:dyDescent="0.35">
      <c r="A1049" t="s">
        <v>1975</v>
      </c>
      <c r="B1049" t="s">
        <v>66</v>
      </c>
      <c r="C1049" t="s">
        <v>2268</v>
      </c>
      <c r="D1049">
        <v>3</v>
      </c>
      <c r="E1049" t="s">
        <v>2376</v>
      </c>
      <c r="F1049" t="s">
        <v>2484</v>
      </c>
      <c r="G1049" t="s">
        <v>1976</v>
      </c>
      <c r="H1049" t="s">
        <v>169</v>
      </c>
      <c r="I1049" t="s">
        <v>170</v>
      </c>
      <c r="J1049" t="s">
        <v>16</v>
      </c>
      <c r="K1049" t="s">
        <v>1074</v>
      </c>
    </row>
    <row r="1050" spans="1:11" x14ac:dyDescent="0.35">
      <c r="A1050" t="s">
        <v>1977</v>
      </c>
      <c r="B1050" t="s">
        <v>66</v>
      </c>
      <c r="C1050" t="s">
        <v>2250</v>
      </c>
      <c r="D1050">
        <v>3</v>
      </c>
      <c r="E1050" t="s">
        <v>2439</v>
      </c>
      <c r="F1050" t="s">
        <v>2311</v>
      </c>
      <c r="G1050" t="s">
        <v>1978</v>
      </c>
      <c r="H1050" t="s">
        <v>125</v>
      </c>
      <c r="I1050" t="s">
        <v>126</v>
      </c>
      <c r="J1050" t="s">
        <v>16</v>
      </c>
      <c r="K1050" t="s">
        <v>464</v>
      </c>
    </row>
    <row r="1051" spans="1:11" x14ac:dyDescent="0.35">
      <c r="A1051" t="s">
        <v>1979</v>
      </c>
      <c r="B1051" t="s">
        <v>18</v>
      </c>
      <c r="C1051" t="s">
        <v>2359</v>
      </c>
      <c r="D1051">
        <v>5</v>
      </c>
      <c r="E1051" t="s">
        <v>2406</v>
      </c>
      <c r="F1051" t="s">
        <v>2423</v>
      </c>
      <c r="G1051" t="s">
        <v>157</v>
      </c>
      <c r="H1051" t="s">
        <v>68</v>
      </c>
      <c r="I1051" t="s">
        <v>69</v>
      </c>
      <c r="J1051" t="s">
        <v>16</v>
      </c>
      <c r="K1051" t="s">
        <v>948</v>
      </c>
    </row>
    <row r="1052" spans="1:11" x14ac:dyDescent="0.35">
      <c r="A1052" t="s">
        <v>1980</v>
      </c>
      <c r="B1052" t="s">
        <v>18</v>
      </c>
      <c r="C1052" t="s">
        <v>2264</v>
      </c>
      <c r="D1052">
        <v>5</v>
      </c>
      <c r="E1052" t="s">
        <v>2862</v>
      </c>
      <c r="F1052" t="s">
        <v>2863</v>
      </c>
      <c r="G1052" t="s">
        <v>1003</v>
      </c>
      <c r="H1052" t="s">
        <v>233</v>
      </c>
      <c r="I1052" t="s">
        <v>234</v>
      </c>
      <c r="J1052" t="s">
        <v>16</v>
      </c>
    </row>
    <row r="1053" spans="1:11" x14ac:dyDescent="0.35">
      <c r="A1053" t="s">
        <v>1981</v>
      </c>
      <c r="B1053" t="s">
        <v>66</v>
      </c>
      <c r="C1053" t="s">
        <v>2264</v>
      </c>
      <c r="D1053">
        <v>4</v>
      </c>
      <c r="E1053" t="s">
        <v>2378</v>
      </c>
      <c r="F1053" t="s">
        <v>2379</v>
      </c>
      <c r="G1053" t="s">
        <v>1982</v>
      </c>
      <c r="H1053" t="s">
        <v>186</v>
      </c>
      <c r="I1053" t="s">
        <v>187</v>
      </c>
      <c r="J1053" t="s">
        <v>16</v>
      </c>
    </row>
    <row r="1054" spans="1:11" x14ac:dyDescent="0.35">
      <c r="A1054" t="s">
        <v>1983</v>
      </c>
      <c r="B1054" t="s">
        <v>66</v>
      </c>
      <c r="C1054" t="s">
        <v>2268</v>
      </c>
      <c r="D1054">
        <v>3</v>
      </c>
      <c r="E1054" t="s">
        <v>2844</v>
      </c>
      <c r="F1054" t="s">
        <v>2588</v>
      </c>
      <c r="G1054" t="s">
        <v>1984</v>
      </c>
      <c r="H1054" t="s">
        <v>125</v>
      </c>
      <c r="I1054" t="s">
        <v>126</v>
      </c>
      <c r="J1054" t="s">
        <v>16</v>
      </c>
    </row>
    <row r="1055" spans="1:11" x14ac:dyDescent="0.35">
      <c r="A1055" t="s">
        <v>1985</v>
      </c>
      <c r="B1055" t="s">
        <v>12</v>
      </c>
      <c r="C1055" t="s">
        <v>2268</v>
      </c>
      <c r="D1055">
        <v>3</v>
      </c>
      <c r="E1055" t="s">
        <v>2864</v>
      </c>
      <c r="F1055" t="s">
        <v>2449</v>
      </c>
      <c r="G1055" t="s">
        <v>1986</v>
      </c>
      <c r="H1055" t="s">
        <v>169</v>
      </c>
      <c r="I1055" t="s">
        <v>170</v>
      </c>
      <c r="J1055" t="s">
        <v>16</v>
      </c>
    </row>
    <row r="1056" spans="1:11" x14ac:dyDescent="0.35">
      <c r="A1056" t="s">
        <v>1987</v>
      </c>
      <c r="B1056" t="s">
        <v>66</v>
      </c>
      <c r="C1056" t="s">
        <v>2268</v>
      </c>
      <c r="D1056">
        <v>3</v>
      </c>
      <c r="E1056" t="s">
        <v>2378</v>
      </c>
      <c r="F1056" t="s">
        <v>2379</v>
      </c>
      <c r="G1056" t="s">
        <v>797</v>
      </c>
      <c r="H1056" t="s">
        <v>186</v>
      </c>
      <c r="I1056" t="s">
        <v>187</v>
      </c>
      <c r="J1056" t="s">
        <v>16</v>
      </c>
      <c r="K1056" t="s">
        <v>50</v>
      </c>
    </row>
    <row r="1057" spans="1:11" x14ac:dyDescent="0.35">
      <c r="A1057" t="s">
        <v>1988</v>
      </c>
      <c r="B1057" t="s">
        <v>12</v>
      </c>
      <c r="C1057" t="s">
        <v>2250</v>
      </c>
      <c r="D1057">
        <v>3</v>
      </c>
      <c r="E1057" t="s">
        <v>2355</v>
      </c>
      <c r="F1057" t="s">
        <v>2489</v>
      </c>
      <c r="G1057" t="s">
        <v>1118</v>
      </c>
      <c r="H1057" t="s">
        <v>570</v>
      </c>
      <c r="I1057" t="s">
        <v>571</v>
      </c>
      <c r="J1057" t="s">
        <v>16</v>
      </c>
      <c r="K1057" t="s">
        <v>624</v>
      </c>
    </row>
    <row r="1058" spans="1:11" x14ac:dyDescent="0.35">
      <c r="A1058" t="s">
        <v>1989</v>
      </c>
      <c r="B1058" t="s">
        <v>66</v>
      </c>
      <c r="C1058" t="s">
        <v>2268</v>
      </c>
      <c r="D1058">
        <v>3</v>
      </c>
      <c r="E1058" t="s">
        <v>2312</v>
      </c>
      <c r="F1058" t="s">
        <v>2313</v>
      </c>
      <c r="G1058" t="s">
        <v>1990</v>
      </c>
      <c r="H1058" t="s">
        <v>14</v>
      </c>
      <c r="I1058" t="s">
        <v>15</v>
      </c>
      <c r="J1058" t="s">
        <v>16</v>
      </c>
      <c r="K1058" t="s">
        <v>50</v>
      </c>
    </row>
    <row r="1059" spans="1:11" x14ac:dyDescent="0.35">
      <c r="A1059" t="s">
        <v>1991</v>
      </c>
      <c r="B1059" t="s">
        <v>12</v>
      </c>
      <c r="C1059" t="s">
        <v>2250</v>
      </c>
      <c r="D1059">
        <v>3</v>
      </c>
      <c r="E1059" t="s">
        <v>2355</v>
      </c>
      <c r="F1059" t="s">
        <v>2329</v>
      </c>
      <c r="G1059" t="s">
        <v>1992</v>
      </c>
      <c r="H1059" t="s">
        <v>570</v>
      </c>
      <c r="I1059" t="s">
        <v>571</v>
      </c>
      <c r="J1059" t="s">
        <v>16</v>
      </c>
      <c r="K1059" t="s">
        <v>624</v>
      </c>
    </row>
    <row r="1060" spans="1:11" x14ac:dyDescent="0.35">
      <c r="A1060" t="s">
        <v>1993</v>
      </c>
      <c r="B1060" t="s">
        <v>12</v>
      </c>
      <c r="C1060" t="s">
        <v>2250</v>
      </c>
      <c r="D1060">
        <v>3</v>
      </c>
      <c r="E1060" t="s">
        <v>2355</v>
      </c>
      <c r="F1060" t="s">
        <v>2329</v>
      </c>
      <c r="G1060" t="s">
        <v>1992</v>
      </c>
      <c r="H1060" t="s">
        <v>570</v>
      </c>
      <c r="I1060" t="s">
        <v>571</v>
      </c>
      <c r="J1060" t="s">
        <v>16</v>
      </c>
      <c r="K1060" t="s">
        <v>624</v>
      </c>
    </row>
    <row r="1061" spans="1:11" x14ac:dyDescent="0.35">
      <c r="A1061" t="s">
        <v>1994</v>
      </c>
      <c r="B1061" t="s">
        <v>12</v>
      </c>
      <c r="C1061" t="s">
        <v>2250</v>
      </c>
      <c r="D1061">
        <v>3</v>
      </c>
      <c r="E1061" t="s">
        <v>2355</v>
      </c>
      <c r="F1061" t="s">
        <v>2329</v>
      </c>
      <c r="G1061" t="s">
        <v>1992</v>
      </c>
      <c r="H1061" t="s">
        <v>570</v>
      </c>
      <c r="I1061" t="s">
        <v>571</v>
      </c>
      <c r="J1061" t="s">
        <v>16</v>
      </c>
      <c r="K1061" t="s">
        <v>624</v>
      </c>
    </row>
    <row r="1062" spans="1:11" x14ac:dyDescent="0.35">
      <c r="A1062" t="s">
        <v>1993</v>
      </c>
      <c r="B1062" t="s">
        <v>12</v>
      </c>
      <c r="C1062" t="s">
        <v>2250</v>
      </c>
      <c r="D1062">
        <v>3</v>
      </c>
      <c r="E1062" t="s">
        <v>2355</v>
      </c>
      <c r="F1062" t="s">
        <v>2329</v>
      </c>
      <c r="G1062" t="s">
        <v>1992</v>
      </c>
      <c r="H1062" t="s">
        <v>570</v>
      </c>
      <c r="I1062" t="s">
        <v>571</v>
      </c>
      <c r="J1062" t="s">
        <v>16</v>
      </c>
      <c r="K1062" t="s">
        <v>624</v>
      </c>
    </row>
    <row r="1063" spans="1:11" x14ac:dyDescent="0.35">
      <c r="A1063" t="s">
        <v>1993</v>
      </c>
      <c r="B1063" t="s">
        <v>12</v>
      </c>
      <c r="C1063" t="s">
        <v>2250</v>
      </c>
      <c r="D1063">
        <v>3</v>
      </c>
      <c r="E1063" t="s">
        <v>2355</v>
      </c>
      <c r="F1063" t="s">
        <v>2329</v>
      </c>
      <c r="G1063" t="s">
        <v>1992</v>
      </c>
      <c r="H1063" t="s">
        <v>570</v>
      </c>
      <c r="I1063" t="s">
        <v>571</v>
      </c>
      <c r="J1063" t="s">
        <v>16</v>
      </c>
      <c r="K1063" t="s">
        <v>624</v>
      </c>
    </row>
    <row r="1064" spans="1:11" x14ac:dyDescent="0.35">
      <c r="A1064" t="s">
        <v>1995</v>
      </c>
      <c r="B1064" t="s">
        <v>12</v>
      </c>
      <c r="C1064" t="s">
        <v>2250</v>
      </c>
      <c r="D1064">
        <v>3</v>
      </c>
      <c r="E1064" t="s">
        <v>2340</v>
      </c>
      <c r="F1064" t="s">
        <v>2865</v>
      </c>
      <c r="G1064" t="s">
        <v>1051</v>
      </c>
      <c r="H1064" t="s">
        <v>169</v>
      </c>
      <c r="I1064" t="s">
        <v>170</v>
      </c>
      <c r="J1064" t="s">
        <v>16</v>
      </c>
      <c r="K1064" t="s">
        <v>624</v>
      </c>
    </row>
    <row r="1065" spans="1:11" x14ac:dyDescent="0.35">
      <c r="A1065" t="s">
        <v>1996</v>
      </c>
      <c r="B1065" t="s">
        <v>18</v>
      </c>
      <c r="C1065" t="s">
        <v>2866</v>
      </c>
      <c r="D1065">
        <v>14</v>
      </c>
      <c r="E1065" t="s">
        <v>2867</v>
      </c>
      <c r="F1065" t="s">
        <v>2724</v>
      </c>
      <c r="G1065" t="s">
        <v>1997</v>
      </c>
      <c r="H1065" t="s">
        <v>97</v>
      </c>
      <c r="I1065" t="s">
        <v>98</v>
      </c>
      <c r="J1065" t="s">
        <v>16</v>
      </c>
      <c r="K1065" t="s">
        <v>624</v>
      </c>
    </row>
    <row r="1066" spans="1:11" x14ac:dyDescent="0.35">
      <c r="A1066" t="s">
        <v>1998</v>
      </c>
      <c r="B1066" t="s">
        <v>18</v>
      </c>
      <c r="C1066" t="s">
        <v>2250</v>
      </c>
      <c r="D1066">
        <v>5</v>
      </c>
      <c r="E1066" t="s">
        <v>2285</v>
      </c>
      <c r="F1066" t="s">
        <v>2608</v>
      </c>
      <c r="G1066" t="s">
        <v>573</v>
      </c>
      <c r="H1066" t="s">
        <v>145</v>
      </c>
      <c r="I1066" t="s">
        <v>146</v>
      </c>
      <c r="J1066" t="s">
        <v>16</v>
      </c>
      <c r="K1066" t="s">
        <v>1999</v>
      </c>
    </row>
    <row r="1067" spans="1:11" x14ac:dyDescent="0.35">
      <c r="A1067" t="s">
        <v>2000</v>
      </c>
      <c r="B1067" t="s">
        <v>12</v>
      </c>
      <c r="C1067" t="s">
        <v>2264</v>
      </c>
      <c r="D1067">
        <v>3</v>
      </c>
      <c r="E1067" t="s">
        <v>2496</v>
      </c>
      <c r="F1067" t="s">
        <v>2497</v>
      </c>
      <c r="G1067" t="s">
        <v>2001</v>
      </c>
      <c r="H1067" t="s">
        <v>97</v>
      </c>
      <c r="I1067" t="s">
        <v>98</v>
      </c>
      <c r="J1067" t="s">
        <v>16</v>
      </c>
      <c r="K1067" t="s">
        <v>407</v>
      </c>
    </row>
    <row r="1068" spans="1:11" x14ac:dyDescent="0.35">
      <c r="A1068" t="s">
        <v>2002</v>
      </c>
      <c r="B1068" t="s">
        <v>12</v>
      </c>
      <c r="C1068" t="s">
        <v>2268</v>
      </c>
      <c r="D1068">
        <v>3</v>
      </c>
      <c r="E1068" t="s">
        <v>2419</v>
      </c>
      <c r="F1068" t="s">
        <v>2324</v>
      </c>
      <c r="G1068" t="s">
        <v>2003</v>
      </c>
      <c r="H1068" t="s">
        <v>233</v>
      </c>
      <c r="I1068" t="s">
        <v>234</v>
      </c>
      <c r="J1068" t="s">
        <v>16</v>
      </c>
      <c r="K1068" t="s">
        <v>1074</v>
      </c>
    </row>
    <row r="1069" spans="1:11" x14ac:dyDescent="0.35">
      <c r="A1069" t="s">
        <v>2004</v>
      </c>
      <c r="B1069" t="s">
        <v>12</v>
      </c>
      <c r="C1069" t="s">
        <v>2268</v>
      </c>
      <c r="D1069">
        <v>3</v>
      </c>
      <c r="E1069" t="s">
        <v>2334</v>
      </c>
      <c r="F1069" t="s">
        <v>2423</v>
      </c>
      <c r="G1069" t="s">
        <v>1105</v>
      </c>
      <c r="H1069" t="s">
        <v>387</v>
      </c>
      <c r="I1069" t="s">
        <v>388</v>
      </c>
      <c r="J1069" t="s">
        <v>16</v>
      </c>
      <c r="K1069" t="s">
        <v>1074</v>
      </c>
    </row>
    <row r="1070" spans="1:11" x14ac:dyDescent="0.35">
      <c r="A1070" t="s">
        <v>2005</v>
      </c>
      <c r="B1070" t="s">
        <v>66</v>
      </c>
      <c r="C1070" t="s">
        <v>2268</v>
      </c>
      <c r="D1070">
        <v>3</v>
      </c>
      <c r="E1070" t="s">
        <v>2692</v>
      </c>
      <c r="F1070" t="s">
        <v>2727</v>
      </c>
      <c r="G1070" t="s">
        <v>763</v>
      </c>
      <c r="H1070" t="s">
        <v>405</v>
      </c>
      <c r="I1070" t="s">
        <v>406</v>
      </c>
      <c r="J1070" t="s">
        <v>16</v>
      </c>
      <c r="K1070" t="s">
        <v>1074</v>
      </c>
    </row>
    <row r="1071" spans="1:11" x14ac:dyDescent="0.35">
      <c r="A1071" t="s">
        <v>2006</v>
      </c>
      <c r="B1071" t="s">
        <v>66</v>
      </c>
      <c r="C1071" t="s">
        <v>2268</v>
      </c>
      <c r="D1071">
        <v>3</v>
      </c>
      <c r="E1071" t="s">
        <v>2312</v>
      </c>
      <c r="F1071" t="s">
        <v>2733</v>
      </c>
      <c r="G1071" t="s">
        <v>1379</v>
      </c>
      <c r="H1071" t="s">
        <v>825</v>
      </c>
      <c r="I1071" t="s">
        <v>826</v>
      </c>
      <c r="J1071" t="s">
        <v>16</v>
      </c>
      <c r="K1071" t="s">
        <v>1074</v>
      </c>
    </row>
    <row r="1072" spans="1:11" x14ac:dyDescent="0.35">
      <c r="A1072" t="s">
        <v>2007</v>
      </c>
      <c r="B1072" t="s">
        <v>12</v>
      </c>
      <c r="C1072" t="s">
        <v>2268</v>
      </c>
      <c r="D1072">
        <v>4</v>
      </c>
      <c r="E1072" t="s">
        <v>2419</v>
      </c>
      <c r="F1072" t="s">
        <v>2868</v>
      </c>
      <c r="G1072" t="s">
        <v>2003</v>
      </c>
      <c r="H1072" t="s">
        <v>233</v>
      </c>
      <c r="I1072" t="s">
        <v>234</v>
      </c>
      <c r="J1072" t="s">
        <v>16</v>
      </c>
      <c r="K1072" t="s">
        <v>1074</v>
      </c>
    </row>
    <row r="1073" spans="1:11" x14ac:dyDescent="0.35">
      <c r="A1073" t="s">
        <v>2008</v>
      </c>
      <c r="B1073" t="s">
        <v>18</v>
      </c>
      <c r="C1073" t="s">
        <v>2250</v>
      </c>
      <c r="D1073">
        <v>5</v>
      </c>
      <c r="E1073" t="s">
        <v>2869</v>
      </c>
      <c r="F1073" t="s">
        <v>2870</v>
      </c>
      <c r="G1073" t="s">
        <v>559</v>
      </c>
      <c r="H1073" t="s">
        <v>241</v>
      </c>
      <c r="I1073" t="s">
        <v>242</v>
      </c>
      <c r="J1073" t="s">
        <v>16</v>
      </c>
      <c r="K1073" t="s">
        <v>1074</v>
      </c>
    </row>
    <row r="1074" spans="1:11" x14ac:dyDescent="0.35">
      <c r="A1074" t="s">
        <v>2009</v>
      </c>
      <c r="B1074" t="s">
        <v>66</v>
      </c>
      <c r="C1074" t="s">
        <v>2268</v>
      </c>
      <c r="D1074">
        <v>2</v>
      </c>
      <c r="E1074" t="s">
        <v>2725</v>
      </c>
      <c r="F1074" t="s">
        <v>2726</v>
      </c>
      <c r="G1074" t="s">
        <v>779</v>
      </c>
      <c r="H1074" t="s">
        <v>154</v>
      </c>
      <c r="I1074" t="s">
        <v>155</v>
      </c>
      <c r="J1074" t="s">
        <v>16</v>
      </c>
      <c r="K1074" t="s">
        <v>1074</v>
      </c>
    </row>
    <row r="1075" spans="1:11" x14ac:dyDescent="0.35">
      <c r="A1075" t="s">
        <v>2010</v>
      </c>
      <c r="B1075" t="s">
        <v>66</v>
      </c>
      <c r="C1075" t="s">
        <v>2268</v>
      </c>
      <c r="D1075">
        <v>2</v>
      </c>
      <c r="E1075" t="s">
        <v>2871</v>
      </c>
      <c r="F1075" t="s">
        <v>2872</v>
      </c>
      <c r="G1075" t="s">
        <v>236</v>
      </c>
      <c r="H1075" t="s">
        <v>145</v>
      </c>
      <c r="I1075" t="s">
        <v>146</v>
      </c>
      <c r="J1075" t="s">
        <v>16</v>
      </c>
      <c r="K1075" t="s">
        <v>1074</v>
      </c>
    </row>
    <row r="1076" spans="1:11" x14ac:dyDescent="0.35">
      <c r="A1076" t="s">
        <v>2011</v>
      </c>
      <c r="B1076" t="s">
        <v>66</v>
      </c>
      <c r="C1076" t="s">
        <v>2268</v>
      </c>
      <c r="D1076">
        <v>2</v>
      </c>
      <c r="E1076" t="s">
        <v>2725</v>
      </c>
      <c r="F1076" t="s">
        <v>2873</v>
      </c>
      <c r="G1076" t="s">
        <v>779</v>
      </c>
      <c r="H1076" t="s">
        <v>154</v>
      </c>
      <c r="I1076" t="s">
        <v>155</v>
      </c>
      <c r="J1076" t="s">
        <v>16</v>
      </c>
      <c r="K1076" t="s">
        <v>1074</v>
      </c>
    </row>
    <row r="1077" spans="1:11" x14ac:dyDescent="0.35">
      <c r="A1077" t="s">
        <v>2012</v>
      </c>
      <c r="B1077" t="s">
        <v>66</v>
      </c>
      <c r="C1077" t="s">
        <v>2429</v>
      </c>
      <c r="D1077">
        <v>2</v>
      </c>
      <c r="E1077" t="s">
        <v>2728</v>
      </c>
      <c r="F1077" t="s">
        <v>2729</v>
      </c>
      <c r="G1077" t="s">
        <v>128</v>
      </c>
      <c r="H1077" t="s">
        <v>68</v>
      </c>
      <c r="I1077" t="s">
        <v>69</v>
      </c>
      <c r="J1077" t="s">
        <v>16</v>
      </c>
    </row>
    <row r="1078" spans="1:11" x14ac:dyDescent="0.35">
      <c r="A1078" t="s">
        <v>2013</v>
      </c>
      <c r="B1078" t="s">
        <v>18</v>
      </c>
      <c r="C1078" t="s">
        <v>2268</v>
      </c>
      <c r="D1078">
        <v>4</v>
      </c>
      <c r="E1078" t="s">
        <v>2874</v>
      </c>
      <c r="F1078" t="s">
        <v>2875</v>
      </c>
      <c r="G1078" t="s">
        <v>1661</v>
      </c>
      <c r="H1078" t="s">
        <v>145</v>
      </c>
      <c r="I1078" t="s">
        <v>146</v>
      </c>
      <c r="J1078" t="s">
        <v>16</v>
      </c>
    </row>
    <row r="1079" spans="1:11" x14ac:dyDescent="0.35">
      <c r="A1079" t="s">
        <v>2014</v>
      </c>
      <c r="B1079" t="s">
        <v>66</v>
      </c>
      <c r="C1079" t="s">
        <v>2264</v>
      </c>
      <c r="D1079">
        <v>4</v>
      </c>
      <c r="E1079" t="s">
        <v>2474</v>
      </c>
      <c r="F1079" t="s">
        <v>2628</v>
      </c>
      <c r="G1079" t="s">
        <v>763</v>
      </c>
      <c r="H1079" t="s">
        <v>405</v>
      </c>
      <c r="I1079" t="s">
        <v>406</v>
      </c>
      <c r="J1079" t="s">
        <v>16</v>
      </c>
    </row>
    <row r="1080" spans="1:11" x14ac:dyDescent="0.35">
      <c r="A1080" t="s">
        <v>2015</v>
      </c>
      <c r="B1080" t="s">
        <v>66</v>
      </c>
      <c r="C1080" t="s">
        <v>2268</v>
      </c>
      <c r="D1080">
        <v>3</v>
      </c>
      <c r="E1080" t="s">
        <v>2312</v>
      </c>
      <c r="F1080" t="s">
        <v>2733</v>
      </c>
      <c r="G1080" t="s">
        <v>1379</v>
      </c>
      <c r="H1080" t="s">
        <v>825</v>
      </c>
      <c r="I1080" t="s">
        <v>826</v>
      </c>
      <c r="J1080" t="s">
        <v>16</v>
      </c>
    </row>
    <row r="1081" spans="1:11" x14ac:dyDescent="0.35">
      <c r="A1081" t="s">
        <v>2016</v>
      </c>
      <c r="B1081" t="s">
        <v>18</v>
      </c>
      <c r="C1081" t="s">
        <v>2264</v>
      </c>
      <c r="D1081">
        <v>3</v>
      </c>
      <c r="E1081" t="s">
        <v>2566</v>
      </c>
      <c r="F1081" t="s">
        <v>2876</v>
      </c>
      <c r="G1081" t="s">
        <v>221</v>
      </c>
      <c r="H1081" t="s">
        <v>173</v>
      </c>
      <c r="I1081" t="s">
        <v>174</v>
      </c>
      <c r="J1081" t="s">
        <v>16</v>
      </c>
      <c r="K1081" t="s">
        <v>1074</v>
      </c>
    </row>
    <row r="1082" spans="1:11" x14ac:dyDescent="0.35">
      <c r="A1082" t="s">
        <v>2017</v>
      </c>
      <c r="B1082" t="s">
        <v>66</v>
      </c>
      <c r="C1082" t="s">
        <v>2268</v>
      </c>
      <c r="D1082">
        <v>3</v>
      </c>
      <c r="E1082" t="s">
        <v>2376</v>
      </c>
      <c r="F1082" t="s">
        <v>2484</v>
      </c>
      <c r="G1082" t="s">
        <v>1976</v>
      </c>
      <c r="H1082" t="s">
        <v>169</v>
      </c>
      <c r="I1082" t="s">
        <v>170</v>
      </c>
      <c r="J1082" t="s">
        <v>16</v>
      </c>
      <c r="K1082" t="s">
        <v>1074</v>
      </c>
    </row>
    <row r="1083" spans="1:11" x14ac:dyDescent="0.35">
      <c r="A1083" t="s">
        <v>2018</v>
      </c>
      <c r="B1083" t="s">
        <v>18</v>
      </c>
      <c r="C1083" t="s">
        <v>2250</v>
      </c>
      <c r="D1083">
        <v>5</v>
      </c>
      <c r="E1083" t="s">
        <v>2589</v>
      </c>
      <c r="F1083" t="s">
        <v>2590</v>
      </c>
      <c r="G1083" t="s">
        <v>259</v>
      </c>
      <c r="H1083" t="s">
        <v>173</v>
      </c>
      <c r="I1083" t="s">
        <v>174</v>
      </c>
      <c r="J1083" t="s">
        <v>16</v>
      </c>
      <c r="K1083" t="s">
        <v>1074</v>
      </c>
    </row>
    <row r="1084" spans="1:11" x14ac:dyDescent="0.35">
      <c r="A1084" t="s">
        <v>1533</v>
      </c>
      <c r="B1084" t="s">
        <v>66</v>
      </c>
      <c r="C1084" t="s">
        <v>2268</v>
      </c>
      <c r="D1084">
        <v>3</v>
      </c>
      <c r="E1084" t="s">
        <v>2389</v>
      </c>
      <c r="F1084" t="s">
        <v>2341</v>
      </c>
      <c r="G1084" t="s">
        <v>138</v>
      </c>
      <c r="H1084" t="s">
        <v>14</v>
      </c>
      <c r="I1084" t="s">
        <v>15</v>
      </c>
      <c r="J1084" t="s">
        <v>16</v>
      </c>
      <c r="K1084" t="s">
        <v>50</v>
      </c>
    </row>
    <row r="1085" spans="1:11" x14ac:dyDescent="0.35">
      <c r="A1085" t="s">
        <v>2019</v>
      </c>
      <c r="B1085" t="s">
        <v>18</v>
      </c>
      <c r="C1085" t="s">
        <v>2250</v>
      </c>
      <c r="D1085">
        <v>5</v>
      </c>
      <c r="E1085" t="s">
        <v>2606</v>
      </c>
      <c r="F1085" t="s">
        <v>2333</v>
      </c>
      <c r="G1085" t="s">
        <v>594</v>
      </c>
      <c r="H1085" t="s">
        <v>173</v>
      </c>
      <c r="I1085" t="s">
        <v>174</v>
      </c>
      <c r="J1085" t="s">
        <v>16</v>
      </c>
      <c r="K1085" t="s">
        <v>1546</v>
      </c>
    </row>
    <row r="1086" spans="1:11" x14ac:dyDescent="0.35">
      <c r="A1086" t="s">
        <v>2020</v>
      </c>
      <c r="B1086" t="s">
        <v>18</v>
      </c>
      <c r="C1086" t="s">
        <v>2253</v>
      </c>
      <c r="D1086">
        <v>6</v>
      </c>
      <c r="E1086" t="s">
        <v>2877</v>
      </c>
      <c r="F1086" t="s">
        <v>2518</v>
      </c>
      <c r="G1086" t="s">
        <v>2021</v>
      </c>
      <c r="H1086" t="s">
        <v>2022</v>
      </c>
      <c r="I1086" t="s">
        <v>2023</v>
      </c>
      <c r="J1086" t="s">
        <v>16</v>
      </c>
      <c r="K1086" t="s">
        <v>55</v>
      </c>
    </row>
    <row r="1087" spans="1:11" x14ac:dyDescent="0.35">
      <c r="A1087" t="s">
        <v>2024</v>
      </c>
      <c r="B1087" t="s">
        <v>66</v>
      </c>
      <c r="C1087" t="s">
        <v>2268</v>
      </c>
      <c r="D1087">
        <v>3</v>
      </c>
      <c r="E1087" t="s">
        <v>2342</v>
      </c>
      <c r="F1087" t="s">
        <v>2343</v>
      </c>
      <c r="G1087" t="s">
        <v>599</v>
      </c>
      <c r="H1087" t="s">
        <v>195</v>
      </c>
      <c r="I1087" t="s">
        <v>196</v>
      </c>
      <c r="J1087" t="s">
        <v>16</v>
      </c>
      <c r="K1087" t="s">
        <v>50</v>
      </c>
    </row>
    <row r="1088" spans="1:11" x14ac:dyDescent="0.35">
      <c r="A1088" t="s">
        <v>2025</v>
      </c>
      <c r="B1088" t="s">
        <v>18</v>
      </c>
      <c r="C1088" t="s">
        <v>2297</v>
      </c>
      <c r="D1088">
        <v>6</v>
      </c>
      <c r="E1088" t="s">
        <v>2702</v>
      </c>
      <c r="F1088" t="s">
        <v>2423</v>
      </c>
      <c r="G1088" t="s">
        <v>1800</v>
      </c>
      <c r="H1088" t="s">
        <v>405</v>
      </c>
      <c r="I1088" t="s">
        <v>406</v>
      </c>
      <c r="J1088" t="s">
        <v>16</v>
      </c>
      <c r="K1088" t="s">
        <v>624</v>
      </c>
    </row>
    <row r="1089" spans="1:11" x14ac:dyDescent="0.35">
      <c r="A1089" t="s">
        <v>2026</v>
      </c>
      <c r="B1089" t="s">
        <v>18</v>
      </c>
      <c r="C1089" t="s">
        <v>2250</v>
      </c>
      <c r="D1089">
        <v>5</v>
      </c>
      <c r="E1089" t="s">
        <v>2503</v>
      </c>
      <c r="F1089" t="s">
        <v>2515</v>
      </c>
      <c r="G1089" t="s">
        <v>2027</v>
      </c>
      <c r="H1089" t="s">
        <v>233</v>
      </c>
      <c r="I1089" t="s">
        <v>234</v>
      </c>
      <c r="J1089" t="s">
        <v>16</v>
      </c>
      <c r="K1089" t="s">
        <v>728</v>
      </c>
    </row>
    <row r="1090" spans="1:11" x14ac:dyDescent="0.35">
      <c r="A1090" t="s">
        <v>2028</v>
      </c>
      <c r="B1090" t="s">
        <v>18</v>
      </c>
      <c r="C1090" t="s">
        <v>2250</v>
      </c>
      <c r="D1090">
        <v>5</v>
      </c>
      <c r="E1090" t="s">
        <v>2547</v>
      </c>
      <c r="F1090" t="s">
        <v>2333</v>
      </c>
      <c r="G1090" t="s">
        <v>573</v>
      </c>
      <c r="H1090" t="s">
        <v>145</v>
      </c>
      <c r="I1090" t="s">
        <v>146</v>
      </c>
      <c r="J1090" t="s">
        <v>16</v>
      </c>
      <c r="K1090" t="s">
        <v>1999</v>
      </c>
    </row>
    <row r="1091" spans="1:11" x14ac:dyDescent="0.35">
      <c r="A1091" t="s">
        <v>2029</v>
      </c>
      <c r="B1091" t="s">
        <v>18</v>
      </c>
      <c r="C1091" t="s">
        <v>2250</v>
      </c>
      <c r="D1091">
        <v>5</v>
      </c>
      <c r="E1091" t="s">
        <v>2814</v>
      </c>
      <c r="F1091" t="s">
        <v>2878</v>
      </c>
      <c r="G1091" t="s">
        <v>2030</v>
      </c>
      <c r="H1091" t="s">
        <v>118</v>
      </c>
      <c r="I1091" t="s">
        <v>119</v>
      </c>
      <c r="J1091" t="s">
        <v>16</v>
      </c>
      <c r="K1091" t="s">
        <v>1999</v>
      </c>
    </row>
    <row r="1092" spans="1:11" x14ac:dyDescent="0.35">
      <c r="A1092" t="s">
        <v>2031</v>
      </c>
      <c r="B1092" t="s">
        <v>18</v>
      </c>
      <c r="C1092" t="s">
        <v>2250</v>
      </c>
      <c r="D1092">
        <v>4</v>
      </c>
      <c r="E1092" t="s">
        <v>2879</v>
      </c>
      <c r="F1092" t="s">
        <v>2880</v>
      </c>
      <c r="G1092" t="s">
        <v>2032</v>
      </c>
      <c r="H1092" t="s">
        <v>118</v>
      </c>
      <c r="I1092" t="s">
        <v>119</v>
      </c>
      <c r="J1092" t="s">
        <v>16</v>
      </c>
      <c r="K1092" t="s">
        <v>1999</v>
      </c>
    </row>
    <row r="1093" spans="1:11" x14ac:dyDescent="0.35">
      <c r="A1093" t="s">
        <v>2033</v>
      </c>
      <c r="B1093" t="s">
        <v>18</v>
      </c>
      <c r="C1093" t="s">
        <v>2359</v>
      </c>
      <c r="D1093">
        <v>5</v>
      </c>
      <c r="E1093" t="s">
        <v>2358</v>
      </c>
      <c r="F1093" t="s">
        <v>2309</v>
      </c>
      <c r="G1093" t="s">
        <v>1957</v>
      </c>
      <c r="H1093" t="s">
        <v>430</v>
      </c>
      <c r="I1093" t="s">
        <v>431</v>
      </c>
      <c r="J1093" t="s">
        <v>16</v>
      </c>
      <c r="K1093" t="s">
        <v>948</v>
      </c>
    </row>
    <row r="1094" spans="1:11" x14ac:dyDescent="0.35">
      <c r="A1094" t="s">
        <v>2034</v>
      </c>
      <c r="B1094" t="s">
        <v>18</v>
      </c>
      <c r="C1094" t="s">
        <v>2268</v>
      </c>
      <c r="D1094">
        <v>3</v>
      </c>
      <c r="E1094" t="s">
        <v>2881</v>
      </c>
      <c r="F1094" t="s">
        <v>2806</v>
      </c>
      <c r="G1094" t="s">
        <v>2035</v>
      </c>
      <c r="H1094" t="s">
        <v>1623</v>
      </c>
      <c r="I1094" t="s">
        <v>1624</v>
      </c>
      <c r="J1094" t="s">
        <v>16</v>
      </c>
      <c r="K1094" t="s">
        <v>1074</v>
      </c>
    </row>
    <row r="1095" spans="1:11" x14ac:dyDescent="0.35">
      <c r="A1095" t="s">
        <v>2036</v>
      </c>
      <c r="B1095" t="s">
        <v>12</v>
      </c>
      <c r="C1095" t="s">
        <v>2268</v>
      </c>
      <c r="D1095">
        <v>3</v>
      </c>
      <c r="E1095" t="s">
        <v>2432</v>
      </c>
      <c r="F1095" t="s">
        <v>2765</v>
      </c>
      <c r="G1095" t="s">
        <v>2037</v>
      </c>
      <c r="H1095" t="s">
        <v>1623</v>
      </c>
      <c r="I1095" t="s">
        <v>1624</v>
      </c>
      <c r="J1095" t="s">
        <v>16</v>
      </c>
      <c r="K1095" t="s">
        <v>1409</v>
      </c>
    </row>
    <row r="1096" spans="1:11" x14ac:dyDescent="0.35">
      <c r="A1096" t="s">
        <v>2038</v>
      </c>
      <c r="B1096" t="s">
        <v>12</v>
      </c>
      <c r="C1096" t="s">
        <v>2264</v>
      </c>
      <c r="D1096">
        <v>3</v>
      </c>
      <c r="E1096" t="s">
        <v>2725</v>
      </c>
      <c r="F1096" t="s">
        <v>2882</v>
      </c>
      <c r="G1096" t="s">
        <v>2039</v>
      </c>
      <c r="H1096" t="s">
        <v>1623</v>
      </c>
      <c r="I1096" t="s">
        <v>1624</v>
      </c>
      <c r="J1096" t="s">
        <v>16</v>
      </c>
      <c r="K1096" t="s">
        <v>1409</v>
      </c>
    </row>
    <row r="1097" spans="1:11" x14ac:dyDescent="0.35">
      <c r="A1097" t="s">
        <v>2040</v>
      </c>
      <c r="B1097" t="s">
        <v>12</v>
      </c>
      <c r="C1097" t="s">
        <v>2264</v>
      </c>
      <c r="D1097">
        <v>3</v>
      </c>
      <c r="E1097" t="s">
        <v>2525</v>
      </c>
      <c r="F1097" t="s">
        <v>2883</v>
      </c>
      <c r="G1097" t="s">
        <v>818</v>
      </c>
      <c r="H1097" t="s">
        <v>141</v>
      </c>
      <c r="I1097" t="s">
        <v>142</v>
      </c>
      <c r="J1097" t="s">
        <v>16</v>
      </c>
      <c r="K1097" t="s">
        <v>454</v>
      </c>
    </row>
    <row r="1098" spans="1:11" x14ac:dyDescent="0.35">
      <c r="A1098" t="s">
        <v>2041</v>
      </c>
      <c r="B1098" t="s">
        <v>18</v>
      </c>
      <c r="C1098" t="s">
        <v>2250</v>
      </c>
      <c r="D1098">
        <v>5</v>
      </c>
      <c r="E1098" t="s">
        <v>2285</v>
      </c>
      <c r="F1098" t="s">
        <v>2303</v>
      </c>
      <c r="G1098" t="s">
        <v>2030</v>
      </c>
      <c r="H1098" t="s">
        <v>118</v>
      </c>
      <c r="I1098" t="s">
        <v>119</v>
      </c>
      <c r="J1098" t="s">
        <v>16</v>
      </c>
      <c r="K1098" t="s">
        <v>1999</v>
      </c>
    </row>
    <row r="1099" spans="1:11" x14ac:dyDescent="0.35">
      <c r="A1099" t="s">
        <v>2042</v>
      </c>
      <c r="B1099" t="s">
        <v>66</v>
      </c>
      <c r="C1099" t="s">
        <v>2268</v>
      </c>
      <c r="D1099">
        <v>3</v>
      </c>
      <c r="E1099" t="s">
        <v>2799</v>
      </c>
      <c r="F1099" t="s">
        <v>2286</v>
      </c>
      <c r="G1099" t="s">
        <v>2043</v>
      </c>
      <c r="H1099" t="s">
        <v>97</v>
      </c>
      <c r="I1099" t="s">
        <v>98</v>
      </c>
      <c r="J1099" t="s">
        <v>16</v>
      </c>
    </row>
    <row r="1100" spans="1:11" x14ac:dyDescent="0.35">
      <c r="A1100" t="s">
        <v>2044</v>
      </c>
      <c r="B1100" t="s">
        <v>66</v>
      </c>
      <c r="C1100" t="s">
        <v>2268</v>
      </c>
      <c r="D1100">
        <v>4</v>
      </c>
      <c r="E1100" t="s">
        <v>2884</v>
      </c>
      <c r="F1100" t="s">
        <v>2675</v>
      </c>
      <c r="G1100" t="s">
        <v>2043</v>
      </c>
      <c r="H1100" t="s">
        <v>97</v>
      </c>
      <c r="I1100" t="s">
        <v>98</v>
      </c>
      <c r="J1100" t="s">
        <v>16</v>
      </c>
    </row>
    <row r="1101" spans="1:11" x14ac:dyDescent="0.35">
      <c r="A1101" t="s">
        <v>2045</v>
      </c>
      <c r="B1101" t="s">
        <v>18</v>
      </c>
      <c r="C1101" t="s">
        <v>2264</v>
      </c>
      <c r="D1101">
        <v>4</v>
      </c>
      <c r="E1101" t="s">
        <v>2279</v>
      </c>
      <c r="F1101" t="s">
        <v>2404</v>
      </c>
      <c r="G1101" t="s">
        <v>2046</v>
      </c>
      <c r="H1101" t="s">
        <v>173</v>
      </c>
      <c r="I1101" t="s">
        <v>174</v>
      </c>
      <c r="J1101" t="s">
        <v>16</v>
      </c>
      <c r="K1101" t="s">
        <v>531</v>
      </c>
    </row>
    <row r="1102" spans="1:11" x14ac:dyDescent="0.35">
      <c r="A1102" t="s">
        <v>2047</v>
      </c>
      <c r="B1102" t="s">
        <v>66</v>
      </c>
      <c r="C1102" t="s">
        <v>2264</v>
      </c>
      <c r="D1102">
        <v>3</v>
      </c>
      <c r="E1102" t="s">
        <v>2537</v>
      </c>
      <c r="F1102" t="s">
        <v>2351</v>
      </c>
      <c r="G1102" t="s">
        <v>2048</v>
      </c>
      <c r="H1102" t="s">
        <v>145</v>
      </c>
      <c r="I1102" t="s">
        <v>146</v>
      </c>
      <c r="J1102" t="s">
        <v>16</v>
      </c>
    </row>
    <row r="1103" spans="1:11" x14ac:dyDescent="0.35">
      <c r="A1103" t="s">
        <v>2049</v>
      </c>
      <c r="B1103" t="s">
        <v>66</v>
      </c>
      <c r="C1103" t="s">
        <v>2250</v>
      </c>
      <c r="D1103">
        <v>4</v>
      </c>
      <c r="E1103" t="s">
        <v>2342</v>
      </c>
      <c r="F1103" t="s">
        <v>2280</v>
      </c>
      <c r="G1103" t="s">
        <v>2050</v>
      </c>
      <c r="H1103" t="s">
        <v>145</v>
      </c>
      <c r="I1103" t="s">
        <v>146</v>
      </c>
      <c r="J1103" t="s">
        <v>16</v>
      </c>
    </row>
    <row r="1104" spans="1:11" x14ac:dyDescent="0.35">
      <c r="A1104" t="s">
        <v>2051</v>
      </c>
      <c r="B1104" t="s">
        <v>2271</v>
      </c>
      <c r="E1104" t="s">
        <v>2258</v>
      </c>
      <c r="F1104" t="s">
        <v>2827</v>
      </c>
      <c r="G1104" t="s">
        <v>1281</v>
      </c>
      <c r="H1104" t="s">
        <v>58</v>
      </c>
      <c r="I1104" t="s">
        <v>59</v>
      </c>
      <c r="J1104" t="s">
        <v>16</v>
      </c>
    </row>
    <row r="1105" spans="1:11" x14ac:dyDescent="0.35">
      <c r="A1105" t="s">
        <v>2052</v>
      </c>
      <c r="B1105" t="s">
        <v>2271</v>
      </c>
      <c r="E1105" t="s">
        <v>2836</v>
      </c>
      <c r="F1105" t="s">
        <v>2286</v>
      </c>
      <c r="G1105" t="s">
        <v>2053</v>
      </c>
      <c r="H1105" t="s">
        <v>58</v>
      </c>
      <c r="I1105" t="s">
        <v>59</v>
      </c>
      <c r="J1105" t="s">
        <v>16</v>
      </c>
    </row>
    <row r="1106" spans="1:11" x14ac:dyDescent="0.35">
      <c r="A1106" t="s">
        <v>2054</v>
      </c>
      <c r="B1106" t="s">
        <v>2271</v>
      </c>
      <c r="E1106" t="s">
        <v>2625</v>
      </c>
      <c r="F1106" t="s">
        <v>2280</v>
      </c>
      <c r="G1106" t="s">
        <v>2055</v>
      </c>
      <c r="H1106" t="s">
        <v>58</v>
      </c>
      <c r="I1106" t="s">
        <v>59</v>
      </c>
      <c r="J1106" t="s">
        <v>16</v>
      </c>
      <c r="K1106" t="s">
        <v>1282</v>
      </c>
    </row>
    <row r="1107" spans="1:11" x14ac:dyDescent="0.35">
      <c r="A1107" t="s">
        <v>2056</v>
      </c>
      <c r="B1107" t="s">
        <v>2271</v>
      </c>
      <c r="E1107" t="s">
        <v>2633</v>
      </c>
      <c r="F1107" t="s">
        <v>2280</v>
      </c>
      <c r="G1107" t="s">
        <v>2057</v>
      </c>
      <c r="H1107" t="s">
        <v>16</v>
      </c>
      <c r="I1107" t="s">
        <v>224</v>
      </c>
      <c r="K1107" t="s">
        <v>1282</v>
      </c>
    </row>
    <row r="1108" spans="1:11" x14ac:dyDescent="0.35">
      <c r="A1108" t="s">
        <v>2058</v>
      </c>
      <c r="B1108" t="s">
        <v>2271</v>
      </c>
      <c r="E1108" t="s">
        <v>2355</v>
      </c>
      <c r="F1108" t="s">
        <v>2280</v>
      </c>
      <c r="G1108" t="s">
        <v>2057</v>
      </c>
      <c r="H1108" t="s">
        <v>16</v>
      </c>
      <c r="I1108" t="s">
        <v>224</v>
      </c>
      <c r="K1108" t="s">
        <v>1282</v>
      </c>
    </row>
    <row r="1109" spans="1:11" x14ac:dyDescent="0.35">
      <c r="A1109" t="s">
        <v>2059</v>
      </c>
      <c r="B1109" t="s">
        <v>2271</v>
      </c>
      <c r="E1109" t="s">
        <v>2885</v>
      </c>
      <c r="F1109" t="s">
        <v>2316</v>
      </c>
      <c r="G1109" t="s">
        <v>1281</v>
      </c>
      <c r="H1109" t="s">
        <v>58</v>
      </c>
      <c r="I1109" t="s">
        <v>59</v>
      </c>
      <c r="J1109" t="s">
        <v>16</v>
      </c>
      <c r="K1109" t="s">
        <v>1282</v>
      </c>
    </row>
    <row r="1110" spans="1:11" x14ac:dyDescent="0.35">
      <c r="A1110" t="s">
        <v>2060</v>
      </c>
      <c r="B1110" t="s">
        <v>2271</v>
      </c>
      <c r="E1110" t="s">
        <v>2258</v>
      </c>
      <c r="F1110" t="s">
        <v>2356</v>
      </c>
      <c r="G1110" t="s">
        <v>1298</v>
      </c>
      <c r="H1110" t="s">
        <v>16</v>
      </c>
      <c r="I1110" t="s">
        <v>224</v>
      </c>
      <c r="K1110" t="s">
        <v>1282</v>
      </c>
    </row>
    <row r="1111" spans="1:11" x14ac:dyDescent="0.35">
      <c r="A1111" t="s">
        <v>2061</v>
      </c>
      <c r="B1111" t="s">
        <v>18</v>
      </c>
      <c r="C1111" t="s">
        <v>2250</v>
      </c>
      <c r="D1111">
        <v>7</v>
      </c>
      <c r="E1111" t="s">
        <v>2279</v>
      </c>
      <c r="F1111" t="s">
        <v>2404</v>
      </c>
      <c r="G1111" t="s">
        <v>259</v>
      </c>
      <c r="H1111" t="s">
        <v>173</v>
      </c>
      <c r="I1111" t="s">
        <v>174</v>
      </c>
      <c r="J1111" t="s">
        <v>16</v>
      </c>
      <c r="K1111" t="s">
        <v>531</v>
      </c>
    </row>
    <row r="1112" spans="1:11" x14ac:dyDescent="0.35">
      <c r="A1112" t="s">
        <v>2062</v>
      </c>
      <c r="B1112" t="s">
        <v>12</v>
      </c>
      <c r="C1112" t="s">
        <v>2268</v>
      </c>
      <c r="D1112">
        <v>3</v>
      </c>
      <c r="E1112" t="s">
        <v>2389</v>
      </c>
      <c r="F1112" t="s">
        <v>2346</v>
      </c>
      <c r="G1112" t="s">
        <v>410</v>
      </c>
      <c r="H1112" t="s">
        <v>169</v>
      </c>
      <c r="I1112" t="s">
        <v>170</v>
      </c>
      <c r="J1112" t="s">
        <v>16</v>
      </c>
      <c r="K1112" t="s">
        <v>883</v>
      </c>
    </row>
    <row r="1113" spans="1:11" x14ac:dyDescent="0.35">
      <c r="A1113" t="s">
        <v>2063</v>
      </c>
      <c r="B1113" t="s">
        <v>66</v>
      </c>
      <c r="C1113" t="s">
        <v>2268</v>
      </c>
      <c r="D1113">
        <v>4</v>
      </c>
      <c r="E1113" t="s">
        <v>2386</v>
      </c>
      <c r="F1113" t="s">
        <v>2414</v>
      </c>
      <c r="G1113" t="s">
        <v>2064</v>
      </c>
      <c r="H1113" t="s">
        <v>28</v>
      </c>
      <c r="I1113" t="s">
        <v>29</v>
      </c>
      <c r="J1113" t="s">
        <v>16</v>
      </c>
    </row>
    <row r="1114" spans="1:11" x14ac:dyDescent="0.35">
      <c r="A1114" t="s">
        <v>2065</v>
      </c>
      <c r="B1114" t="s">
        <v>12</v>
      </c>
      <c r="C1114" t="s">
        <v>2247</v>
      </c>
      <c r="D1114">
        <v>6</v>
      </c>
      <c r="E1114" t="s">
        <v>2589</v>
      </c>
      <c r="F1114" t="s">
        <v>2282</v>
      </c>
      <c r="G1114" t="s">
        <v>2066</v>
      </c>
      <c r="H1114" t="s">
        <v>169</v>
      </c>
      <c r="I1114" t="s">
        <v>170</v>
      </c>
      <c r="J1114" t="s">
        <v>16</v>
      </c>
      <c r="K1114" t="s">
        <v>531</v>
      </c>
    </row>
    <row r="1115" spans="1:11" x14ac:dyDescent="0.35">
      <c r="A1115" t="s">
        <v>2067</v>
      </c>
      <c r="B1115" t="s">
        <v>66</v>
      </c>
      <c r="C1115" t="s">
        <v>2268</v>
      </c>
      <c r="D1115">
        <v>2</v>
      </c>
      <c r="E1115" t="s">
        <v>2886</v>
      </c>
      <c r="F1115" t="s">
        <v>2351</v>
      </c>
      <c r="G1115" t="s">
        <v>2068</v>
      </c>
      <c r="H1115" t="s">
        <v>145</v>
      </c>
      <c r="I1115" t="s">
        <v>146</v>
      </c>
      <c r="J1115" t="s">
        <v>16</v>
      </c>
      <c r="K1115" t="s">
        <v>1579</v>
      </c>
    </row>
    <row r="1116" spans="1:11" x14ac:dyDescent="0.35">
      <c r="A1116" t="s">
        <v>2069</v>
      </c>
      <c r="B1116" t="s">
        <v>12</v>
      </c>
      <c r="C1116" t="s">
        <v>2268</v>
      </c>
      <c r="D1116">
        <v>4</v>
      </c>
      <c r="E1116" t="s">
        <v>2638</v>
      </c>
      <c r="F1116" t="s">
        <v>2257</v>
      </c>
      <c r="G1116" t="s">
        <v>2070</v>
      </c>
      <c r="H1116" t="s">
        <v>169</v>
      </c>
      <c r="I1116" t="s">
        <v>170</v>
      </c>
      <c r="J1116" t="s">
        <v>16</v>
      </c>
    </row>
    <row r="1117" spans="1:11" x14ac:dyDescent="0.35">
      <c r="A1117" t="s">
        <v>2071</v>
      </c>
      <c r="B1117" t="s">
        <v>2271</v>
      </c>
      <c r="E1117" t="s">
        <v>2355</v>
      </c>
      <c r="F1117" t="s">
        <v>2263</v>
      </c>
      <c r="G1117" t="s">
        <v>2072</v>
      </c>
      <c r="H1117" t="s">
        <v>164</v>
      </c>
      <c r="I1117" t="s">
        <v>165</v>
      </c>
      <c r="J1117" t="s">
        <v>16</v>
      </c>
      <c r="K1117" t="s">
        <v>567</v>
      </c>
    </row>
    <row r="1118" spans="1:11" x14ac:dyDescent="0.35">
      <c r="A1118" t="s">
        <v>2073</v>
      </c>
      <c r="B1118" t="s">
        <v>2271</v>
      </c>
      <c r="E1118" t="s">
        <v>2887</v>
      </c>
      <c r="F1118" t="s">
        <v>2888</v>
      </c>
      <c r="G1118" t="s">
        <v>2074</v>
      </c>
      <c r="H1118" t="s">
        <v>145</v>
      </c>
      <c r="I1118" t="s">
        <v>146</v>
      </c>
      <c r="J1118" t="s">
        <v>16</v>
      </c>
      <c r="K1118" t="s">
        <v>574</v>
      </c>
    </row>
    <row r="1119" spans="1:11" x14ac:dyDescent="0.35">
      <c r="A1119" t="s">
        <v>2075</v>
      </c>
      <c r="B1119" t="s">
        <v>2271</v>
      </c>
      <c r="E1119" t="s">
        <v>2285</v>
      </c>
      <c r="F1119" t="s">
        <v>2889</v>
      </c>
      <c r="G1119" t="s">
        <v>2076</v>
      </c>
      <c r="H1119" t="s">
        <v>173</v>
      </c>
      <c r="I1119" t="s">
        <v>174</v>
      </c>
      <c r="J1119" t="s">
        <v>16</v>
      </c>
    </row>
    <row r="1120" spans="1:11" x14ac:dyDescent="0.35">
      <c r="A1120" t="s">
        <v>2077</v>
      </c>
      <c r="B1120" t="s">
        <v>66</v>
      </c>
      <c r="C1120" t="s">
        <v>2268</v>
      </c>
      <c r="D1120">
        <v>3</v>
      </c>
      <c r="E1120" t="s">
        <v>2570</v>
      </c>
      <c r="F1120" t="s">
        <v>2497</v>
      </c>
      <c r="G1120" t="s">
        <v>2078</v>
      </c>
      <c r="H1120" t="s">
        <v>1571</v>
      </c>
      <c r="I1120" t="s">
        <v>1572</v>
      </c>
      <c r="J1120" t="s">
        <v>16</v>
      </c>
      <c r="K1120" t="s">
        <v>2079</v>
      </c>
    </row>
    <row r="1121" spans="1:11" x14ac:dyDescent="0.35">
      <c r="A1121" t="s">
        <v>2080</v>
      </c>
      <c r="B1121" t="s">
        <v>18</v>
      </c>
      <c r="C1121" t="s">
        <v>2250</v>
      </c>
      <c r="D1121">
        <v>5</v>
      </c>
      <c r="E1121" t="s">
        <v>2659</v>
      </c>
      <c r="F1121" t="s">
        <v>2660</v>
      </c>
      <c r="G1121" t="s">
        <v>2081</v>
      </c>
      <c r="H1121" t="s">
        <v>1056</v>
      </c>
      <c r="I1121" t="s">
        <v>1057</v>
      </c>
      <c r="J1121" t="s">
        <v>16</v>
      </c>
      <c r="K1121" t="s">
        <v>2082</v>
      </c>
    </row>
    <row r="1122" spans="1:11" x14ac:dyDescent="0.35">
      <c r="A1122" t="s">
        <v>2083</v>
      </c>
      <c r="B1122" t="s">
        <v>66</v>
      </c>
      <c r="C1122" t="s">
        <v>2268</v>
      </c>
      <c r="D1122">
        <v>4</v>
      </c>
      <c r="E1122" t="s">
        <v>2300</v>
      </c>
      <c r="F1122" t="s">
        <v>2497</v>
      </c>
      <c r="G1122" t="s">
        <v>2043</v>
      </c>
      <c r="H1122" t="s">
        <v>97</v>
      </c>
      <c r="I1122" t="s">
        <v>98</v>
      </c>
      <c r="J1122" t="s">
        <v>16</v>
      </c>
    </row>
    <row r="1123" spans="1:11" x14ac:dyDescent="0.35">
      <c r="A1123" t="s">
        <v>2084</v>
      </c>
      <c r="B1123" t="s">
        <v>2274</v>
      </c>
      <c r="E1123" t="s">
        <v>2393</v>
      </c>
      <c r="F1123" t="s">
        <v>2890</v>
      </c>
      <c r="G1123" t="s">
        <v>2891</v>
      </c>
      <c r="H1123" t="s">
        <v>291</v>
      </c>
      <c r="I1123" t="s">
        <v>292</v>
      </c>
      <c r="J1123" t="s">
        <v>16</v>
      </c>
    </row>
    <row r="1124" spans="1:11" x14ac:dyDescent="0.35">
      <c r="A1124" t="s">
        <v>2085</v>
      </c>
      <c r="B1124" t="s">
        <v>18</v>
      </c>
      <c r="C1124" t="s">
        <v>2264</v>
      </c>
      <c r="D1124">
        <v>4</v>
      </c>
      <c r="E1124" t="s">
        <v>2406</v>
      </c>
      <c r="F1124" t="s">
        <v>2324</v>
      </c>
      <c r="G1124" t="s">
        <v>2086</v>
      </c>
      <c r="H1124" t="s">
        <v>125</v>
      </c>
      <c r="I1124" t="s">
        <v>126</v>
      </c>
      <c r="J1124" t="s">
        <v>16</v>
      </c>
      <c r="K1124" t="s">
        <v>407</v>
      </c>
    </row>
    <row r="1125" spans="1:11" x14ac:dyDescent="0.35">
      <c r="A1125" t="s">
        <v>2087</v>
      </c>
      <c r="B1125" t="s">
        <v>18</v>
      </c>
      <c r="C1125" t="s">
        <v>2250</v>
      </c>
      <c r="D1125">
        <v>5</v>
      </c>
      <c r="E1125" t="s">
        <v>2406</v>
      </c>
      <c r="F1125" t="s">
        <v>2324</v>
      </c>
      <c r="G1125" t="s">
        <v>2088</v>
      </c>
      <c r="H1125" t="s">
        <v>125</v>
      </c>
      <c r="I1125" t="s">
        <v>126</v>
      </c>
      <c r="J1125" t="s">
        <v>16</v>
      </c>
      <c r="K1125" t="s">
        <v>407</v>
      </c>
    </row>
    <row r="1126" spans="1:11" x14ac:dyDescent="0.35">
      <c r="A1126" t="s">
        <v>2089</v>
      </c>
      <c r="B1126" t="s">
        <v>66</v>
      </c>
      <c r="C1126" t="s">
        <v>2268</v>
      </c>
      <c r="D1126">
        <v>2</v>
      </c>
      <c r="E1126" t="s">
        <v>2653</v>
      </c>
      <c r="F1126" t="s">
        <v>2392</v>
      </c>
      <c r="G1126" t="s">
        <v>323</v>
      </c>
      <c r="H1126" t="s">
        <v>141</v>
      </c>
      <c r="I1126" t="s">
        <v>142</v>
      </c>
      <c r="J1126" t="s">
        <v>16</v>
      </c>
      <c r="K1126" t="s">
        <v>948</v>
      </c>
    </row>
    <row r="1127" spans="1:11" x14ac:dyDescent="0.35">
      <c r="A1127" t="s">
        <v>2090</v>
      </c>
      <c r="B1127" t="s">
        <v>12</v>
      </c>
      <c r="C1127" t="s">
        <v>2250</v>
      </c>
      <c r="D1127">
        <v>4</v>
      </c>
      <c r="E1127" t="s">
        <v>2625</v>
      </c>
      <c r="F1127" t="s">
        <v>2433</v>
      </c>
      <c r="G1127" t="s">
        <v>317</v>
      </c>
      <c r="H1127" t="s">
        <v>14</v>
      </c>
      <c r="I1127" t="s">
        <v>15</v>
      </c>
      <c r="J1127" t="s">
        <v>16</v>
      </c>
    </row>
    <row r="1128" spans="1:11" x14ac:dyDescent="0.35">
      <c r="A1128" t="s">
        <v>2091</v>
      </c>
      <c r="B1128" t="s">
        <v>66</v>
      </c>
      <c r="C1128" t="s">
        <v>2268</v>
      </c>
      <c r="D1128">
        <v>4</v>
      </c>
      <c r="E1128" t="s">
        <v>2312</v>
      </c>
      <c r="F1128" t="s">
        <v>2313</v>
      </c>
      <c r="G1128" t="s">
        <v>138</v>
      </c>
      <c r="H1128" t="s">
        <v>14</v>
      </c>
      <c r="I1128" t="s">
        <v>15</v>
      </c>
      <c r="J1128" t="s">
        <v>16</v>
      </c>
    </row>
    <row r="1129" spans="1:11" x14ac:dyDescent="0.35">
      <c r="A1129" t="s">
        <v>2092</v>
      </c>
      <c r="B1129" t="s">
        <v>18</v>
      </c>
      <c r="C1129" t="s">
        <v>2250</v>
      </c>
      <c r="D1129">
        <v>5</v>
      </c>
      <c r="E1129" t="s">
        <v>2892</v>
      </c>
      <c r="F1129" t="s">
        <v>2753</v>
      </c>
      <c r="G1129" t="s">
        <v>2093</v>
      </c>
      <c r="H1129" t="s">
        <v>382</v>
      </c>
      <c r="I1129" t="s">
        <v>383</v>
      </c>
      <c r="J1129" t="s">
        <v>16</v>
      </c>
    </row>
    <row r="1130" spans="1:11" x14ac:dyDescent="0.35">
      <c r="A1130" t="s">
        <v>2094</v>
      </c>
      <c r="B1130" t="s">
        <v>2271</v>
      </c>
      <c r="E1130" t="s">
        <v>2397</v>
      </c>
      <c r="F1130" t="s">
        <v>2783</v>
      </c>
      <c r="G1130" t="s">
        <v>2095</v>
      </c>
      <c r="H1130" t="s">
        <v>405</v>
      </c>
      <c r="I1130" t="s">
        <v>406</v>
      </c>
      <c r="J1130" t="s">
        <v>16</v>
      </c>
    </row>
    <row r="1131" spans="1:11" x14ac:dyDescent="0.35">
      <c r="A1131" t="s">
        <v>2096</v>
      </c>
      <c r="B1131" t="s">
        <v>2271</v>
      </c>
      <c r="E1131" t="s">
        <v>2893</v>
      </c>
      <c r="F1131" t="s">
        <v>2894</v>
      </c>
      <c r="G1131" t="s">
        <v>2097</v>
      </c>
      <c r="H1131" t="s">
        <v>145</v>
      </c>
      <c r="I1131" t="s">
        <v>146</v>
      </c>
      <c r="J1131" t="s">
        <v>16</v>
      </c>
      <c r="K1131" t="s">
        <v>2098</v>
      </c>
    </row>
    <row r="1132" spans="1:11" x14ac:dyDescent="0.35">
      <c r="A1132" t="s">
        <v>2099</v>
      </c>
      <c r="B1132" t="s">
        <v>12</v>
      </c>
      <c r="C1132" t="s">
        <v>2264</v>
      </c>
      <c r="D1132">
        <v>5</v>
      </c>
      <c r="E1132" t="s">
        <v>2582</v>
      </c>
      <c r="F1132" t="s">
        <v>2555</v>
      </c>
      <c r="G1132" t="s">
        <v>2100</v>
      </c>
      <c r="H1132" t="s">
        <v>28</v>
      </c>
      <c r="I1132" t="s">
        <v>29</v>
      </c>
      <c r="J1132" t="s">
        <v>16</v>
      </c>
      <c r="K1132" t="s">
        <v>77</v>
      </c>
    </row>
    <row r="1133" spans="1:11" x14ac:dyDescent="0.35">
      <c r="A1133" t="s">
        <v>2101</v>
      </c>
      <c r="B1133" t="s">
        <v>12</v>
      </c>
      <c r="C1133" t="s">
        <v>2264</v>
      </c>
      <c r="D1133">
        <v>4</v>
      </c>
      <c r="E1133" t="s">
        <v>2582</v>
      </c>
      <c r="F1133" t="s">
        <v>2555</v>
      </c>
      <c r="G1133" t="s">
        <v>2102</v>
      </c>
      <c r="H1133" t="s">
        <v>28</v>
      </c>
      <c r="I1133" t="s">
        <v>29</v>
      </c>
      <c r="J1133" t="s">
        <v>16</v>
      </c>
      <c r="K1133" t="s">
        <v>77</v>
      </c>
    </row>
    <row r="1134" spans="1:11" x14ac:dyDescent="0.35">
      <c r="A1134" t="s">
        <v>2103</v>
      </c>
      <c r="B1134" t="s">
        <v>12</v>
      </c>
      <c r="C1134" t="s">
        <v>2264</v>
      </c>
      <c r="D1134">
        <v>4</v>
      </c>
      <c r="E1134" t="s">
        <v>2582</v>
      </c>
      <c r="F1134" t="s">
        <v>2449</v>
      </c>
      <c r="G1134" t="s">
        <v>76</v>
      </c>
      <c r="H1134" t="s">
        <v>28</v>
      </c>
      <c r="I1134" t="s">
        <v>29</v>
      </c>
      <c r="J1134" t="s">
        <v>16</v>
      </c>
      <c r="K1134" t="s">
        <v>77</v>
      </c>
    </row>
    <row r="1135" spans="1:11" x14ac:dyDescent="0.35">
      <c r="A1135" t="s">
        <v>2104</v>
      </c>
      <c r="B1135" t="s">
        <v>12</v>
      </c>
      <c r="C1135" t="s">
        <v>2268</v>
      </c>
      <c r="D1135">
        <v>3</v>
      </c>
      <c r="E1135" t="s">
        <v>2384</v>
      </c>
      <c r="F1135" t="s">
        <v>2839</v>
      </c>
      <c r="G1135" t="s">
        <v>76</v>
      </c>
      <c r="H1135" t="s">
        <v>28</v>
      </c>
      <c r="I1135" t="s">
        <v>29</v>
      </c>
      <c r="J1135" t="s">
        <v>16</v>
      </c>
      <c r="K1135" t="s">
        <v>77</v>
      </c>
    </row>
    <row r="1136" spans="1:11" x14ac:dyDescent="0.35">
      <c r="A1136" t="s">
        <v>2105</v>
      </c>
      <c r="B1136" t="s">
        <v>18</v>
      </c>
      <c r="C1136" t="s">
        <v>2297</v>
      </c>
      <c r="D1136">
        <v>7</v>
      </c>
      <c r="E1136" t="s">
        <v>2712</v>
      </c>
      <c r="F1136" t="s">
        <v>2351</v>
      </c>
      <c r="G1136" t="s">
        <v>2106</v>
      </c>
      <c r="H1136" t="s">
        <v>1803</v>
      </c>
      <c r="I1136" t="s">
        <v>1804</v>
      </c>
      <c r="J1136" t="s">
        <v>16</v>
      </c>
      <c r="K1136" t="s">
        <v>1579</v>
      </c>
    </row>
    <row r="1137" spans="1:11" x14ac:dyDescent="0.35">
      <c r="A1137" t="s">
        <v>2107</v>
      </c>
      <c r="B1137" t="s">
        <v>12</v>
      </c>
      <c r="C1137" t="s">
        <v>2268</v>
      </c>
      <c r="D1137">
        <v>4</v>
      </c>
      <c r="E1137" t="s">
        <v>2260</v>
      </c>
      <c r="F1137" t="s">
        <v>2322</v>
      </c>
      <c r="G1137" t="s">
        <v>934</v>
      </c>
      <c r="H1137" t="s">
        <v>48</v>
      </c>
      <c r="I1137" t="s">
        <v>49</v>
      </c>
      <c r="J1137" t="s">
        <v>16</v>
      </c>
      <c r="K1137" t="s">
        <v>50</v>
      </c>
    </row>
    <row r="1138" spans="1:11" x14ac:dyDescent="0.35">
      <c r="A1138" t="s">
        <v>2108</v>
      </c>
      <c r="B1138" t="s">
        <v>12</v>
      </c>
      <c r="C1138" t="s">
        <v>2268</v>
      </c>
      <c r="D1138">
        <v>3</v>
      </c>
      <c r="E1138" t="s">
        <v>2260</v>
      </c>
      <c r="F1138" t="s">
        <v>2322</v>
      </c>
      <c r="G1138" t="s">
        <v>2109</v>
      </c>
      <c r="H1138" t="s">
        <v>48</v>
      </c>
      <c r="I1138" t="s">
        <v>49</v>
      </c>
      <c r="J1138" t="s">
        <v>16</v>
      </c>
      <c r="K1138" t="s">
        <v>50</v>
      </c>
    </row>
    <row r="1139" spans="1:11" x14ac:dyDescent="0.35">
      <c r="A1139" t="s">
        <v>2110</v>
      </c>
      <c r="B1139" t="s">
        <v>12</v>
      </c>
      <c r="C1139" t="s">
        <v>2268</v>
      </c>
      <c r="D1139">
        <v>5</v>
      </c>
      <c r="E1139" t="s">
        <v>2653</v>
      </c>
      <c r="F1139" t="s">
        <v>2675</v>
      </c>
      <c r="G1139" t="s">
        <v>2111</v>
      </c>
      <c r="H1139" t="s">
        <v>169</v>
      </c>
      <c r="I1139" t="s">
        <v>170</v>
      </c>
      <c r="J1139" t="s">
        <v>16</v>
      </c>
      <c r="K1139" t="s">
        <v>77</v>
      </c>
    </row>
    <row r="1140" spans="1:11" x14ac:dyDescent="0.35">
      <c r="A1140" t="s">
        <v>2112</v>
      </c>
      <c r="B1140" t="s">
        <v>12</v>
      </c>
      <c r="C1140" t="s">
        <v>2268</v>
      </c>
      <c r="D1140">
        <v>3</v>
      </c>
      <c r="E1140" t="s">
        <v>2589</v>
      </c>
      <c r="F1140" t="s">
        <v>2282</v>
      </c>
      <c r="G1140" t="s">
        <v>1795</v>
      </c>
      <c r="H1140" t="s">
        <v>169</v>
      </c>
      <c r="I1140" t="s">
        <v>170</v>
      </c>
      <c r="J1140" t="s">
        <v>16</v>
      </c>
      <c r="K1140" t="s">
        <v>531</v>
      </c>
    </row>
    <row r="1141" spans="1:11" x14ac:dyDescent="0.35">
      <c r="A1141" t="s">
        <v>2113</v>
      </c>
      <c r="B1141" t="s">
        <v>2274</v>
      </c>
      <c r="C1141" t="s">
        <v>2268</v>
      </c>
      <c r="D1141">
        <v>3</v>
      </c>
      <c r="E1141" t="s">
        <v>2279</v>
      </c>
      <c r="F1141" t="s">
        <v>2523</v>
      </c>
      <c r="G1141" t="s">
        <v>138</v>
      </c>
      <c r="H1141" t="s">
        <v>14</v>
      </c>
      <c r="I1141" t="s">
        <v>15</v>
      </c>
      <c r="J1141" t="s">
        <v>16</v>
      </c>
      <c r="K1141" t="s">
        <v>531</v>
      </c>
    </row>
    <row r="1142" spans="1:11" x14ac:dyDescent="0.35">
      <c r="A1142" t="s">
        <v>2114</v>
      </c>
      <c r="B1142" t="s">
        <v>12</v>
      </c>
      <c r="C1142" t="s">
        <v>2268</v>
      </c>
      <c r="D1142">
        <v>3</v>
      </c>
      <c r="E1142" t="s">
        <v>2589</v>
      </c>
      <c r="F1142" t="s">
        <v>2282</v>
      </c>
      <c r="G1142" t="s">
        <v>1293</v>
      </c>
      <c r="H1142" t="s">
        <v>169</v>
      </c>
      <c r="I1142" t="s">
        <v>170</v>
      </c>
      <c r="J1142" t="s">
        <v>16</v>
      </c>
      <c r="K1142" t="s">
        <v>531</v>
      </c>
    </row>
    <row r="1143" spans="1:11" x14ac:dyDescent="0.35">
      <c r="A1143" t="s">
        <v>2115</v>
      </c>
      <c r="B1143" t="s">
        <v>18</v>
      </c>
      <c r="C1143" t="s">
        <v>2247</v>
      </c>
      <c r="D1143">
        <v>6</v>
      </c>
      <c r="E1143" t="s">
        <v>2258</v>
      </c>
      <c r="F1143" t="s">
        <v>2404</v>
      </c>
      <c r="G1143" t="s">
        <v>2116</v>
      </c>
      <c r="H1143" t="s">
        <v>173</v>
      </c>
      <c r="I1143" t="s">
        <v>174</v>
      </c>
      <c r="J1143" t="s">
        <v>16</v>
      </c>
      <c r="K1143" t="s">
        <v>531</v>
      </c>
    </row>
    <row r="1144" spans="1:11" x14ac:dyDescent="0.35">
      <c r="A1144" t="s">
        <v>2117</v>
      </c>
      <c r="B1144" t="s">
        <v>18</v>
      </c>
      <c r="C1144" t="s">
        <v>2250</v>
      </c>
      <c r="D1144">
        <v>6</v>
      </c>
      <c r="E1144" t="s">
        <v>2895</v>
      </c>
      <c r="F1144" t="s">
        <v>2318</v>
      </c>
      <c r="G1144" t="s">
        <v>2118</v>
      </c>
      <c r="H1144" t="s">
        <v>825</v>
      </c>
      <c r="I1144" t="s">
        <v>826</v>
      </c>
      <c r="J1144" t="s">
        <v>16</v>
      </c>
    </row>
    <row r="1145" spans="1:11" x14ac:dyDescent="0.35">
      <c r="A1145" t="s">
        <v>2119</v>
      </c>
      <c r="B1145" t="s">
        <v>66</v>
      </c>
      <c r="C1145" t="s">
        <v>2268</v>
      </c>
      <c r="D1145">
        <v>3</v>
      </c>
      <c r="E1145" t="s">
        <v>2454</v>
      </c>
      <c r="F1145" t="s">
        <v>2414</v>
      </c>
      <c r="G1145" t="s">
        <v>2120</v>
      </c>
      <c r="H1145" t="s">
        <v>450</v>
      </c>
      <c r="I1145" t="s">
        <v>451</v>
      </c>
      <c r="J1145" t="s">
        <v>16</v>
      </c>
    </row>
    <row r="1146" spans="1:11" x14ac:dyDescent="0.35">
      <c r="A1146" t="s">
        <v>2121</v>
      </c>
      <c r="B1146" t="s">
        <v>66</v>
      </c>
      <c r="C1146" t="s">
        <v>2429</v>
      </c>
      <c r="D1146">
        <v>3</v>
      </c>
      <c r="E1146" t="s">
        <v>2692</v>
      </c>
      <c r="F1146" t="s">
        <v>2351</v>
      </c>
      <c r="G1146" t="s">
        <v>2122</v>
      </c>
      <c r="H1146" t="s">
        <v>255</v>
      </c>
      <c r="I1146" t="s">
        <v>256</v>
      </c>
      <c r="J1146" t="s">
        <v>16</v>
      </c>
    </row>
    <row r="1147" spans="1:11" x14ac:dyDescent="0.35">
      <c r="A1147" t="s">
        <v>2123</v>
      </c>
      <c r="B1147" t="s">
        <v>18</v>
      </c>
      <c r="C1147" t="s">
        <v>2250</v>
      </c>
      <c r="D1147">
        <v>3</v>
      </c>
      <c r="E1147" t="s">
        <v>2258</v>
      </c>
      <c r="F1147" t="s">
        <v>2518</v>
      </c>
      <c r="G1147" t="s">
        <v>2124</v>
      </c>
      <c r="H1147" t="s">
        <v>28</v>
      </c>
      <c r="I1147" t="s">
        <v>29</v>
      </c>
      <c r="J1147" t="s">
        <v>16</v>
      </c>
    </row>
    <row r="1148" spans="1:11" x14ac:dyDescent="0.35">
      <c r="A1148" t="s">
        <v>2125</v>
      </c>
      <c r="B1148" t="s">
        <v>66</v>
      </c>
      <c r="C1148" t="s">
        <v>2264</v>
      </c>
      <c r="D1148">
        <v>3</v>
      </c>
      <c r="E1148" t="s">
        <v>2475</v>
      </c>
      <c r="F1148" t="s">
        <v>2514</v>
      </c>
      <c r="G1148" t="s">
        <v>2126</v>
      </c>
      <c r="H1148" t="s">
        <v>241</v>
      </c>
      <c r="I1148" t="s">
        <v>242</v>
      </c>
      <c r="J1148" t="s">
        <v>16</v>
      </c>
    </row>
    <row r="1149" spans="1:11" x14ac:dyDescent="0.35">
      <c r="A1149" t="s">
        <v>2127</v>
      </c>
      <c r="B1149" t="s">
        <v>18</v>
      </c>
      <c r="C1149" t="s">
        <v>2359</v>
      </c>
      <c r="D1149">
        <v>9</v>
      </c>
      <c r="E1149" t="s">
        <v>2289</v>
      </c>
      <c r="F1149" t="s">
        <v>2252</v>
      </c>
      <c r="G1149" t="s">
        <v>307</v>
      </c>
      <c r="H1149" t="s">
        <v>233</v>
      </c>
      <c r="I1149" t="s">
        <v>234</v>
      </c>
      <c r="J1149" t="s">
        <v>16</v>
      </c>
    </row>
    <row r="1150" spans="1:11" x14ac:dyDescent="0.35">
      <c r="A1150" t="s">
        <v>2128</v>
      </c>
      <c r="B1150" t="s">
        <v>18</v>
      </c>
      <c r="C1150" t="s">
        <v>2250</v>
      </c>
      <c r="D1150">
        <v>8</v>
      </c>
      <c r="E1150" t="s">
        <v>2258</v>
      </c>
      <c r="F1150" t="s">
        <v>2270</v>
      </c>
      <c r="G1150" t="s">
        <v>647</v>
      </c>
      <c r="H1150" t="s">
        <v>145</v>
      </c>
      <c r="I1150" t="s">
        <v>146</v>
      </c>
      <c r="J1150" t="s">
        <v>16</v>
      </c>
    </row>
    <row r="1151" spans="1:11" x14ac:dyDescent="0.35">
      <c r="A1151" t="s">
        <v>2129</v>
      </c>
      <c r="B1151" t="s">
        <v>66</v>
      </c>
      <c r="C1151" t="s">
        <v>2268</v>
      </c>
      <c r="D1151">
        <v>3</v>
      </c>
      <c r="E1151" t="s">
        <v>2549</v>
      </c>
      <c r="F1151" t="s">
        <v>2896</v>
      </c>
      <c r="G1151" t="s">
        <v>2130</v>
      </c>
      <c r="H1151" t="s">
        <v>233</v>
      </c>
      <c r="I1151" t="s">
        <v>234</v>
      </c>
      <c r="J1151" t="s">
        <v>16</v>
      </c>
    </row>
    <row r="1152" spans="1:11" x14ac:dyDescent="0.35">
      <c r="A1152" t="s">
        <v>2131</v>
      </c>
      <c r="B1152" t="s">
        <v>66</v>
      </c>
      <c r="C1152" t="s">
        <v>2268</v>
      </c>
      <c r="D1152">
        <v>2</v>
      </c>
      <c r="E1152" t="s">
        <v>2897</v>
      </c>
      <c r="F1152" t="s">
        <v>2346</v>
      </c>
      <c r="G1152" t="s">
        <v>2132</v>
      </c>
      <c r="H1152" t="s">
        <v>24</v>
      </c>
      <c r="I1152" t="s">
        <v>25</v>
      </c>
      <c r="J1152" t="s">
        <v>16</v>
      </c>
    </row>
    <row r="1153" spans="1:11" x14ac:dyDescent="0.35">
      <c r="A1153" t="s">
        <v>2133</v>
      </c>
      <c r="B1153" t="s">
        <v>66</v>
      </c>
      <c r="C1153" t="s">
        <v>2268</v>
      </c>
      <c r="D1153">
        <v>4</v>
      </c>
      <c r="E1153" t="s">
        <v>2378</v>
      </c>
      <c r="F1153" t="s">
        <v>2379</v>
      </c>
      <c r="G1153" t="s">
        <v>261</v>
      </c>
      <c r="H1153" t="s">
        <v>186</v>
      </c>
      <c r="I1153" t="s">
        <v>187</v>
      </c>
      <c r="J1153" t="s">
        <v>16</v>
      </c>
    </row>
    <row r="1154" spans="1:11" x14ac:dyDescent="0.35">
      <c r="A1154" t="s">
        <v>2134</v>
      </c>
      <c r="B1154" t="s">
        <v>66</v>
      </c>
      <c r="C1154" t="s">
        <v>2264</v>
      </c>
      <c r="D1154">
        <v>3</v>
      </c>
      <c r="E1154" t="s">
        <v>2325</v>
      </c>
      <c r="F1154" t="s">
        <v>2280</v>
      </c>
      <c r="G1154" t="s">
        <v>273</v>
      </c>
      <c r="H1154" t="s">
        <v>169</v>
      </c>
      <c r="I1154" t="s">
        <v>170</v>
      </c>
      <c r="J1154" t="s">
        <v>16</v>
      </c>
    </row>
    <row r="1155" spans="1:11" x14ac:dyDescent="0.35">
      <c r="A1155" t="s">
        <v>2135</v>
      </c>
      <c r="B1155" t="s">
        <v>66</v>
      </c>
      <c r="C1155" t="s">
        <v>2268</v>
      </c>
      <c r="D1155">
        <v>5</v>
      </c>
      <c r="E1155" t="s">
        <v>2653</v>
      </c>
      <c r="F1155" t="s">
        <v>2642</v>
      </c>
      <c r="G1155" t="s">
        <v>2136</v>
      </c>
      <c r="H1155" t="s">
        <v>141</v>
      </c>
      <c r="I1155" t="s">
        <v>142</v>
      </c>
      <c r="J1155" t="s">
        <v>16</v>
      </c>
    </row>
    <row r="1156" spans="1:11" x14ac:dyDescent="0.35">
      <c r="A1156" t="s">
        <v>2137</v>
      </c>
      <c r="B1156" t="s">
        <v>18</v>
      </c>
      <c r="C1156" t="s">
        <v>2264</v>
      </c>
      <c r="D1156">
        <v>3</v>
      </c>
      <c r="E1156" t="s">
        <v>2300</v>
      </c>
      <c r="F1156" t="s">
        <v>2898</v>
      </c>
      <c r="G1156" t="s">
        <v>901</v>
      </c>
      <c r="H1156" t="s">
        <v>382</v>
      </c>
      <c r="I1156" t="s">
        <v>383</v>
      </c>
      <c r="J1156" t="s">
        <v>16</v>
      </c>
      <c r="K1156" t="s">
        <v>77</v>
      </c>
    </row>
    <row r="1157" spans="1:11" x14ac:dyDescent="0.35">
      <c r="A1157" t="s">
        <v>2138</v>
      </c>
      <c r="B1157" t="s">
        <v>12</v>
      </c>
      <c r="C1157" t="s">
        <v>2264</v>
      </c>
      <c r="D1157">
        <v>4</v>
      </c>
      <c r="E1157" t="s">
        <v>2582</v>
      </c>
      <c r="F1157" t="s">
        <v>2449</v>
      </c>
      <c r="G1157" t="s">
        <v>2139</v>
      </c>
      <c r="H1157" t="s">
        <v>28</v>
      </c>
      <c r="I1157" t="s">
        <v>29</v>
      </c>
      <c r="J1157" t="s">
        <v>16</v>
      </c>
      <c r="K1157" t="s">
        <v>77</v>
      </c>
    </row>
    <row r="1158" spans="1:11" x14ac:dyDescent="0.35">
      <c r="A1158" t="s">
        <v>2140</v>
      </c>
      <c r="B1158" t="s">
        <v>18</v>
      </c>
      <c r="C1158" t="s">
        <v>2250</v>
      </c>
      <c r="D1158">
        <v>7</v>
      </c>
      <c r="E1158" t="s">
        <v>2300</v>
      </c>
      <c r="F1158" t="s">
        <v>2898</v>
      </c>
      <c r="G1158" t="s">
        <v>852</v>
      </c>
      <c r="H1158" t="s">
        <v>382</v>
      </c>
      <c r="I1158" t="s">
        <v>383</v>
      </c>
      <c r="J1158" t="s">
        <v>16</v>
      </c>
      <c r="K1158" t="s">
        <v>77</v>
      </c>
    </row>
    <row r="1159" spans="1:11" x14ac:dyDescent="0.35">
      <c r="A1159" t="s">
        <v>2141</v>
      </c>
      <c r="B1159" t="s">
        <v>66</v>
      </c>
      <c r="C1159" t="s">
        <v>2268</v>
      </c>
      <c r="D1159">
        <v>3</v>
      </c>
      <c r="E1159" t="s">
        <v>2454</v>
      </c>
      <c r="F1159" t="s">
        <v>2899</v>
      </c>
      <c r="G1159" t="s">
        <v>2142</v>
      </c>
      <c r="H1159" t="s">
        <v>443</v>
      </c>
      <c r="I1159" t="s">
        <v>444</v>
      </c>
      <c r="J1159" t="s">
        <v>16</v>
      </c>
      <c r="K1159" t="s">
        <v>2143</v>
      </c>
    </row>
    <row r="1160" spans="1:11" x14ac:dyDescent="0.35">
      <c r="A1160" t="s">
        <v>2144</v>
      </c>
      <c r="B1160" t="s">
        <v>12</v>
      </c>
      <c r="C1160" t="s">
        <v>2250</v>
      </c>
      <c r="D1160">
        <v>6</v>
      </c>
      <c r="E1160" t="s">
        <v>2499</v>
      </c>
      <c r="F1160" t="s">
        <v>2331</v>
      </c>
      <c r="G1160" t="s">
        <v>975</v>
      </c>
      <c r="H1160" t="s">
        <v>405</v>
      </c>
      <c r="I1160" t="s">
        <v>406</v>
      </c>
      <c r="J1160" t="s">
        <v>16</v>
      </c>
      <c r="K1160" t="s">
        <v>407</v>
      </c>
    </row>
    <row r="1161" spans="1:11" x14ac:dyDescent="0.35">
      <c r="A1161" t="s">
        <v>2145</v>
      </c>
      <c r="B1161" t="s">
        <v>12</v>
      </c>
      <c r="C1161" t="s">
        <v>2268</v>
      </c>
      <c r="D1161">
        <v>4</v>
      </c>
      <c r="E1161" t="s">
        <v>2638</v>
      </c>
      <c r="F1161" t="s">
        <v>2476</v>
      </c>
      <c r="G1161" t="s">
        <v>2146</v>
      </c>
      <c r="H1161" t="s">
        <v>169</v>
      </c>
      <c r="I1161" t="s">
        <v>170</v>
      </c>
      <c r="J1161" t="s">
        <v>16</v>
      </c>
      <c r="K1161" t="s">
        <v>407</v>
      </c>
    </row>
    <row r="1162" spans="1:11" x14ac:dyDescent="0.35">
      <c r="A1162" t="s">
        <v>2147</v>
      </c>
      <c r="B1162" t="s">
        <v>12</v>
      </c>
      <c r="C1162" t="s">
        <v>2268</v>
      </c>
      <c r="D1162">
        <v>3</v>
      </c>
      <c r="E1162" t="s">
        <v>2864</v>
      </c>
      <c r="F1162" t="s">
        <v>2257</v>
      </c>
      <c r="G1162" t="s">
        <v>1367</v>
      </c>
      <c r="H1162" t="s">
        <v>405</v>
      </c>
      <c r="I1162" t="s">
        <v>406</v>
      </c>
      <c r="J1162" t="s">
        <v>16</v>
      </c>
      <c r="K1162" t="s">
        <v>407</v>
      </c>
    </row>
    <row r="1163" spans="1:11" x14ac:dyDescent="0.35">
      <c r="A1163" t="s">
        <v>2148</v>
      </c>
      <c r="B1163" t="s">
        <v>12</v>
      </c>
      <c r="C1163" t="s">
        <v>2268</v>
      </c>
      <c r="D1163">
        <v>3</v>
      </c>
      <c r="E1163" t="s">
        <v>2340</v>
      </c>
      <c r="F1163" t="s">
        <v>2675</v>
      </c>
      <c r="G1163" t="s">
        <v>975</v>
      </c>
      <c r="H1163" t="s">
        <v>405</v>
      </c>
      <c r="I1163" t="s">
        <v>406</v>
      </c>
      <c r="J1163" t="s">
        <v>16</v>
      </c>
      <c r="K1163" t="s">
        <v>407</v>
      </c>
    </row>
    <row r="1164" spans="1:11" x14ac:dyDescent="0.35">
      <c r="A1164" t="s">
        <v>2149</v>
      </c>
      <c r="B1164" t="s">
        <v>12</v>
      </c>
      <c r="C1164" t="s">
        <v>2268</v>
      </c>
      <c r="D1164">
        <v>3</v>
      </c>
      <c r="E1164" t="s">
        <v>2496</v>
      </c>
      <c r="F1164" t="s">
        <v>2497</v>
      </c>
      <c r="G1164" t="s">
        <v>2150</v>
      </c>
      <c r="H1164" t="s">
        <v>97</v>
      </c>
      <c r="I1164" t="s">
        <v>98</v>
      </c>
      <c r="J1164" t="s">
        <v>16</v>
      </c>
      <c r="K1164" t="s">
        <v>407</v>
      </c>
    </row>
    <row r="1165" spans="1:11" x14ac:dyDescent="0.35">
      <c r="A1165" t="s">
        <v>2151</v>
      </c>
      <c r="B1165" t="s">
        <v>12</v>
      </c>
      <c r="C1165" t="s">
        <v>2264</v>
      </c>
      <c r="D1165">
        <v>4</v>
      </c>
      <c r="E1165" t="s">
        <v>2582</v>
      </c>
      <c r="F1165" t="s">
        <v>2555</v>
      </c>
      <c r="G1165" t="s">
        <v>76</v>
      </c>
      <c r="H1165" t="s">
        <v>28</v>
      </c>
      <c r="I1165" t="s">
        <v>29</v>
      </c>
      <c r="J1165" t="s">
        <v>16</v>
      </c>
      <c r="K1165" t="s">
        <v>1555</v>
      </c>
    </row>
    <row r="1166" spans="1:11" x14ac:dyDescent="0.35">
      <c r="A1166" t="s">
        <v>2152</v>
      </c>
      <c r="B1166" t="s">
        <v>18</v>
      </c>
      <c r="C1166" t="s">
        <v>2268</v>
      </c>
      <c r="D1166">
        <v>4</v>
      </c>
      <c r="E1166" t="s">
        <v>2674</v>
      </c>
      <c r="F1166" t="s">
        <v>2270</v>
      </c>
      <c r="G1166" t="s">
        <v>1596</v>
      </c>
      <c r="H1166" t="s">
        <v>218</v>
      </c>
      <c r="I1166" t="s">
        <v>219</v>
      </c>
      <c r="J1166" t="s">
        <v>16</v>
      </c>
      <c r="K1166" t="s">
        <v>2153</v>
      </c>
    </row>
    <row r="1167" spans="1:11" x14ac:dyDescent="0.35">
      <c r="A1167" t="s">
        <v>2154</v>
      </c>
      <c r="B1167" t="s">
        <v>12</v>
      </c>
      <c r="C1167" t="s">
        <v>2268</v>
      </c>
      <c r="D1167">
        <v>4</v>
      </c>
      <c r="E1167" t="s">
        <v>2419</v>
      </c>
      <c r="F1167" t="s">
        <v>2324</v>
      </c>
      <c r="G1167" t="s">
        <v>2003</v>
      </c>
      <c r="H1167" t="s">
        <v>233</v>
      </c>
      <c r="I1167" t="s">
        <v>234</v>
      </c>
      <c r="J1167" t="s">
        <v>16</v>
      </c>
      <c r="K1167" t="s">
        <v>1074</v>
      </c>
    </row>
    <row r="1168" spans="1:11" x14ac:dyDescent="0.35">
      <c r="A1168" t="s">
        <v>2155</v>
      </c>
      <c r="B1168" t="s">
        <v>66</v>
      </c>
      <c r="C1168" t="s">
        <v>2268</v>
      </c>
      <c r="D1168">
        <v>2</v>
      </c>
      <c r="E1168" t="s">
        <v>2570</v>
      </c>
      <c r="F1168" t="s">
        <v>2571</v>
      </c>
      <c r="G1168" t="s">
        <v>670</v>
      </c>
      <c r="H1168" t="s">
        <v>145</v>
      </c>
      <c r="I1168" t="s">
        <v>146</v>
      </c>
      <c r="J1168" t="s">
        <v>16</v>
      </c>
      <c r="K1168" t="s">
        <v>1074</v>
      </c>
    </row>
    <row r="1169" spans="1:11" x14ac:dyDescent="0.35">
      <c r="A1169" t="s">
        <v>2156</v>
      </c>
      <c r="B1169" t="s">
        <v>12</v>
      </c>
      <c r="C1169" t="s">
        <v>2268</v>
      </c>
      <c r="D1169">
        <v>3</v>
      </c>
      <c r="E1169" t="s">
        <v>2684</v>
      </c>
      <c r="F1169" t="s">
        <v>2326</v>
      </c>
      <c r="G1169" t="s">
        <v>1594</v>
      </c>
      <c r="H1169" t="s">
        <v>173</v>
      </c>
      <c r="I1169" t="s">
        <v>174</v>
      </c>
      <c r="J1169" t="s">
        <v>16</v>
      </c>
      <c r="K1169" t="s">
        <v>1074</v>
      </c>
    </row>
    <row r="1170" spans="1:11" x14ac:dyDescent="0.35">
      <c r="A1170" t="s">
        <v>2157</v>
      </c>
      <c r="B1170" t="s">
        <v>18</v>
      </c>
      <c r="C1170" t="s">
        <v>2268</v>
      </c>
      <c r="D1170">
        <v>4</v>
      </c>
      <c r="E1170" t="s">
        <v>2874</v>
      </c>
      <c r="F1170" t="s">
        <v>2875</v>
      </c>
      <c r="G1170" t="s">
        <v>1661</v>
      </c>
      <c r="H1170" t="s">
        <v>145</v>
      </c>
      <c r="I1170" t="s">
        <v>146</v>
      </c>
      <c r="J1170" t="s">
        <v>16</v>
      </c>
      <c r="K1170" t="s">
        <v>1074</v>
      </c>
    </row>
    <row r="1171" spans="1:11" x14ac:dyDescent="0.35">
      <c r="A1171" t="s">
        <v>2158</v>
      </c>
      <c r="B1171" t="s">
        <v>18</v>
      </c>
      <c r="C1171" t="s">
        <v>2359</v>
      </c>
      <c r="D1171">
        <v>5</v>
      </c>
      <c r="E1171" t="s">
        <v>2302</v>
      </c>
      <c r="F1171" t="s">
        <v>2360</v>
      </c>
      <c r="G1171" t="s">
        <v>2159</v>
      </c>
      <c r="H1171" t="s">
        <v>164</v>
      </c>
      <c r="I1171" t="s">
        <v>165</v>
      </c>
      <c r="J1171" t="s">
        <v>16</v>
      </c>
      <c r="K1171" t="s">
        <v>2160</v>
      </c>
    </row>
    <row r="1172" spans="1:11" x14ac:dyDescent="0.35">
      <c r="A1172" t="s">
        <v>2161</v>
      </c>
      <c r="B1172" t="s">
        <v>66</v>
      </c>
      <c r="C1172" t="s">
        <v>2268</v>
      </c>
      <c r="D1172">
        <v>3</v>
      </c>
      <c r="E1172" t="s">
        <v>2342</v>
      </c>
      <c r="F1172" t="s">
        <v>2343</v>
      </c>
      <c r="G1172" t="s">
        <v>599</v>
      </c>
      <c r="H1172" t="s">
        <v>195</v>
      </c>
      <c r="I1172" t="s">
        <v>196</v>
      </c>
      <c r="J1172" t="s">
        <v>16</v>
      </c>
      <c r="K1172" t="s">
        <v>50</v>
      </c>
    </row>
    <row r="1173" spans="1:11" x14ac:dyDescent="0.35">
      <c r="A1173" t="s">
        <v>2162</v>
      </c>
      <c r="B1173" t="s">
        <v>18</v>
      </c>
      <c r="C1173" t="s">
        <v>2264</v>
      </c>
      <c r="D1173">
        <v>5</v>
      </c>
      <c r="E1173" t="s">
        <v>2589</v>
      </c>
      <c r="F1173" t="s">
        <v>2346</v>
      </c>
      <c r="G1173" t="s">
        <v>2163</v>
      </c>
      <c r="H1173" t="s">
        <v>970</v>
      </c>
      <c r="I1173" t="s">
        <v>971</v>
      </c>
      <c r="J1173" t="s">
        <v>16</v>
      </c>
      <c r="K1173" t="s">
        <v>50</v>
      </c>
    </row>
    <row r="1174" spans="1:11" x14ac:dyDescent="0.35">
      <c r="A1174" t="s">
        <v>2164</v>
      </c>
      <c r="B1174" t="s">
        <v>18</v>
      </c>
      <c r="C1174" t="s">
        <v>2247</v>
      </c>
      <c r="D1174">
        <v>6</v>
      </c>
      <c r="E1174" t="s">
        <v>2285</v>
      </c>
      <c r="F1174" t="s">
        <v>2594</v>
      </c>
      <c r="G1174" t="s">
        <v>2165</v>
      </c>
      <c r="H1174" t="s">
        <v>118</v>
      </c>
      <c r="I1174" t="s">
        <v>119</v>
      </c>
      <c r="J1174" t="s">
        <v>16</v>
      </c>
      <c r="K1174" t="s">
        <v>1597</v>
      </c>
    </row>
    <row r="1175" spans="1:11" x14ac:dyDescent="0.35">
      <c r="A1175" t="s">
        <v>2166</v>
      </c>
      <c r="B1175" t="s">
        <v>12</v>
      </c>
      <c r="C1175" t="s">
        <v>2264</v>
      </c>
      <c r="D1175">
        <v>4</v>
      </c>
      <c r="E1175" t="s">
        <v>2674</v>
      </c>
      <c r="F1175" t="s">
        <v>2351</v>
      </c>
      <c r="G1175" t="s">
        <v>2167</v>
      </c>
      <c r="H1175" t="s">
        <v>209</v>
      </c>
      <c r="I1175" t="s">
        <v>210</v>
      </c>
      <c r="J1175" t="s">
        <v>16</v>
      </c>
      <c r="K1175" t="s">
        <v>624</v>
      </c>
    </row>
    <row r="1176" spans="1:11" x14ac:dyDescent="0.35">
      <c r="A1176" t="s">
        <v>2168</v>
      </c>
      <c r="B1176" t="s">
        <v>18</v>
      </c>
      <c r="C1176" t="s">
        <v>2332</v>
      </c>
      <c r="D1176">
        <v>6</v>
      </c>
      <c r="E1176" t="s">
        <v>2578</v>
      </c>
      <c r="F1176" t="s">
        <v>2270</v>
      </c>
      <c r="G1176" t="s">
        <v>2169</v>
      </c>
      <c r="H1176" t="s">
        <v>145</v>
      </c>
      <c r="I1176" t="s">
        <v>146</v>
      </c>
      <c r="J1176" t="s">
        <v>16</v>
      </c>
      <c r="K1176" t="s">
        <v>2170</v>
      </c>
    </row>
    <row r="1177" spans="1:11" x14ac:dyDescent="0.35">
      <c r="A1177" t="s">
        <v>2171</v>
      </c>
      <c r="B1177" t="s">
        <v>12</v>
      </c>
      <c r="C1177" t="s">
        <v>2247</v>
      </c>
      <c r="D1177">
        <v>4</v>
      </c>
      <c r="E1177" t="s">
        <v>2467</v>
      </c>
      <c r="F1177" t="s">
        <v>2356</v>
      </c>
      <c r="G1177" t="s">
        <v>1831</v>
      </c>
      <c r="H1177" t="s">
        <v>430</v>
      </c>
      <c r="I1177" t="s">
        <v>431</v>
      </c>
      <c r="J1177" t="s">
        <v>16</v>
      </c>
    </row>
    <row r="1178" spans="1:11" x14ac:dyDescent="0.35">
      <c r="A1178" t="s">
        <v>2172</v>
      </c>
      <c r="B1178" t="s">
        <v>12</v>
      </c>
      <c r="C1178" t="s">
        <v>2359</v>
      </c>
      <c r="D1178">
        <v>4</v>
      </c>
      <c r="E1178" t="s">
        <v>2496</v>
      </c>
      <c r="F1178" t="s">
        <v>2278</v>
      </c>
      <c r="G1178" t="s">
        <v>628</v>
      </c>
      <c r="H1178" t="s">
        <v>430</v>
      </c>
      <c r="I1178" t="s">
        <v>431</v>
      </c>
      <c r="J1178" t="s">
        <v>16</v>
      </c>
    </row>
    <row r="1179" spans="1:11" x14ac:dyDescent="0.35">
      <c r="A1179" t="s">
        <v>2173</v>
      </c>
      <c r="B1179" t="s">
        <v>12</v>
      </c>
      <c r="C1179" t="s">
        <v>2247</v>
      </c>
      <c r="D1179">
        <v>4</v>
      </c>
      <c r="E1179" t="s">
        <v>2467</v>
      </c>
      <c r="F1179" t="s">
        <v>2356</v>
      </c>
      <c r="G1179" t="s">
        <v>1831</v>
      </c>
      <c r="H1179" t="s">
        <v>430</v>
      </c>
      <c r="I1179" t="s">
        <v>431</v>
      </c>
      <c r="J1179" t="s">
        <v>16</v>
      </c>
    </row>
    <row r="1180" spans="1:11" x14ac:dyDescent="0.35">
      <c r="A1180" t="s">
        <v>2174</v>
      </c>
      <c r="B1180" t="s">
        <v>18</v>
      </c>
      <c r="C1180" t="s">
        <v>2297</v>
      </c>
      <c r="D1180">
        <v>5</v>
      </c>
      <c r="E1180" t="s">
        <v>2260</v>
      </c>
      <c r="F1180" t="s">
        <v>2669</v>
      </c>
      <c r="G1180" t="s">
        <v>1661</v>
      </c>
      <c r="H1180" t="s">
        <v>145</v>
      </c>
      <c r="I1180" t="s">
        <v>146</v>
      </c>
      <c r="J1180" t="s">
        <v>16</v>
      </c>
    </row>
    <row r="1181" spans="1:11" x14ac:dyDescent="0.35">
      <c r="A1181" t="s">
        <v>2175</v>
      </c>
      <c r="B1181" t="s">
        <v>12</v>
      </c>
      <c r="C1181" t="s">
        <v>2264</v>
      </c>
      <c r="D1181">
        <v>4</v>
      </c>
      <c r="E1181" t="s">
        <v>2371</v>
      </c>
      <c r="F1181" t="s">
        <v>2387</v>
      </c>
      <c r="G1181" t="s">
        <v>317</v>
      </c>
      <c r="H1181" t="s">
        <v>14</v>
      </c>
      <c r="I1181" t="s">
        <v>15</v>
      </c>
      <c r="J1181" t="s">
        <v>16</v>
      </c>
      <c r="K1181" t="s">
        <v>730</v>
      </c>
    </row>
    <row r="1182" spans="1:11" x14ac:dyDescent="0.35">
      <c r="A1182" t="s">
        <v>2176</v>
      </c>
      <c r="B1182" t="s">
        <v>12</v>
      </c>
      <c r="C1182" t="s">
        <v>2264</v>
      </c>
      <c r="D1182">
        <v>2</v>
      </c>
      <c r="E1182" t="s">
        <v>2502</v>
      </c>
      <c r="F1182" t="s">
        <v>2351</v>
      </c>
      <c r="G1182" t="s">
        <v>1367</v>
      </c>
      <c r="H1182" t="s">
        <v>405</v>
      </c>
      <c r="I1182" t="s">
        <v>406</v>
      </c>
      <c r="J1182" t="s">
        <v>16</v>
      </c>
      <c r="K1182" t="s">
        <v>624</v>
      </c>
    </row>
    <row r="1183" spans="1:11" x14ac:dyDescent="0.35">
      <c r="A1183" t="s">
        <v>2177</v>
      </c>
      <c r="B1183" t="s">
        <v>66</v>
      </c>
      <c r="C1183" t="s">
        <v>2264</v>
      </c>
      <c r="D1183">
        <v>3</v>
      </c>
      <c r="E1183" t="s">
        <v>2651</v>
      </c>
      <c r="F1183" t="s">
        <v>2639</v>
      </c>
      <c r="G1183" t="s">
        <v>623</v>
      </c>
      <c r="H1183" t="s">
        <v>73</v>
      </c>
      <c r="I1183" t="s">
        <v>74</v>
      </c>
      <c r="J1183" t="s">
        <v>16</v>
      </c>
      <c r="K1183" t="s">
        <v>50</v>
      </c>
    </row>
    <row r="1184" spans="1:11" x14ac:dyDescent="0.35">
      <c r="A1184" t="s">
        <v>2178</v>
      </c>
      <c r="B1184" t="s">
        <v>66</v>
      </c>
      <c r="C1184" t="s">
        <v>2429</v>
      </c>
      <c r="D1184">
        <v>2</v>
      </c>
      <c r="E1184" t="s">
        <v>2298</v>
      </c>
      <c r="F1184" t="s">
        <v>2433</v>
      </c>
      <c r="G1184" t="s">
        <v>814</v>
      </c>
      <c r="H1184" t="s">
        <v>405</v>
      </c>
      <c r="I1184" t="s">
        <v>406</v>
      </c>
      <c r="J1184" t="s">
        <v>16</v>
      </c>
      <c r="K1184" t="s">
        <v>624</v>
      </c>
    </row>
    <row r="1185" spans="1:11" x14ac:dyDescent="0.35">
      <c r="A1185" t="s">
        <v>2179</v>
      </c>
      <c r="B1185" t="s">
        <v>12</v>
      </c>
      <c r="C1185" t="s">
        <v>2268</v>
      </c>
      <c r="D1185">
        <v>4</v>
      </c>
      <c r="E1185" t="s">
        <v>2602</v>
      </c>
      <c r="F1185" t="s">
        <v>2317</v>
      </c>
      <c r="G1185" t="s">
        <v>1293</v>
      </c>
      <c r="H1185" t="s">
        <v>169</v>
      </c>
      <c r="I1185" t="s">
        <v>170</v>
      </c>
      <c r="J1185" t="s">
        <v>16</v>
      </c>
      <c r="K1185" t="s">
        <v>77</v>
      </c>
    </row>
    <row r="1186" spans="1:11" x14ac:dyDescent="0.35">
      <c r="A1186" t="s">
        <v>2180</v>
      </c>
      <c r="B1186" t="s">
        <v>18</v>
      </c>
      <c r="C1186" t="s">
        <v>2250</v>
      </c>
      <c r="D1186">
        <v>6</v>
      </c>
      <c r="E1186" t="s">
        <v>2279</v>
      </c>
      <c r="F1186" t="s">
        <v>2660</v>
      </c>
      <c r="G1186" t="s">
        <v>2181</v>
      </c>
      <c r="H1186" t="s">
        <v>241</v>
      </c>
      <c r="I1186" t="s">
        <v>242</v>
      </c>
      <c r="J1186" t="s">
        <v>16</v>
      </c>
      <c r="K1186" t="s">
        <v>2182</v>
      </c>
    </row>
    <row r="1187" spans="1:11" x14ac:dyDescent="0.35">
      <c r="A1187" t="s">
        <v>2183</v>
      </c>
      <c r="B1187" t="s">
        <v>18</v>
      </c>
      <c r="C1187" t="s">
        <v>2250</v>
      </c>
      <c r="D1187">
        <v>5</v>
      </c>
      <c r="E1187" t="s">
        <v>2258</v>
      </c>
      <c r="F1187" t="s">
        <v>2407</v>
      </c>
      <c r="G1187" t="s">
        <v>1342</v>
      </c>
      <c r="H1187" t="s">
        <v>346</v>
      </c>
      <c r="I1187" t="s">
        <v>347</v>
      </c>
      <c r="J1187" t="s">
        <v>16</v>
      </c>
      <c r="K1187" t="s">
        <v>1074</v>
      </c>
    </row>
    <row r="1188" spans="1:11" x14ac:dyDescent="0.35">
      <c r="A1188" t="s">
        <v>2184</v>
      </c>
      <c r="B1188" t="s">
        <v>12</v>
      </c>
      <c r="C1188" t="s">
        <v>2359</v>
      </c>
      <c r="D1188">
        <v>4</v>
      </c>
      <c r="E1188" t="s">
        <v>2496</v>
      </c>
      <c r="F1188" t="s">
        <v>2278</v>
      </c>
      <c r="G1188" t="s">
        <v>1831</v>
      </c>
      <c r="H1188" t="s">
        <v>430</v>
      </c>
      <c r="I1188" t="s">
        <v>431</v>
      </c>
      <c r="J1188" t="s">
        <v>16</v>
      </c>
      <c r="K1188" t="s">
        <v>624</v>
      </c>
    </row>
    <row r="1189" spans="1:11" x14ac:dyDescent="0.35">
      <c r="A1189" t="s">
        <v>2185</v>
      </c>
      <c r="B1189" t="s">
        <v>18</v>
      </c>
      <c r="C1189" t="s">
        <v>2264</v>
      </c>
      <c r="D1189">
        <v>4</v>
      </c>
      <c r="E1189" t="s">
        <v>2376</v>
      </c>
      <c r="F1189" t="s">
        <v>2599</v>
      </c>
      <c r="G1189" t="s">
        <v>1044</v>
      </c>
      <c r="H1189" t="s">
        <v>169</v>
      </c>
      <c r="I1189" t="s">
        <v>170</v>
      </c>
      <c r="J1189" t="s">
        <v>16</v>
      </c>
      <c r="K1189" t="s">
        <v>243</v>
      </c>
    </row>
    <row r="1190" spans="1:11" x14ac:dyDescent="0.35">
      <c r="A1190" t="s">
        <v>2186</v>
      </c>
      <c r="B1190" t="s">
        <v>12</v>
      </c>
      <c r="C1190" t="s">
        <v>2268</v>
      </c>
      <c r="D1190">
        <v>3</v>
      </c>
      <c r="E1190" t="s">
        <v>2340</v>
      </c>
      <c r="F1190" t="s">
        <v>2257</v>
      </c>
      <c r="G1190" t="s">
        <v>76</v>
      </c>
      <c r="H1190" t="s">
        <v>28</v>
      </c>
      <c r="I1190" t="s">
        <v>29</v>
      </c>
      <c r="J1190" t="s">
        <v>16</v>
      </c>
      <c r="K1190" t="s">
        <v>384</v>
      </c>
    </row>
    <row r="1191" spans="1:11" x14ac:dyDescent="0.35">
      <c r="A1191" t="s">
        <v>2187</v>
      </c>
      <c r="B1191" t="s">
        <v>66</v>
      </c>
      <c r="C1191" t="s">
        <v>2264</v>
      </c>
      <c r="D1191">
        <v>2</v>
      </c>
      <c r="E1191" t="s">
        <v>2900</v>
      </c>
      <c r="F1191" t="s">
        <v>2500</v>
      </c>
      <c r="G1191" t="s">
        <v>2142</v>
      </c>
      <c r="H1191" t="s">
        <v>443</v>
      </c>
      <c r="I1191" t="s">
        <v>444</v>
      </c>
      <c r="J1191" t="s">
        <v>16</v>
      </c>
    </row>
    <row r="1192" spans="1:11" x14ac:dyDescent="0.35">
      <c r="A1192" t="s">
        <v>2188</v>
      </c>
      <c r="B1192" t="s">
        <v>66</v>
      </c>
      <c r="C1192" t="s">
        <v>2268</v>
      </c>
      <c r="D1192">
        <v>3</v>
      </c>
      <c r="E1192" t="s">
        <v>2901</v>
      </c>
      <c r="F1192" t="s">
        <v>2902</v>
      </c>
      <c r="G1192" t="s">
        <v>138</v>
      </c>
      <c r="H1192" t="s">
        <v>14</v>
      </c>
      <c r="I1192" t="s">
        <v>15</v>
      </c>
      <c r="J1192" t="s">
        <v>16</v>
      </c>
      <c r="K1192" t="s">
        <v>50</v>
      </c>
    </row>
    <row r="1193" spans="1:11" x14ac:dyDescent="0.35">
      <c r="A1193" t="s">
        <v>2189</v>
      </c>
      <c r="B1193" t="s">
        <v>66</v>
      </c>
      <c r="C1193" t="s">
        <v>2268</v>
      </c>
      <c r="D1193">
        <v>3</v>
      </c>
      <c r="E1193" t="s">
        <v>2342</v>
      </c>
      <c r="F1193" t="s">
        <v>2343</v>
      </c>
      <c r="G1193" t="s">
        <v>599</v>
      </c>
      <c r="H1193" t="s">
        <v>195</v>
      </c>
      <c r="I1193" t="s">
        <v>196</v>
      </c>
      <c r="J1193" t="s">
        <v>16</v>
      </c>
      <c r="K1193" t="s">
        <v>50</v>
      </c>
    </row>
    <row r="1194" spans="1:11" x14ac:dyDescent="0.35">
      <c r="A1194" t="s">
        <v>2190</v>
      </c>
      <c r="B1194" t="s">
        <v>18</v>
      </c>
      <c r="C1194" t="s">
        <v>2264</v>
      </c>
      <c r="D1194">
        <v>5</v>
      </c>
      <c r="E1194" t="s">
        <v>2862</v>
      </c>
      <c r="F1194" t="s">
        <v>2863</v>
      </c>
      <c r="G1194" t="s">
        <v>1003</v>
      </c>
      <c r="H1194" t="s">
        <v>233</v>
      </c>
      <c r="I1194" t="s">
        <v>234</v>
      </c>
      <c r="J1194" t="s">
        <v>16</v>
      </c>
      <c r="K1194" t="s">
        <v>1074</v>
      </c>
    </row>
    <row r="1195" spans="1:11" x14ac:dyDescent="0.35">
      <c r="A1195" t="s">
        <v>2191</v>
      </c>
      <c r="B1195" t="s">
        <v>18</v>
      </c>
      <c r="C1195" t="s">
        <v>2297</v>
      </c>
      <c r="D1195">
        <v>6</v>
      </c>
      <c r="E1195" t="s">
        <v>2903</v>
      </c>
      <c r="F1195" t="s">
        <v>2333</v>
      </c>
      <c r="G1195" t="s">
        <v>2192</v>
      </c>
      <c r="H1195" t="s">
        <v>28</v>
      </c>
      <c r="I1195" t="s">
        <v>29</v>
      </c>
      <c r="J1195" t="s">
        <v>16</v>
      </c>
      <c r="K1195" t="s">
        <v>2193</v>
      </c>
    </row>
    <row r="1196" spans="1:11" x14ac:dyDescent="0.35">
      <c r="A1196" t="s">
        <v>2194</v>
      </c>
      <c r="B1196" t="s">
        <v>12</v>
      </c>
      <c r="C1196" t="s">
        <v>2268</v>
      </c>
      <c r="D1196">
        <v>5</v>
      </c>
      <c r="E1196" t="s">
        <v>2904</v>
      </c>
      <c r="F1196" t="s">
        <v>2555</v>
      </c>
      <c r="G1196" t="s">
        <v>76</v>
      </c>
      <c r="H1196" t="s">
        <v>28</v>
      </c>
      <c r="I1196" t="s">
        <v>29</v>
      </c>
      <c r="J1196" t="s">
        <v>16</v>
      </c>
      <c r="K1196" t="s">
        <v>77</v>
      </c>
    </row>
    <row r="1197" spans="1:11" x14ac:dyDescent="0.35">
      <c r="A1197" t="s">
        <v>2195</v>
      </c>
      <c r="B1197" t="s">
        <v>66</v>
      </c>
      <c r="C1197" t="s">
        <v>2268</v>
      </c>
      <c r="D1197">
        <v>4</v>
      </c>
      <c r="E1197" t="s">
        <v>2378</v>
      </c>
      <c r="F1197" t="s">
        <v>2379</v>
      </c>
      <c r="G1197" t="s">
        <v>261</v>
      </c>
      <c r="H1197" t="s">
        <v>186</v>
      </c>
      <c r="I1197" t="s">
        <v>187</v>
      </c>
      <c r="J1197" t="s">
        <v>16</v>
      </c>
      <c r="K1197" t="s">
        <v>50</v>
      </c>
    </row>
    <row r="1198" spans="1:11" x14ac:dyDescent="0.35">
      <c r="A1198" t="s">
        <v>2196</v>
      </c>
      <c r="B1198" t="s">
        <v>18</v>
      </c>
      <c r="C1198" t="s">
        <v>2264</v>
      </c>
      <c r="D1198">
        <v>6</v>
      </c>
      <c r="E1198" t="s">
        <v>2905</v>
      </c>
      <c r="F1198" t="s">
        <v>2404</v>
      </c>
      <c r="G1198" t="s">
        <v>1245</v>
      </c>
      <c r="H1198" t="s">
        <v>28</v>
      </c>
      <c r="I1198" t="s">
        <v>29</v>
      </c>
      <c r="J1198" t="s">
        <v>16</v>
      </c>
      <c r="K1198" t="s">
        <v>384</v>
      </c>
    </row>
    <row r="1199" spans="1:11" x14ac:dyDescent="0.35">
      <c r="A1199" t="s">
        <v>2197</v>
      </c>
      <c r="B1199" t="s">
        <v>66</v>
      </c>
      <c r="C1199" t="s">
        <v>2268</v>
      </c>
      <c r="D1199">
        <v>3</v>
      </c>
      <c r="E1199" t="s">
        <v>2312</v>
      </c>
      <c r="F1199" t="s">
        <v>2313</v>
      </c>
      <c r="G1199" t="s">
        <v>1990</v>
      </c>
      <c r="H1199" t="s">
        <v>14</v>
      </c>
      <c r="I1199" t="s">
        <v>15</v>
      </c>
      <c r="J1199" t="s">
        <v>16</v>
      </c>
      <c r="K1199" t="s">
        <v>50</v>
      </c>
    </row>
    <row r="1200" spans="1:11" x14ac:dyDescent="0.35">
      <c r="A1200" t="s">
        <v>2198</v>
      </c>
      <c r="B1200" t="s">
        <v>12</v>
      </c>
      <c r="C1200" t="s">
        <v>2264</v>
      </c>
      <c r="D1200">
        <v>3</v>
      </c>
      <c r="E1200" t="s">
        <v>2248</v>
      </c>
      <c r="F1200" t="s">
        <v>2827</v>
      </c>
      <c r="G1200" t="s">
        <v>317</v>
      </c>
      <c r="H1200" t="s">
        <v>14</v>
      </c>
      <c r="I1200" t="s">
        <v>15</v>
      </c>
      <c r="J1200" t="s">
        <v>16</v>
      </c>
      <c r="K1200" t="s">
        <v>50</v>
      </c>
    </row>
    <row r="1201" spans="1:11" x14ac:dyDescent="0.35">
      <c r="A1201" t="s">
        <v>2199</v>
      </c>
      <c r="B1201" t="s">
        <v>12</v>
      </c>
      <c r="C1201" t="s">
        <v>2268</v>
      </c>
      <c r="D1201">
        <v>2</v>
      </c>
      <c r="E1201" t="s">
        <v>2582</v>
      </c>
      <c r="F1201" t="s">
        <v>2449</v>
      </c>
      <c r="G1201" t="s">
        <v>76</v>
      </c>
      <c r="H1201" t="s">
        <v>28</v>
      </c>
      <c r="I1201" t="s">
        <v>29</v>
      </c>
      <c r="J1201" t="s">
        <v>16</v>
      </c>
      <c r="K1201"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4"/>
  <sheetViews>
    <sheetView tabSelected="1" zoomScale="64" zoomScaleNormal="100" workbookViewId="0">
      <selection activeCell="G675" sqref="G675"/>
    </sheetView>
  </sheetViews>
  <sheetFormatPr defaultRowHeight="14.5" x14ac:dyDescent="0.35"/>
  <cols>
    <col min="1" max="1" width="15.54296875" bestFit="1" customWidth="1"/>
    <col min="2" max="2" width="17.1796875" bestFit="1" customWidth="1"/>
    <col min="3" max="3" width="15.26953125" bestFit="1" customWidth="1"/>
    <col min="4" max="4" width="15.90625" bestFit="1" customWidth="1"/>
    <col min="5" max="5" width="10.54296875" style="1" bestFit="1" customWidth="1"/>
    <col min="6" max="6" width="14" bestFit="1" customWidth="1"/>
    <col min="7" max="7" width="18.36328125" bestFit="1" customWidth="1"/>
    <col min="8" max="8" width="15.453125" bestFit="1" customWidth="1"/>
    <col min="9" max="9" width="92.90625" bestFit="1" customWidth="1"/>
    <col min="10" max="10" width="32" bestFit="1" customWidth="1"/>
    <col min="11" max="11" width="15.90625" customWidth="1"/>
    <col min="12" max="12" width="18.90625" bestFit="1" customWidth="1"/>
    <col min="13" max="13" width="9.26953125" bestFit="1" customWidth="1"/>
    <col min="14" max="14" width="41.90625" bestFit="1" customWidth="1"/>
  </cols>
  <sheetData>
    <row r="1" spans="1:14" x14ac:dyDescent="0.35">
      <c r="A1" s="9" t="s">
        <v>2243</v>
      </c>
      <c r="B1" s="9"/>
      <c r="C1" s="9"/>
      <c r="D1" s="9"/>
      <c r="E1" s="9"/>
      <c r="F1" s="9"/>
      <c r="G1" s="9"/>
      <c r="H1" s="9"/>
      <c r="I1" s="9"/>
      <c r="J1" s="9"/>
      <c r="K1" s="9"/>
      <c r="L1" s="9"/>
      <c r="M1" s="9"/>
      <c r="N1" s="9"/>
    </row>
    <row r="2" spans="1:14" x14ac:dyDescent="0.35">
      <c r="A2" s="9"/>
      <c r="B2" s="9"/>
      <c r="C2" s="9"/>
      <c r="D2" s="9"/>
      <c r="E2" s="9"/>
      <c r="F2" s="9"/>
      <c r="G2" s="9"/>
      <c r="H2" s="9"/>
      <c r="I2" s="9"/>
      <c r="J2" s="9"/>
      <c r="K2" s="9"/>
      <c r="L2" s="9"/>
      <c r="M2" s="9"/>
      <c r="N2" s="9"/>
    </row>
    <row r="3" spans="1:14" x14ac:dyDescent="0.35">
      <c r="A3" s="10"/>
      <c r="B3" s="10"/>
      <c r="C3" s="10"/>
      <c r="D3" s="10"/>
      <c r="E3" s="10"/>
      <c r="F3" s="10"/>
      <c r="G3" s="10"/>
      <c r="H3" s="10"/>
      <c r="I3" s="10"/>
      <c r="J3" s="10"/>
      <c r="K3" s="10"/>
      <c r="L3" s="10"/>
      <c r="M3" s="10"/>
      <c r="N3" s="10"/>
    </row>
    <row r="4" spans="1:14" x14ac:dyDescent="0.35">
      <c r="A4" s="5" t="s">
        <v>0</v>
      </c>
      <c r="B4" s="5" t="s">
        <v>1</v>
      </c>
      <c r="C4" s="5" t="s">
        <v>2</v>
      </c>
      <c r="D4" s="5" t="s">
        <v>3</v>
      </c>
      <c r="E4" s="6" t="s">
        <v>4</v>
      </c>
      <c r="F4" s="5" t="s">
        <v>5</v>
      </c>
      <c r="G4" s="5" t="s">
        <v>2200</v>
      </c>
      <c r="H4" s="5" t="s">
        <v>2201</v>
      </c>
      <c r="I4" s="5" t="s">
        <v>6</v>
      </c>
      <c r="J4" s="5" t="s">
        <v>7</v>
      </c>
      <c r="K4" s="5" t="s">
        <v>2214</v>
      </c>
      <c r="L4" s="5" t="s">
        <v>8</v>
      </c>
      <c r="M4" s="5" t="s">
        <v>9</v>
      </c>
      <c r="N4" s="5" t="s">
        <v>10</v>
      </c>
    </row>
    <row r="5" spans="1:14" hidden="1" x14ac:dyDescent="0.35">
      <c r="A5" t="s">
        <v>380</v>
      </c>
      <c r="B5" t="s">
        <v>66</v>
      </c>
      <c r="C5">
        <v>3</v>
      </c>
      <c r="D5">
        <v>3</v>
      </c>
      <c r="E5" s="1">
        <v>360</v>
      </c>
      <c r="F5" s="3">
        <v>65000</v>
      </c>
      <c r="G5" s="2">
        <f t="shared" ref="G5:G68" si="0">IF(F5&lt;50000,F5,F5/E5)</f>
        <v>180.55555555555554</v>
      </c>
      <c r="H5" s="2">
        <f t="shared" ref="H5:H68" si="1">IF(F5&lt;50000,E5*F5,F5)</f>
        <v>65000</v>
      </c>
      <c r="I5" t="s">
        <v>381</v>
      </c>
      <c r="J5" t="s">
        <v>382</v>
      </c>
      <c r="K5" t="s">
        <v>2217</v>
      </c>
      <c r="L5" t="s">
        <v>383</v>
      </c>
      <c r="M5" t="s">
        <v>16</v>
      </c>
      <c r="N5" t="s">
        <v>384</v>
      </c>
    </row>
    <row r="6" spans="1:14" hidden="1" x14ac:dyDescent="0.35">
      <c r="A6" t="s">
        <v>1538</v>
      </c>
      <c r="B6" t="s">
        <v>66</v>
      </c>
      <c r="C6">
        <v>2</v>
      </c>
      <c r="D6">
        <v>2</v>
      </c>
      <c r="E6" s="1">
        <v>170</v>
      </c>
      <c r="F6" s="3">
        <v>400</v>
      </c>
      <c r="G6" s="2">
        <f t="shared" si="0"/>
        <v>400</v>
      </c>
      <c r="H6" s="2">
        <f t="shared" si="1"/>
        <v>68000</v>
      </c>
      <c r="I6" t="s">
        <v>138</v>
      </c>
      <c r="J6" t="s">
        <v>14</v>
      </c>
      <c r="K6" t="s">
        <v>2215</v>
      </c>
      <c r="L6" t="s">
        <v>15</v>
      </c>
      <c r="M6" t="s">
        <v>16</v>
      </c>
      <c r="N6" t="s">
        <v>2242</v>
      </c>
    </row>
    <row r="7" spans="1:14" hidden="1" x14ac:dyDescent="0.35">
      <c r="A7" t="s">
        <v>1141</v>
      </c>
      <c r="B7" t="s">
        <v>66</v>
      </c>
      <c r="C7">
        <v>4</v>
      </c>
      <c r="D7">
        <v>3</v>
      </c>
      <c r="E7" s="1">
        <v>141</v>
      </c>
      <c r="F7" s="3">
        <v>979</v>
      </c>
      <c r="G7" s="2">
        <f t="shared" si="0"/>
        <v>979</v>
      </c>
      <c r="H7" s="2">
        <f t="shared" si="1"/>
        <v>138039</v>
      </c>
      <c r="I7" t="s">
        <v>501</v>
      </c>
      <c r="J7" t="s">
        <v>494</v>
      </c>
      <c r="K7" t="s">
        <v>2217</v>
      </c>
      <c r="L7" t="s">
        <v>495</v>
      </c>
      <c r="M7" t="s">
        <v>16</v>
      </c>
      <c r="N7" t="s">
        <v>2242</v>
      </c>
    </row>
    <row r="8" spans="1:14" hidden="1" x14ac:dyDescent="0.35">
      <c r="A8" t="s">
        <v>107</v>
      </c>
      <c r="B8" t="s">
        <v>1033</v>
      </c>
      <c r="C8">
        <v>0</v>
      </c>
      <c r="D8">
        <v>0</v>
      </c>
      <c r="E8" s="1">
        <v>160</v>
      </c>
      <c r="F8" s="3">
        <v>900</v>
      </c>
      <c r="G8" s="2">
        <f t="shared" si="0"/>
        <v>900</v>
      </c>
      <c r="H8" s="2">
        <f t="shared" si="1"/>
        <v>144000</v>
      </c>
      <c r="I8" t="s">
        <v>108</v>
      </c>
      <c r="J8" t="s">
        <v>109</v>
      </c>
      <c r="K8" t="s">
        <v>2215</v>
      </c>
      <c r="L8" t="s">
        <v>110</v>
      </c>
      <c r="M8" t="s">
        <v>16</v>
      </c>
      <c r="N8" t="s">
        <v>2242</v>
      </c>
    </row>
    <row r="9" spans="1:14" hidden="1" x14ac:dyDescent="0.35">
      <c r="A9" t="s">
        <v>914</v>
      </c>
      <c r="B9" t="s">
        <v>1033</v>
      </c>
      <c r="C9">
        <v>0</v>
      </c>
      <c r="D9">
        <v>0</v>
      </c>
      <c r="E9" s="1">
        <v>216</v>
      </c>
      <c r="F9" s="3">
        <v>200000</v>
      </c>
      <c r="G9" s="2">
        <f t="shared" si="0"/>
        <v>925.92592592592598</v>
      </c>
      <c r="H9" s="2">
        <f t="shared" si="1"/>
        <v>200000</v>
      </c>
      <c r="I9" t="s">
        <v>915</v>
      </c>
      <c r="J9" t="s">
        <v>105</v>
      </c>
      <c r="K9" t="s">
        <v>2215</v>
      </c>
      <c r="L9" t="s">
        <v>106</v>
      </c>
      <c r="M9" t="s">
        <v>16</v>
      </c>
      <c r="N9" t="s">
        <v>2242</v>
      </c>
    </row>
    <row r="10" spans="1:14" x14ac:dyDescent="0.35">
      <c r="A10" t="s">
        <v>629</v>
      </c>
      <c r="B10" t="s">
        <v>18</v>
      </c>
      <c r="C10">
        <v>5</v>
      </c>
      <c r="D10">
        <v>3</v>
      </c>
      <c r="E10" s="1">
        <v>91</v>
      </c>
      <c r="F10" s="3">
        <v>230000</v>
      </c>
      <c r="G10" s="2">
        <f t="shared" si="0"/>
        <v>2527.4725274725274</v>
      </c>
      <c r="H10" s="2">
        <f t="shared" si="1"/>
        <v>230000</v>
      </c>
      <c r="I10" t="s">
        <v>2232</v>
      </c>
      <c r="J10" t="s">
        <v>630</v>
      </c>
      <c r="K10" t="s">
        <v>2219</v>
      </c>
      <c r="L10" t="s">
        <v>631</v>
      </c>
      <c r="M10" t="s">
        <v>16</v>
      </c>
      <c r="N10" t="s">
        <v>2242</v>
      </c>
    </row>
    <row r="11" spans="1:14" hidden="1" x14ac:dyDescent="0.35">
      <c r="A11" t="s">
        <v>2040</v>
      </c>
      <c r="B11" t="s">
        <v>12</v>
      </c>
      <c r="C11">
        <v>4</v>
      </c>
      <c r="D11">
        <v>3</v>
      </c>
      <c r="E11" s="1">
        <v>184</v>
      </c>
      <c r="F11" s="3">
        <v>1400</v>
      </c>
      <c r="G11" s="2">
        <f t="shared" si="0"/>
        <v>1400</v>
      </c>
      <c r="H11" s="2">
        <f t="shared" si="1"/>
        <v>257600</v>
      </c>
      <c r="I11" t="s">
        <v>818</v>
      </c>
      <c r="J11" t="s">
        <v>141</v>
      </c>
      <c r="K11" t="s">
        <v>2215</v>
      </c>
      <c r="L11" t="s">
        <v>142</v>
      </c>
      <c r="M11" t="s">
        <v>16</v>
      </c>
      <c r="N11" t="s">
        <v>454</v>
      </c>
    </row>
    <row r="12" spans="1:14" hidden="1" x14ac:dyDescent="0.35">
      <c r="A12" t="s">
        <v>111</v>
      </c>
      <c r="B12" t="s">
        <v>12</v>
      </c>
      <c r="C12">
        <v>8</v>
      </c>
      <c r="D12">
        <v>2</v>
      </c>
      <c r="E12" s="1">
        <v>103</v>
      </c>
      <c r="F12" s="3">
        <v>280000</v>
      </c>
      <c r="G12" s="2">
        <f t="shared" si="0"/>
        <v>2718.4466019417478</v>
      </c>
      <c r="H12" s="2">
        <f t="shared" si="1"/>
        <v>280000</v>
      </c>
      <c r="I12" t="s">
        <v>112</v>
      </c>
      <c r="J12" t="s">
        <v>113</v>
      </c>
      <c r="K12" t="s">
        <v>2219</v>
      </c>
      <c r="L12" t="s">
        <v>114</v>
      </c>
      <c r="M12" t="s">
        <v>16</v>
      </c>
      <c r="N12" t="s">
        <v>115</v>
      </c>
    </row>
    <row r="13" spans="1:14" hidden="1" x14ac:dyDescent="0.35">
      <c r="A13" t="s">
        <v>1347</v>
      </c>
      <c r="B13" t="s">
        <v>66</v>
      </c>
      <c r="C13">
        <v>2</v>
      </c>
      <c r="D13">
        <v>2</v>
      </c>
      <c r="E13" s="1">
        <v>75</v>
      </c>
      <c r="F13" s="3">
        <v>349000</v>
      </c>
      <c r="G13" s="2">
        <f t="shared" si="0"/>
        <v>4653.333333333333</v>
      </c>
      <c r="H13" s="2">
        <f t="shared" si="1"/>
        <v>349000</v>
      </c>
      <c r="I13" t="s">
        <v>128</v>
      </c>
      <c r="J13" t="s">
        <v>68</v>
      </c>
      <c r="K13" t="s">
        <v>2218</v>
      </c>
      <c r="L13" t="s">
        <v>69</v>
      </c>
      <c r="M13" t="s">
        <v>16</v>
      </c>
      <c r="N13" t="s">
        <v>1074</v>
      </c>
    </row>
    <row r="14" spans="1:14" hidden="1" x14ac:dyDescent="0.35">
      <c r="A14" t="s">
        <v>2012</v>
      </c>
      <c r="B14" t="s">
        <v>66</v>
      </c>
      <c r="C14">
        <v>2</v>
      </c>
      <c r="D14">
        <v>2</v>
      </c>
      <c r="E14" s="1">
        <v>75</v>
      </c>
      <c r="F14" s="3">
        <v>349000</v>
      </c>
      <c r="G14" s="2">
        <f t="shared" si="0"/>
        <v>4653.333333333333</v>
      </c>
      <c r="H14" s="2">
        <f t="shared" si="1"/>
        <v>349000</v>
      </c>
      <c r="I14" t="s">
        <v>128</v>
      </c>
      <c r="J14" t="s">
        <v>68</v>
      </c>
      <c r="K14" t="s">
        <v>2218</v>
      </c>
      <c r="L14" t="s">
        <v>69</v>
      </c>
      <c r="M14" t="s">
        <v>16</v>
      </c>
      <c r="N14" t="s">
        <v>2242</v>
      </c>
    </row>
    <row r="15" spans="1:14" hidden="1" x14ac:dyDescent="0.35">
      <c r="A15" t="s">
        <v>999</v>
      </c>
      <c r="B15" t="s">
        <v>66</v>
      </c>
      <c r="C15">
        <v>5</v>
      </c>
      <c r="D15">
        <v>3</v>
      </c>
      <c r="E15" s="1">
        <v>175</v>
      </c>
      <c r="F15" s="3">
        <v>350000</v>
      </c>
      <c r="G15" s="2">
        <f t="shared" si="0"/>
        <v>2000</v>
      </c>
      <c r="H15" s="2">
        <f t="shared" si="1"/>
        <v>350000</v>
      </c>
      <c r="I15" t="s">
        <v>1000</v>
      </c>
      <c r="J15" t="s">
        <v>14</v>
      </c>
      <c r="K15" t="s">
        <v>2215</v>
      </c>
      <c r="L15" t="s">
        <v>15</v>
      </c>
      <c r="M15" t="s">
        <v>16</v>
      </c>
      <c r="N15" t="s">
        <v>948</v>
      </c>
    </row>
    <row r="16" spans="1:14" hidden="1" x14ac:dyDescent="0.35">
      <c r="A16" t="s">
        <v>1934</v>
      </c>
      <c r="B16" t="s">
        <v>66</v>
      </c>
      <c r="C16">
        <v>3</v>
      </c>
      <c r="D16">
        <v>2</v>
      </c>
      <c r="E16" s="1">
        <v>219</v>
      </c>
      <c r="F16" s="3">
        <v>350000</v>
      </c>
      <c r="G16" s="2">
        <f t="shared" si="0"/>
        <v>1598.1735159817351</v>
      </c>
      <c r="H16" s="2">
        <f t="shared" si="1"/>
        <v>350000</v>
      </c>
      <c r="I16" t="s">
        <v>323</v>
      </c>
      <c r="J16" t="s">
        <v>141</v>
      </c>
      <c r="K16" t="s">
        <v>2215</v>
      </c>
      <c r="L16" t="s">
        <v>142</v>
      </c>
      <c r="M16" t="s">
        <v>16</v>
      </c>
      <c r="N16" t="s">
        <v>948</v>
      </c>
    </row>
    <row r="17" spans="1:14" hidden="1" x14ac:dyDescent="0.35">
      <c r="A17" t="s">
        <v>2135</v>
      </c>
      <c r="B17" t="s">
        <v>66</v>
      </c>
      <c r="C17">
        <v>3</v>
      </c>
      <c r="D17">
        <v>5</v>
      </c>
      <c r="E17" s="1">
        <v>219</v>
      </c>
      <c r="F17" s="3">
        <v>350000</v>
      </c>
      <c r="G17" s="2">
        <f t="shared" si="0"/>
        <v>1598.1735159817351</v>
      </c>
      <c r="H17" s="2">
        <f t="shared" si="1"/>
        <v>350000</v>
      </c>
      <c r="I17" t="s">
        <v>2136</v>
      </c>
      <c r="J17" t="s">
        <v>141</v>
      </c>
      <c r="K17" t="s">
        <v>2215</v>
      </c>
      <c r="L17" t="s">
        <v>142</v>
      </c>
      <c r="M17" t="s">
        <v>16</v>
      </c>
      <c r="N17" t="s">
        <v>2242</v>
      </c>
    </row>
    <row r="18" spans="1:14" hidden="1" x14ac:dyDescent="0.35">
      <c r="A18" t="s">
        <v>1113</v>
      </c>
      <c r="B18" t="s">
        <v>66</v>
      </c>
      <c r="C18">
        <v>1</v>
      </c>
      <c r="D18">
        <v>1</v>
      </c>
      <c r="E18" s="1">
        <v>64</v>
      </c>
      <c r="F18" s="3">
        <v>360000</v>
      </c>
      <c r="G18" s="2">
        <f t="shared" si="0"/>
        <v>5625</v>
      </c>
      <c r="H18" s="2">
        <f t="shared" si="1"/>
        <v>360000</v>
      </c>
      <c r="I18" t="s">
        <v>1114</v>
      </c>
      <c r="J18" t="s">
        <v>1115</v>
      </c>
      <c r="K18" t="s">
        <v>2215</v>
      </c>
      <c r="L18" t="s">
        <v>1116</v>
      </c>
      <c r="M18" t="s">
        <v>16</v>
      </c>
      <c r="N18" t="s">
        <v>50</v>
      </c>
    </row>
    <row r="19" spans="1:14" hidden="1" x14ac:dyDescent="0.35">
      <c r="A19" t="s">
        <v>1477</v>
      </c>
      <c r="B19" t="s">
        <v>66</v>
      </c>
      <c r="C19">
        <v>2</v>
      </c>
      <c r="D19">
        <v>2</v>
      </c>
      <c r="E19" s="1">
        <v>64</v>
      </c>
      <c r="F19" s="3">
        <v>360000</v>
      </c>
      <c r="G19" s="2">
        <f t="shared" si="0"/>
        <v>5625</v>
      </c>
      <c r="H19" s="2">
        <f t="shared" si="1"/>
        <v>360000</v>
      </c>
      <c r="I19" t="s">
        <v>1478</v>
      </c>
      <c r="J19" t="s">
        <v>1115</v>
      </c>
      <c r="K19" t="s">
        <v>2215</v>
      </c>
      <c r="L19" t="s">
        <v>1116</v>
      </c>
      <c r="M19" t="s">
        <v>16</v>
      </c>
      <c r="N19" t="s">
        <v>50</v>
      </c>
    </row>
    <row r="20" spans="1:14" hidden="1" x14ac:dyDescent="0.35">
      <c r="A20" t="s">
        <v>465</v>
      </c>
      <c r="B20" t="s">
        <v>66</v>
      </c>
      <c r="C20">
        <v>3</v>
      </c>
      <c r="D20">
        <v>3</v>
      </c>
      <c r="E20" s="1">
        <v>131</v>
      </c>
      <c r="F20" s="3">
        <v>400000</v>
      </c>
      <c r="G20" s="2">
        <f t="shared" si="0"/>
        <v>3053.4351145038167</v>
      </c>
      <c r="H20" s="2">
        <f t="shared" si="1"/>
        <v>400000</v>
      </c>
      <c r="I20" t="s">
        <v>323</v>
      </c>
      <c r="J20" t="s">
        <v>141</v>
      </c>
      <c r="K20" t="s">
        <v>2215</v>
      </c>
      <c r="L20" t="s">
        <v>142</v>
      </c>
      <c r="M20" t="s">
        <v>16</v>
      </c>
      <c r="N20" t="s">
        <v>50</v>
      </c>
    </row>
    <row r="21" spans="1:14" hidden="1" x14ac:dyDescent="0.35">
      <c r="A21" t="s">
        <v>867</v>
      </c>
      <c r="B21" t="s">
        <v>66</v>
      </c>
      <c r="C21">
        <v>3</v>
      </c>
      <c r="D21">
        <v>3</v>
      </c>
      <c r="E21" s="1">
        <v>131</v>
      </c>
      <c r="F21" s="3">
        <v>400000</v>
      </c>
      <c r="G21" s="2">
        <f t="shared" si="0"/>
        <v>3053.4351145038167</v>
      </c>
      <c r="H21" s="2">
        <f t="shared" si="1"/>
        <v>400000</v>
      </c>
      <c r="I21" t="s">
        <v>323</v>
      </c>
      <c r="J21" t="s">
        <v>141</v>
      </c>
      <c r="K21" t="s">
        <v>2215</v>
      </c>
      <c r="L21" t="s">
        <v>142</v>
      </c>
      <c r="M21" t="s">
        <v>16</v>
      </c>
      <c r="N21" t="s">
        <v>2242</v>
      </c>
    </row>
    <row r="22" spans="1:14" hidden="1" x14ac:dyDescent="0.35">
      <c r="A22" t="s">
        <v>1266</v>
      </c>
      <c r="B22" t="s">
        <v>66</v>
      </c>
      <c r="C22">
        <v>3</v>
      </c>
      <c r="D22">
        <v>3</v>
      </c>
      <c r="E22" s="1">
        <v>131</v>
      </c>
      <c r="F22" s="3">
        <v>400000</v>
      </c>
      <c r="G22" s="2">
        <f t="shared" si="0"/>
        <v>3053.4351145038167</v>
      </c>
      <c r="H22" s="2">
        <f t="shared" si="1"/>
        <v>400000</v>
      </c>
      <c r="I22" t="s">
        <v>323</v>
      </c>
      <c r="J22" t="s">
        <v>141</v>
      </c>
      <c r="K22" t="s">
        <v>2215</v>
      </c>
      <c r="L22" t="s">
        <v>142</v>
      </c>
      <c r="M22" t="s">
        <v>16</v>
      </c>
      <c r="N22" t="s">
        <v>2242</v>
      </c>
    </row>
    <row r="23" spans="1:14" hidden="1" x14ac:dyDescent="0.35">
      <c r="A23" t="s">
        <v>1304</v>
      </c>
      <c r="B23" t="s">
        <v>66</v>
      </c>
      <c r="C23">
        <v>3</v>
      </c>
      <c r="D23">
        <v>3</v>
      </c>
      <c r="E23" s="1">
        <v>131</v>
      </c>
      <c r="F23" s="3">
        <v>400000</v>
      </c>
      <c r="G23" s="2">
        <f t="shared" si="0"/>
        <v>3053.4351145038167</v>
      </c>
      <c r="H23" s="2">
        <f t="shared" si="1"/>
        <v>400000</v>
      </c>
      <c r="I23" t="s">
        <v>323</v>
      </c>
      <c r="J23" t="s">
        <v>141</v>
      </c>
      <c r="K23" t="s">
        <v>2215</v>
      </c>
      <c r="L23" t="s">
        <v>142</v>
      </c>
      <c r="M23" t="s">
        <v>16</v>
      </c>
      <c r="N23" t="s">
        <v>2242</v>
      </c>
    </row>
    <row r="24" spans="1:14" hidden="1" x14ac:dyDescent="0.35">
      <c r="A24" t="s">
        <v>1444</v>
      </c>
      <c r="B24" t="s">
        <v>66</v>
      </c>
      <c r="C24">
        <v>2</v>
      </c>
      <c r="D24">
        <v>3</v>
      </c>
      <c r="E24" s="1">
        <v>203</v>
      </c>
      <c r="F24" s="3">
        <v>400000</v>
      </c>
      <c r="G24" s="2">
        <f t="shared" si="0"/>
        <v>1970.4433497536945</v>
      </c>
      <c r="H24" s="2">
        <f t="shared" si="1"/>
        <v>400000</v>
      </c>
      <c r="I24" t="s">
        <v>323</v>
      </c>
      <c r="J24" t="s">
        <v>141</v>
      </c>
      <c r="K24" t="s">
        <v>2215</v>
      </c>
      <c r="L24" t="s">
        <v>142</v>
      </c>
      <c r="M24" t="s">
        <v>16</v>
      </c>
      <c r="N24" t="s">
        <v>948</v>
      </c>
    </row>
    <row r="25" spans="1:14" hidden="1" x14ac:dyDescent="0.35">
      <c r="A25" t="s">
        <v>1927</v>
      </c>
      <c r="B25" t="s">
        <v>66</v>
      </c>
      <c r="C25">
        <v>2</v>
      </c>
      <c r="D25">
        <v>2</v>
      </c>
      <c r="E25" s="1">
        <v>106</v>
      </c>
      <c r="F25" s="3">
        <v>400000</v>
      </c>
      <c r="G25" s="2">
        <f t="shared" si="0"/>
        <v>3773.5849056603774</v>
      </c>
      <c r="H25" s="2">
        <f t="shared" si="1"/>
        <v>400000</v>
      </c>
      <c r="I25" t="s">
        <v>1928</v>
      </c>
      <c r="J25" t="s">
        <v>430</v>
      </c>
      <c r="K25" t="s">
        <v>2215</v>
      </c>
      <c r="L25" t="s">
        <v>431</v>
      </c>
      <c r="M25" t="s">
        <v>16</v>
      </c>
      <c r="N25" t="s">
        <v>948</v>
      </c>
    </row>
    <row r="26" spans="1:14" hidden="1" x14ac:dyDescent="0.35">
      <c r="A26" t="s">
        <v>1317</v>
      </c>
      <c r="B26" t="s">
        <v>1033</v>
      </c>
      <c r="C26">
        <v>1</v>
      </c>
      <c r="D26">
        <v>0</v>
      </c>
      <c r="E26" s="1">
        <v>750</v>
      </c>
      <c r="F26" s="3">
        <v>550</v>
      </c>
      <c r="G26" s="2">
        <f t="shared" si="0"/>
        <v>550</v>
      </c>
      <c r="H26" s="2">
        <f t="shared" si="1"/>
        <v>412500</v>
      </c>
      <c r="I26" t="s">
        <v>1318</v>
      </c>
      <c r="J26" t="s">
        <v>1319</v>
      </c>
      <c r="K26" t="s">
        <v>2215</v>
      </c>
      <c r="L26" t="s">
        <v>1320</v>
      </c>
      <c r="M26" t="s">
        <v>16</v>
      </c>
      <c r="N26" t="s">
        <v>2242</v>
      </c>
    </row>
    <row r="27" spans="1:14" hidden="1" x14ac:dyDescent="0.35">
      <c r="A27" t="s">
        <v>139</v>
      </c>
      <c r="B27" t="s">
        <v>66</v>
      </c>
      <c r="C27">
        <v>3</v>
      </c>
      <c r="D27">
        <v>3</v>
      </c>
      <c r="E27" s="1">
        <v>131</v>
      </c>
      <c r="F27" s="3">
        <v>420000</v>
      </c>
      <c r="G27" s="2">
        <f t="shared" si="0"/>
        <v>3206.1068702290077</v>
      </c>
      <c r="H27" s="2">
        <f t="shared" si="1"/>
        <v>420000</v>
      </c>
      <c r="I27" t="s">
        <v>140</v>
      </c>
      <c r="J27" t="s">
        <v>141</v>
      </c>
      <c r="K27" t="s">
        <v>2215</v>
      </c>
      <c r="L27" t="s">
        <v>142</v>
      </c>
      <c r="M27" t="s">
        <v>16</v>
      </c>
      <c r="N27" t="s">
        <v>50</v>
      </c>
    </row>
    <row r="28" spans="1:14" hidden="1" x14ac:dyDescent="0.35">
      <c r="A28" t="s">
        <v>322</v>
      </c>
      <c r="B28" t="s">
        <v>66</v>
      </c>
      <c r="C28">
        <v>3</v>
      </c>
      <c r="D28">
        <v>3</v>
      </c>
      <c r="E28" s="1">
        <v>131</v>
      </c>
      <c r="F28" s="3">
        <v>420000</v>
      </c>
      <c r="G28" s="2">
        <f t="shared" si="0"/>
        <v>3206.1068702290077</v>
      </c>
      <c r="H28" s="2">
        <f t="shared" si="1"/>
        <v>420000</v>
      </c>
      <c r="I28" t="s">
        <v>323</v>
      </c>
      <c r="J28" t="s">
        <v>141</v>
      </c>
      <c r="K28" t="s">
        <v>2215</v>
      </c>
      <c r="L28" t="s">
        <v>142</v>
      </c>
      <c r="M28" t="s">
        <v>16</v>
      </c>
      <c r="N28" t="s">
        <v>50</v>
      </c>
    </row>
    <row r="29" spans="1:14" hidden="1" x14ac:dyDescent="0.35">
      <c r="A29" t="s">
        <v>408</v>
      </c>
      <c r="B29" t="s">
        <v>66</v>
      </c>
      <c r="C29">
        <v>3</v>
      </c>
      <c r="D29">
        <v>3</v>
      </c>
      <c r="E29" s="1">
        <v>131</v>
      </c>
      <c r="F29" s="3">
        <v>420000</v>
      </c>
      <c r="G29" s="2">
        <f t="shared" si="0"/>
        <v>3206.1068702290077</v>
      </c>
      <c r="H29" s="2">
        <f t="shared" si="1"/>
        <v>420000</v>
      </c>
      <c r="I29" t="s">
        <v>323</v>
      </c>
      <c r="J29" t="s">
        <v>141</v>
      </c>
      <c r="K29" t="s">
        <v>2215</v>
      </c>
      <c r="L29" t="s">
        <v>142</v>
      </c>
      <c r="M29" t="s">
        <v>16</v>
      </c>
      <c r="N29" t="s">
        <v>50</v>
      </c>
    </row>
    <row r="30" spans="1:14" hidden="1" x14ac:dyDescent="0.35">
      <c r="A30" t="s">
        <v>526</v>
      </c>
      <c r="B30" t="s">
        <v>66</v>
      </c>
      <c r="C30">
        <v>3</v>
      </c>
      <c r="D30">
        <v>3</v>
      </c>
      <c r="E30" s="1">
        <v>131</v>
      </c>
      <c r="F30" s="3">
        <v>420000</v>
      </c>
      <c r="G30" s="2">
        <f t="shared" si="0"/>
        <v>3206.1068702290077</v>
      </c>
      <c r="H30" s="2">
        <f t="shared" si="1"/>
        <v>420000</v>
      </c>
      <c r="I30" t="s">
        <v>323</v>
      </c>
      <c r="J30" t="s">
        <v>141</v>
      </c>
      <c r="K30" t="s">
        <v>2215</v>
      </c>
      <c r="L30" t="s">
        <v>142</v>
      </c>
      <c r="M30" t="s">
        <v>16</v>
      </c>
      <c r="N30" t="s">
        <v>2242</v>
      </c>
    </row>
    <row r="31" spans="1:14" hidden="1" x14ac:dyDescent="0.35">
      <c r="A31" t="s">
        <v>878</v>
      </c>
      <c r="B31" t="s">
        <v>66</v>
      </c>
      <c r="C31">
        <v>3</v>
      </c>
      <c r="D31">
        <v>3</v>
      </c>
      <c r="E31" s="1">
        <v>131</v>
      </c>
      <c r="F31" s="3">
        <v>420000</v>
      </c>
      <c r="G31" s="2">
        <f t="shared" si="0"/>
        <v>3206.1068702290077</v>
      </c>
      <c r="H31" s="2">
        <f t="shared" si="1"/>
        <v>420000</v>
      </c>
      <c r="I31" t="s">
        <v>879</v>
      </c>
      <c r="J31" t="s">
        <v>141</v>
      </c>
      <c r="K31" t="s">
        <v>2215</v>
      </c>
      <c r="L31" t="s">
        <v>142</v>
      </c>
      <c r="M31" t="s">
        <v>16</v>
      </c>
      <c r="N31" t="s">
        <v>50</v>
      </c>
    </row>
    <row r="32" spans="1:14" hidden="1" x14ac:dyDescent="0.35">
      <c r="A32" t="s">
        <v>880</v>
      </c>
      <c r="B32" t="s">
        <v>66</v>
      </c>
      <c r="C32">
        <v>3</v>
      </c>
      <c r="D32">
        <v>3</v>
      </c>
      <c r="E32" s="1">
        <v>131</v>
      </c>
      <c r="F32" s="3">
        <v>420000</v>
      </c>
      <c r="G32" s="2">
        <f t="shared" si="0"/>
        <v>3206.1068702290077</v>
      </c>
      <c r="H32" s="2">
        <f t="shared" si="1"/>
        <v>420000</v>
      </c>
      <c r="I32" t="s">
        <v>881</v>
      </c>
      <c r="J32" t="s">
        <v>141</v>
      </c>
      <c r="K32" t="s">
        <v>2215</v>
      </c>
      <c r="L32" t="s">
        <v>142</v>
      </c>
      <c r="M32" t="s">
        <v>16</v>
      </c>
      <c r="N32" t="s">
        <v>50</v>
      </c>
    </row>
    <row r="33" spans="1:14" hidden="1" x14ac:dyDescent="0.35">
      <c r="A33" t="s">
        <v>1008</v>
      </c>
      <c r="B33" t="s">
        <v>66</v>
      </c>
      <c r="C33">
        <v>3</v>
      </c>
      <c r="D33">
        <v>3</v>
      </c>
      <c r="E33" s="1">
        <v>132</v>
      </c>
      <c r="F33" s="3">
        <v>420000</v>
      </c>
      <c r="G33" s="2">
        <f t="shared" si="0"/>
        <v>3181.818181818182</v>
      </c>
      <c r="H33" s="2">
        <f t="shared" si="1"/>
        <v>420000</v>
      </c>
      <c r="I33" t="s">
        <v>140</v>
      </c>
      <c r="J33" t="s">
        <v>141</v>
      </c>
      <c r="K33" t="s">
        <v>2215</v>
      </c>
      <c r="L33" t="s">
        <v>142</v>
      </c>
      <c r="M33" t="s">
        <v>16</v>
      </c>
      <c r="N33" t="s">
        <v>2242</v>
      </c>
    </row>
    <row r="34" spans="1:14" hidden="1" x14ac:dyDescent="0.35">
      <c r="A34" t="s">
        <v>1137</v>
      </c>
      <c r="B34" t="s">
        <v>66</v>
      </c>
      <c r="C34">
        <v>3</v>
      </c>
      <c r="D34">
        <v>3</v>
      </c>
      <c r="E34" s="1">
        <v>170</v>
      </c>
      <c r="F34" s="3">
        <v>420000</v>
      </c>
      <c r="G34" s="2">
        <f t="shared" si="0"/>
        <v>2470.5882352941176</v>
      </c>
      <c r="H34" s="2">
        <f t="shared" si="1"/>
        <v>420000</v>
      </c>
      <c r="I34" t="s">
        <v>138</v>
      </c>
      <c r="J34" t="s">
        <v>14</v>
      </c>
      <c r="K34" t="s">
        <v>2215</v>
      </c>
      <c r="L34" t="s">
        <v>15</v>
      </c>
      <c r="M34" t="s">
        <v>16</v>
      </c>
      <c r="N34" t="s">
        <v>50</v>
      </c>
    </row>
    <row r="35" spans="1:14" hidden="1" x14ac:dyDescent="0.35">
      <c r="A35" t="s">
        <v>1147</v>
      </c>
      <c r="B35" t="s">
        <v>66</v>
      </c>
      <c r="C35">
        <v>3</v>
      </c>
      <c r="D35">
        <v>3</v>
      </c>
      <c r="E35" s="1">
        <v>132</v>
      </c>
      <c r="F35" s="3">
        <v>420000</v>
      </c>
      <c r="G35" s="2">
        <f t="shared" si="0"/>
        <v>3181.818181818182</v>
      </c>
      <c r="H35" s="2">
        <f t="shared" si="1"/>
        <v>420000</v>
      </c>
      <c r="I35" t="s">
        <v>140</v>
      </c>
      <c r="J35" t="s">
        <v>141</v>
      </c>
      <c r="K35" t="s">
        <v>2215</v>
      </c>
      <c r="L35" t="s">
        <v>142</v>
      </c>
      <c r="M35" t="s">
        <v>16</v>
      </c>
      <c r="N35" t="s">
        <v>50</v>
      </c>
    </row>
    <row r="36" spans="1:14" hidden="1" x14ac:dyDescent="0.35">
      <c r="A36" t="s">
        <v>1150</v>
      </c>
      <c r="B36" t="s">
        <v>66</v>
      </c>
      <c r="C36">
        <v>3</v>
      </c>
      <c r="D36">
        <v>3</v>
      </c>
      <c r="E36" s="1">
        <v>131</v>
      </c>
      <c r="F36" s="3">
        <v>420000</v>
      </c>
      <c r="G36" s="2">
        <f t="shared" si="0"/>
        <v>3206.1068702290077</v>
      </c>
      <c r="H36" s="2">
        <f t="shared" si="1"/>
        <v>420000</v>
      </c>
      <c r="I36" t="s">
        <v>1151</v>
      </c>
      <c r="J36" t="s">
        <v>141</v>
      </c>
      <c r="K36" t="s">
        <v>2215</v>
      </c>
      <c r="L36" t="s">
        <v>142</v>
      </c>
      <c r="M36" t="s">
        <v>16</v>
      </c>
      <c r="N36" t="s">
        <v>50</v>
      </c>
    </row>
    <row r="37" spans="1:14" hidden="1" x14ac:dyDescent="0.35">
      <c r="A37" t="s">
        <v>1190</v>
      </c>
      <c r="B37" t="s">
        <v>66</v>
      </c>
      <c r="C37">
        <v>3</v>
      </c>
      <c r="D37">
        <v>3</v>
      </c>
      <c r="E37" s="1">
        <v>131</v>
      </c>
      <c r="F37" s="3">
        <v>420000</v>
      </c>
      <c r="G37" s="2">
        <f t="shared" si="0"/>
        <v>3206.1068702290077</v>
      </c>
      <c r="H37" s="2">
        <f t="shared" si="1"/>
        <v>420000</v>
      </c>
      <c r="I37" t="s">
        <v>323</v>
      </c>
      <c r="J37" t="s">
        <v>141</v>
      </c>
      <c r="K37" t="s">
        <v>2215</v>
      </c>
      <c r="L37" t="s">
        <v>142</v>
      </c>
      <c r="M37" t="s">
        <v>16</v>
      </c>
      <c r="N37" t="s">
        <v>50</v>
      </c>
    </row>
    <row r="38" spans="1:14" hidden="1" x14ac:dyDescent="0.35">
      <c r="A38" t="s">
        <v>1192</v>
      </c>
      <c r="B38" t="s">
        <v>66</v>
      </c>
      <c r="C38">
        <v>3</v>
      </c>
      <c r="D38">
        <v>3</v>
      </c>
      <c r="E38" s="1">
        <v>131</v>
      </c>
      <c r="F38" s="3">
        <v>420000</v>
      </c>
      <c r="G38" s="2">
        <f t="shared" si="0"/>
        <v>3206.1068702290077</v>
      </c>
      <c r="H38" s="2">
        <f t="shared" si="1"/>
        <v>420000</v>
      </c>
      <c r="I38" t="s">
        <v>323</v>
      </c>
      <c r="J38" t="s">
        <v>141</v>
      </c>
      <c r="K38" t="s">
        <v>2215</v>
      </c>
      <c r="L38" t="s">
        <v>142</v>
      </c>
      <c r="M38" t="s">
        <v>16</v>
      </c>
      <c r="N38" t="s">
        <v>50</v>
      </c>
    </row>
    <row r="39" spans="1:14" hidden="1" x14ac:dyDescent="0.35">
      <c r="A39" t="s">
        <v>1223</v>
      </c>
      <c r="B39" t="s">
        <v>66</v>
      </c>
      <c r="C39">
        <v>3</v>
      </c>
      <c r="D39">
        <v>3</v>
      </c>
      <c r="E39" s="1">
        <v>131</v>
      </c>
      <c r="F39" s="3">
        <v>420000</v>
      </c>
      <c r="G39" s="2">
        <f t="shared" si="0"/>
        <v>3206.1068702290077</v>
      </c>
      <c r="H39" s="2">
        <f t="shared" si="1"/>
        <v>420000</v>
      </c>
      <c r="I39" t="s">
        <v>323</v>
      </c>
      <c r="J39" t="s">
        <v>141</v>
      </c>
      <c r="K39" t="s">
        <v>2215</v>
      </c>
      <c r="L39" t="s">
        <v>142</v>
      </c>
      <c r="M39" t="s">
        <v>16</v>
      </c>
      <c r="N39" t="s">
        <v>2242</v>
      </c>
    </row>
    <row r="40" spans="1:14" hidden="1" x14ac:dyDescent="0.35">
      <c r="A40" t="s">
        <v>1264</v>
      </c>
      <c r="B40" t="s">
        <v>66</v>
      </c>
      <c r="C40">
        <v>4</v>
      </c>
      <c r="D40">
        <v>4</v>
      </c>
      <c r="E40" s="1">
        <v>131</v>
      </c>
      <c r="F40" s="3">
        <v>420000</v>
      </c>
      <c r="G40" s="2">
        <f t="shared" si="0"/>
        <v>3206.1068702290077</v>
      </c>
      <c r="H40" s="2">
        <f t="shared" si="1"/>
        <v>420000</v>
      </c>
      <c r="I40" t="s">
        <v>1265</v>
      </c>
      <c r="J40" t="s">
        <v>141</v>
      </c>
      <c r="K40" t="s">
        <v>2215</v>
      </c>
      <c r="L40" t="s">
        <v>142</v>
      </c>
      <c r="M40" t="s">
        <v>16</v>
      </c>
      <c r="N40" t="s">
        <v>2242</v>
      </c>
    </row>
    <row r="41" spans="1:14" hidden="1" x14ac:dyDescent="0.35">
      <c r="A41" t="s">
        <v>1192</v>
      </c>
      <c r="B41" t="s">
        <v>66</v>
      </c>
      <c r="C41">
        <v>3</v>
      </c>
      <c r="D41">
        <v>3</v>
      </c>
      <c r="E41" s="1">
        <v>131</v>
      </c>
      <c r="F41" s="3">
        <v>420000</v>
      </c>
      <c r="G41" s="2">
        <f t="shared" si="0"/>
        <v>3206.1068702290077</v>
      </c>
      <c r="H41" s="2">
        <f t="shared" si="1"/>
        <v>420000</v>
      </c>
      <c r="I41" t="s">
        <v>323</v>
      </c>
      <c r="J41" t="s">
        <v>141</v>
      </c>
      <c r="K41" t="s">
        <v>2215</v>
      </c>
      <c r="L41" t="s">
        <v>142</v>
      </c>
      <c r="M41" t="s">
        <v>16</v>
      </c>
      <c r="N41" t="s">
        <v>50</v>
      </c>
    </row>
    <row r="42" spans="1:14" hidden="1" x14ac:dyDescent="0.35">
      <c r="A42" t="s">
        <v>1348</v>
      </c>
      <c r="B42" t="s">
        <v>66</v>
      </c>
      <c r="C42">
        <v>3</v>
      </c>
      <c r="D42">
        <v>3</v>
      </c>
      <c r="E42" s="1">
        <v>131</v>
      </c>
      <c r="F42" s="3">
        <v>420000</v>
      </c>
      <c r="G42" s="2">
        <f t="shared" si="0"/>
        <v>3206.1068702290077</v>
      </c>
      <c r="H42" s="2">
        <f t="shared" si="1"/>
        <v>420000</v>
      </c>
      <c r="I42" t="s">
        <v>323</v>
      </c>
      <c r="J42" t="s">
        <v>141</v>
      </c>
      <c r="K42" t="s">
        <v>2215</v>
      </c>
      <c r="L42" t="s">
        <v>142</v>
      </c>
      <c r="M42" t="s">
        <v>16</v>
      </c>
      <c r="N42" t="s">
        <v>50</v>
      </c>
    </row>
    <row r="43" spans="1:14" hidden="1" x14ac:dyDescent="0.35">
      <c r="A43" t="s">
        <v>1373</v>
      </c>
      <c r="B43" t="s">
        <v>66</v>
      </c>
      <c r="C43">
        <v>3</v>
      </c>
      <c r="D43">
        <v>3</v>
      </c>
      <c r="E43" s="1">
        <v>131</v>
      </c>
      <c r="F43" s="3">
        <v>420000</v>
      </c>
      <c r="G43" s="2">
        <f t="shared" si="0"/>
        <v>3206.1068702290077</v>
      </c>
      <c r="H43" s="2">
        <f t="shared" si="1"/>
        <v>420000</v>
      </c>
      <c r="I43" t="s">
        <v>1265</v>
      </c>
      <c r="J43" t="s">
        <v>141</v>
      </c>
      <c r="K43" t="s">
        <v>2215</v>
      </c>
      <c r="L43" t="s">
        <v>142</v>
      </c>
      <c r="M43" t="s">
        <v>16</v>
      </c>
      <c r="N43" t="s">
        <v>2242</v>
      </c>
    </row>
    <row r="44" spans="1:14" hidden="1" x14ac:dyDescent="0.35">
      <c r="A44" t="s">
        <v>1374</v>
      </c>
      <c r="B44" t="s">
        <v>66</v>
      </c>
      <c r="C44">
        <v>3</v>
      </c>
      <c r="D44">
        <v>3</v>
      </c>
      <c r="E44" s="1">
        <v>131</v>
      </c>
      <c r="F44" s="3">
        <v>420000</v>
      </c>
      <c r="G44" s="2">
        <f t="shared" si="0"/>
        <v>3206.1068702290077</v>
      </c>
      <c r="H44" s="2">
        <f t="shared" si="1"/>
        <v>420000</v>
      </c>
      <c r="I44" t="s">
        <v>323</v>
      </c>
      <c r="J44" t="s">
        <v>141</v>
      </c>
      <c r="K44" t="s">
        <v>2215</v>
      </c>
      <c r="L44" t="s">
        <v>142</v>
      </c>
      <c r="M44" t="s">
        <v>16</v>
      </c>
      <c r="N44" t="s">
        <v>2242</v>
      </c>
    </row>
    <row r="45" spans="1:14" hidden="1" x14ac:dyDescent="0.35">
      <c r="A45" t="s">
        <v>1375</v>
      </c>
      <c r="B45" t="s">
        <v>66</v>
      </c>
      <c r="C45">
        <v>3</v>
      </c>
      <c r="D45">
        <v>3</v>
      </c>
      <c r="E45" s="1">
        <v>131</v>
      </c>
      <c r="F45" s="3">
        <v>420000</v>
      </c>
      <c r="G45" s="2">
        <f t="shared" si="0"/>
        <v>3206.1068702290077</v>
      </c>
      <c r="H45" s="2">
        <f t="shared" si="1"/>
        <v>420000</v>
      </c>
      <c r="I45" t="s">
        <v>323</v>
      </c>
      <c r="J45" t="s">
        <v>141</v>
      </c>
      <c r="K45" t="s">
        <v>2215</v>
      </c>
      <c r="L45" t="s">
        <v>142</v>
      </c>
      <c r="M45" t="s">
        <v>16</v>
      </c>
      <c r="N45" t="s">
        <v>2242</v>
      </c>
    </row>
    <row r="46" spans="1:14" hidden="1" x14ac:dyDescent="0.35">
      <c r="A46" t="s">
        <v>1452</v>
      </c>
      <c r="B46" t="s">
        <v>1033</v>
      </c>
      <c r="C46">
        <v>0</v>
      </c>
      <c r="D46">
        <v>0</v>
      </c>
      <c r="E46" s="1">
        <v>312</v>
      </c>
      <c r="F46" s="3">
        <v>1350</v>
      </c>
      <c r="G46" s="2">
        <f t="shared" si="0"/>
        <v>1350</v>
      </c>
      <c r="H46" s="2">
        <f t="shared" si="1"/>
        <v>421200</v>
      </c>
      <c r="I46" t="s">
        <v>1453</v>
      </c>
      <c r="J46" t="s">
        <v>105</v>
      </c>
      <c r="K46" t="s">
        <v>2215</v>
      </c>
      <c r="L46" t="s">
        <v>106</v>
      </c>
      <c r="M46" t="s">
        <v>16</v>
      </c>
      <c r="N46" t="s">
        <v>2242</v>
      </c>
    </row>
    <row r="47" spans="1:14" hidden="1" x14ac:dyDescent="0.35">
      <c r="A47" t="s">
        <v>137</v>
      </c>
      <c r="B47" t="s">
        <v>66</v>
      </c>
      <c r="C47">
        <v>3</v>
      </c>
      <c r="D47">
        <v>3</v>
      </c>
      <c r="E47" s="1">
        <v>131</v>
      </c>
      <c r="F47" s="3">
        <v>430000</v>
      </c>
      <c r="G47" s="2">
        <f t="shared" si="0"/>
        <v>3282.4427480916029</v>
      </c>
      <c r="H47" s="2">
        <f t="shared" si="1"/>
        <v>430000</v>
      </c>
      <c r="I47" t="s">
        <v>138</v>
      </c>
      <c r="J47" t="s">
        <v>14</v>
      </c>
      <c r="K47" t="s">
        <v>2215</v>
      </c>
      <c r="L47" t="s">
        <v>15</v>
      </c>
      <c r="M47" t="s">
        <v>16</v>
      </c>
      <c r="N47" t="s">
        <v>50</v>
      </c>
    </row>
    <row r="48" spans="1:14" hidden="1" x14ac:dyDescent="0.35">
      <c r="A48" t="s">
        <v>473</v>
      </c>
      <c r="B48" t="s">
        <v>66</v>
      </c>
      <c r="C48">
        <v>3</v>
      </c>
      <c r="D48">
        <v>3</v>
      </c>
      <c r="E48" s="1">
        <v>149</v>
      </c>
      <c r="F48" s="3">
        <v>430000</v>
      </c>
      <c r="G48" s="2">
        <f t="shared" si="0"/>
        <v>2885.9060402684563</v>
      </c>
      <c r="H48" s="2">
        <f t="shared" si="1"/>
        <v>430000</v>
      </c>
      <c r="I48" t="s">
        <v>474</v>
      </c>
      <c r="J48" t="s">
        <v>14</v>
      </c>
      <c r="K48" t="s">
        <v>2215</v>
      </c>
      <c r="L48" t="s">
        <v>15</v>
      </c>
      <c r="M48" t="s">
        <v>16</v>
      </c>
      <c r="N48" t="s">
        <v>2242</v>
      </c>
    </row>
    <row r="49" spans="1:14" hidden="1" x14ac:dyDescent="0.35">
      <c r="A49" t="s">
        <v>488</v>
      </c>
      <c r="B49" t="s">
        <v>66</v>
      </c>
      <c r="C49">
        <v>3</v>
      </c>
      <c r="D49">
        <v>3</v>
      </c>
      <c r="E49" s="1">
        <v>131</v>
      </c>
      <c r="F49" s="3">
        <v>430000</v>
      </c>
      <c r="G49" s="2">
        <f t="shared" si="0"/>
        <v>3282.4427480916029</v>
      </c>
      <c r="H49" s="2">
        <f t="shared" si="1"/>
        <v>430000</v>
      </c>
      <c r="I49" t="s">
        <v>138</v>
      </c>
      <c r="J49" t="s">
        <v>14</v>
      </c>
      <c r="K49" t="s">
        <v>2215</v>
      </c>
      <c r="L49" t="s">
        <v>15</v>
      </c>
      <c r="M49" t="s">
        <v>16</v>
      </c>
      <c r="N49" t="s">
        <v>50</v>
      </c>
    </row>
    <row r="50" spans="1:14" hidden="1" x14ac:dyDescent="0.35">
      <c r="A50" t="s">
        <v>700</v>
      </c>
      <c r="B50" t="s">
        <v>66</v>
      </c>
      <c r="C50">
        <v>3</v>
      </c>
      <c r="D50">
        <v>3</v>
      </c>
      <c r="E50" s="1">
        <v>132</v>
      </c>
      <c r="F50" s="3">
        <v>430000</v>
      </c>
      <c r="G50" s="2">
        <f t="shared" si="0"/>
        <v>3257.5757575757575</v>
      </c>
      <c r="H50" s="2">
        <f t="shared" si="1"/>
        <v>430000</v>
      </c>
      <c r="I50" t="s">
        <v>138</v>
      </c>
      <c r="J50" t="s">
        <v>14</v>
      </c>
      <c r="K50" t="s">
        <v>2215</v>
      </c>
      <c r="L50" t="s">
        <v>15</v>
      </c>
      <c r="M50" t="s">
        <v>16</v>
      </c>
      <c r="N50" t="s">
        <v>50</v>
      </c>
    </row>
    <row r="51" spans="1:14" hidden="1" x14ac:dyDescent="0.35">
      <c r="A51" t="s">
        <v>794</v>
      </c>
      <c r="B51" t="s">
        <v>66</v>
      </c>
      <c r="C51">
        <v>4</v>
      </c>
      <c r="D51">
        <v>3</v>
      </c>
      <c r="E51" s="1">
        <v>149</v>
      </c>
      <c r="F51" s="3">
        <v>430000</v>
      </c>
      <c r="G51" s="2">
        <f t="shared" si="0"/>
        <v>2885.9060402684563</v>
      </c>
      <c r="H51" s="2">
        <f t="shared" si="1"/>
        <v>430000</v>
      </c>
      <c r="I51" t="s">
        <v>138</v>
      </c>
      <c r="J51" t="s">
        <v>14</v>
      </c>
      <c r="K51" t="s">
        <v>2215</v>
      </c>
      <c r="L51" t="s">
        <v>15</v>
      </c>
      <c r="M51" t="s">
        <v>16</v>
      </c>
      <c r="N51" t="s">
        <v>50</v>
      </c>
    </row>
    <row r="52" spans="1:14" hidden="1" x14ac:dyDescent="0.35">
      <c r="A52" t="s">
        <v>795</v>
      </c>
      <c r="B52" t="s">
        <v>66</v>
      </c>
      <c r="C52">
        <v>3</v>
      </c>
      <c r="D52">
        <v>3</v>
      </c>
      <c r="E52" s="1">
        <v>131</v>
      </c>
      <c r="F52" s="3">
        <v>430000</v>
      </c>
      <c r="G52" s="2">
        <f t="shared" si="0"/>
        <v>3282.4427480916029</v>
      </c>
      <c r="H52" s="2">
        <f t="shared" si="1"/>
        <v>430000</v>
      </c>
      <c r="I52" t="s">
        <v>138</v>
      </c>
      <c r="J52" t="s">
        <v>14</v>
      </c>
      <c r="K52" t="s">
        <v>2215</v>
      </c>
      <c r="L52" t="s">
        <v>15</v>
      </c>
      <c r="M52" t="s">
        <v>16</v>
      </c>
      <c r="N52" t="s">
        <v>50</v>
      </c>
    </row>
    <row r="53" spans="1:14" hidden="1" x14ac:dyDescent="0.35">
      <c r="A53" t="s">
        <v>1111</v>
      </c>
      <c r="B53" t="s">
        <v>66</v>
      </c>
      <c r="C53">
        <v>3</v>
      </c>
      <c r="D53">
        <v>3</v>
      </c>
      <c r="E53" s="1">
        <v>132</v>
      </c>
      <c r="F53" s="3">
        <v>430000</v>
      </c>
      <c r="G53" s="2">
        <f t="shared" si="0"/>
        <v>3257.5757575757575</v>
      </c>
      <c r="H53" s="2">
        <f t="shared" si="1"/>
        <v>430000</v>
      </c>
      <c r="I53" t="s">
        <v>756</v>
      </c>
      <c r="J53" t="s">
        <v>14</v>
      </c>
      <c r="K53" t="s">
        <v>2215</v>
      </c>
      <c r="L53" t="s">
        <v>15</v>
      </c>
      <c r="M53" t="s">
        <v>16</v>
      </c>
      <c r="N53" t="s">
        <v>50</v>
      </c>
    </row>
    <row r="54" spans="1:14" hidden="1" x14ac:dyDescent="0.35">
      <c r="A54" t="s">
        <v>1232</v>
      </c>
      <c r="B54" t="s">
        <v>66</v>
      </c>
      <c r="C54">
        <v>3</v>
      </c>
      <c r="D54">
        <v>3</v>
      </c>
      <c r="E54" s="1">
        <v>149</v>
      </c>
      <c r="F54" s="3">
        <v>430000</v>
      </c>
      <c r="G54" s="2">
        <f t="shared" si="0"/>
        <v>2885.9060402684563</v>
      </c>
      <c r="H54" s="2">
        <f t="shared" si="1"/>
        <v>430000</v>
      </c>
      <c r="I54" t="s">
        <v>474</v>
      </c>
      <c r="J54" t="s">
        <v>14</v>
      </c>
      <c r="K54" t="s">
        <v>2215</v>
      </c>
      <c r="L54" t="s">
        <v>15</v>
      </c>
      <c r="M54" t="s">
        <v>16</v>
      </c>
      <c r="N54" t="s">
        <v>50</v>
      </c>
    </row>
    <row r="55" spans="1:14" hidden="1" x14ac:dyDescent="0.35">
      <c r="A55" t="s">
        <v>1267</v>
      </c>
      <c r="B55" t="s">
        <v>66</v>
      </c>
      <c r="C55">
        <v>3</v>
      </c>
      <c r="D55">
        <v>3</v>
      </c>
      <c r="E55" s="1">
        <v>131</v>
      </c>
      <c r="F55" s="3">
        <v>430000</v>
      </c>
      <c r="G55" s="2">
        <f t="shared" si="0"/>
        <v>3282.4427480916029</v>
      </c>
      <c r="H55" s="2">
        <f t="shared" si="1"/>
        <v>430000</v>
      </c>
      <c r="I55" t="s">
        <v>474</v>
      </c>
      <c r="J55" t="s">
        <v>14</v>
      </c>
      <c r="K55" t="s">
        <v>2215</v>
      </c>
      <c r="L55" t="s">
        <v>15</v>
      </c>
      <c r="M55" t="s">
        <v>16</v>
      </c>
      <c r="N55" t="s">
        <v>50</v>
      </c>
    </row>
    <row r="56" spans="1:14" hidden="1" x14ac:dyDescent="0.35">
      <c r="A56" t="s">
        <v>1273</v>
      </c>
      <c r="B56" t="s">
        <v>66</v>
      </c>
      <c r="C56">
        <v>3</v>
      </c>
      <c r="D56">
        <v>3</v>
      </c>
      <c r="E56" s="1">
        <v>131</v>
      </c>
      <c r="F56" s="3">
        <v>430000</v>
      </c>
      <c r="G56" s="2">
        <f t="shared" si="0"/>
        <v>3282.4427480916029</v>
      </c>
      <c r="H56" s="2">
        <f t="shared" si="1"/>
        <v>430000</v>
      </c>
      <c r="I56" t="s">
        <v>138</v>
      </c>
      <c r="J56" t="s">
        <v>14</v>
      </c>
      <c r="K56" t="s">
        <v>2215</v>
      </c>
      <c r="L56" t="s">
        <v>15</v>
      </c>
      <c r="M56" t="s">
        <v>16</v>
      </c>
      <c r="N56" t="s">
        <v>50</v>
      </c>
    </row>
    <row r="57" spans="1:14" hidden="1" x14ac:dyDescent="0.35">
      <c r="A57" t="s">
        <v>1309</v>
      </c>
      <c r="B57" t="s">
        <v>66</v>
      </c>
      <c r="C57">
        <v>3</v>
      </c>
      <c r="D57">
        <v>3</v>
      </c>
      <c r="E57" s="1">
        <v>131</v>
      </c>
      <c r="F57" s="3">
        <v>430000</v>
      </c>
      <c r="G57" s="2">
        <f t="shared" si="0"/>
        <v>3282.4427480916029</v>
      </c>
      <c r="H57" s="2">
        <f t="shared" si="1"/>
        <v>430000</v>
      </c>
      <c r="I57" t="s">
        <v>474</v>
      </c>
      <c r="J57" t="s">
        <v>14</v>
      </c>
      <c r="K57" t="s">
        <v>2215</v>
      </c>
      <c r="L57" t="s">
        <v>15</v>
      </c>
      <c r="M57" t="s">
        <v>16</v>
      </c>
      <c r="N57" t="s">
        <v>50</v>
      </c>
    </row>
    <row r="58" spans="1:14" hidden="1" x14ac:dyDescent="0.35">
      <c r="A58" t="s">
        <v>1532</v>
      </c>
      <c r="B58" t="s">
        <v>66</v>
      </c>
      <c r="C58">
        <v>3</v>
      </c>
      <c r="D58">
        <v>3</v>
      </c>
      <c r="E58" s="1">
        <v>131</v>
      </c>
      <c r="F58" s="3">
        <v>430000</v>
      </c>
      <c r="G58" s="2">
        <f t="shared" si="0"/>
        <v>3282.4427480916029</v>
      </c>
      <c r="H58" s="2">
        <f t="shared" si="1"/>
        <v>430000</v>
      </c>
      <c r="I58" t="s">
        <v>557</v>
      </c>
      <c r="J58" t="s">
        <v>14</v>
      </c>
      <c r="K58" t="s">
        <v>2215</v>
      </c>
      <c r="L58" t="s">
        <v>15</v>
      </c>
      <c r="M58" t="s">
        <v>16</v>
      </c>
      <c r="N58" t="s">
        <v>50</v>
      </c>
    </row>
    <row r="59" spans="1:14" hidden="1" x14ac:dyDescent="0.35">
      <c r="A59" t="s">
        <v>794</v>
      </c>
      <c r="B59" t="s">
        <v>66</v>
      </c>
      <c r="C59">
        <v>4</v>
      </c>
      <c r="D59">
        <v>3</v>
      </c>
      <c r="E59" s="1">
        <v>149</v>
      </c>
      <c r="F59" s="3">
        <v>430000</v>
      </c>
      <c r="G59" s="2">
        <f t="shared" si="0"/>
        <v>2885.9060402684563</v>
      </c>
      <c r="H59" s="2">
        <f t="shared" si="1"/>
        <v>430000</v>
      </c>
      <c r="I59" t="s">
        <v>138</v>
      </c>
      <c r="J59" t="s">
        <v>14</v>
      </c>
      <c r="K59" t="s">
        <v>2215</v>
      </c>
      <c r="L59" t="s">
        <v>15</v>
      </c>
      <c r="M59" t="s">
        <v>16</v>
      </c>
      <c r="N59" t="s">
        <v>50</v>
      </c>
    </row>
    <row r="60" spans="1:14" hidden="1" x14ac:dyDescent="0.35">
      <c r="A60" t="s">
        <v>1876</v>
      </c>
      <c r="B60" t="s">
        <v>66</v>
      </c>
      <c r="C60">
        <v>3</v>
      </c>
      <c r="D60">
        <v>3</v>
      </c>
      <c r="E60" s="1">
        <v>131</v>
      </c>
      <c r="F60" s="3">
        <v>430000</v>
      </c>
      <c r="G60" s="2">
        <f t="shared" si="0"/>
        <v>3282.4427480916029</v>
      </c>
      <c r="H60" s="2">
        <f t="shared" si="1"/>
        <v>430000</v>
      </c>
      <c r="I60" t="s">
        <v>138</v>
      </c>
      <c r="J60" t="s">
        <v>14</v>
      </c>
      <c r="K60" t="s">
        <v>2215</v>
      </c>
      <c r="L60" t="s">
        <v>15</v>
      </c>
      <c r="M60" t="s">
        <v>16</v>
      </c>
      <c r="N60" t="s">
        <v>2242</v>
      </c>
    </row>
    <row r="61" spans="1:14" hidden="1" x14ac:dyDescent="0.35">
      <c r="A61" t="s">
        <v>1989</v>
      </c>
      <c r="B61" t="s">
        <v>66</v>
      </c>
      <c r="C61">
        <v>3</v>
      </c>
      <c r="D61">
        <v>3</v>
      </c>
      <c r="E61" s="1">
        <v>131</v>
      </c>
      <c r="F61" s="3">
        <v>430000</v>
      </c>
      <c r="G61" s="2">
        <f t="shared" si="0"/>
        <v>3282.4427480916029</v>
      </c>
      <c r="H61" s="2">
        <f t="shared" si="1"/>
        <v>430000</v>
      </c>
      <c r="I61" t="s">
        <v>1990</v>
      </c>
      <c r="J61" t="s">
        <v>14</v>
      </c>
      <c r="K61" t="s">
        <v>2215</v>
      </c>
      <c r="L61" t="s">
        <v>15</v>
      </c>
      <c r="M61" t="s">
        <v>16</v>
      </c>
      <c r="N61" t="s">
        <v>50</v>
      </c>
    </row>
    <row r="62" spans="1:14" hidden="1" x14ac:dyDescent="0.35">
      <c r="A62" t="s">
        <v>2091</v>
      </c>
      <c r="B62" t="s">
        <v>66</v>
      </c>
      <c r="C62">
        <v>3</v>
      </c>
      <c r="D62">
        <v>4</v>
      </c>
      <c r="E62" s="1">
        <v>131</v>
      </c>
      <c r="F62" s="3">
        <v>430000</v>
      </c>
      <c r="G62" s="2">
        <f t="shared" si="0"/>
        <v>3282.4427480916029</v>
      </c>
      <c r="H62" s="2">
        <f t="shared" si="1"/>
        <v>430000</v>
      </c>
      <c r="I62" t="s">
        <v>138</v>
      </c>
      <c r="J62" t="s">
        <v>14</v>
      </c>
      <c r="K62" t="s">
        <v>2215</v>
      </c>
      <c r="L62" t="s">
        <v>15</v>
      </c>
      <c r="M62" t="s">
        <v>16</v>
      </c>
      <c r="N62" t="s">
        <v>2242</v>
      </c>
    </row>
    <row r="63" spans="1:14" hidden="1" x14ac:dyDescent="0.35">
      <c r="A63" t="s">
        <v>2197</v>
      </c>
      <c r="B63" t="s">
        <v>66</v>
      </c>
      <c r="C63">
        <v>3</v>
      </c>
      <c r="D63">
        <v>3</v>
      </c>
      <c r="E63" s="1">
        <v>131</v>
      </c>
      <c r="F63" s="3">
        <v>430000</v>
      </c>
      <c r="G63" s="2">
        <f t="shared" si="0"/>
        <v>3282.4427480916029</v>
      </c>
      <c r="H63" s="2">
        <f t="shared" si="1"/>
        <v>430000</v>
      </c>
      <c r="I63" t="s">
        <v>1990</v>
      </c>
      <c r="J63" t="s">
        <v>14</v>
      </c>
      <c r="K63" t="s">
        <v>2215</v>
      </c>
      <c r="L63" t="s">
        <v>15</v>
      </c>
      <c r="M63" t="s">
        <v>16</v>
      </c>
      <c r="N63" t="s">
        <v>50</v>
      </c>
    </row>
    <row r="64" spans="1:14" hidden="1" x14ac:dyDescent="0.35">
      <c r="A64" t="s">
        <v>2188</v>
      </c>
      <c r="B64" t="s">
        <v>66</v>
      </c>
      <c r="C64">
        <v>3</v>
      </c>
      <c r="D64">
        <v>3</v>
      </c>
      <c r="E64" s="1">
        <v>166</v>
      </c>
      <c r="F64" s="3">
        <v>440000</v>
      </c>
      <c r="G64" s="2">
        <f t="shared" si="0"/>
        <v>2650.602409638554</v>
      </c>
      <c r="H64" s="2">
        <f t="shared" si="1"/>
        <v>440000</v>
      </c>
      <c r="I64" t="s">
        <v>138</v>
      </c>
      <c r="J64" t="s">
        <v>14</v>
      </c>
      <c r="K64" t="s">
        <v>2215</v>
      </c>
      <c r="L64" t="s">
        <v>15</v>
      </c>
      <c r="M64" t="s">
        <v>16</v>
      </c>
      <c r="N64" t="s">
        <v>50</v>
      </c>
    </row>
    <row r="65" spans="1:14" hidden="1" x14ac:dyDescent="0.35">
      <c r="A65" t="s">
        <v>192</v>
      </c>
      <c r="B65" t="s">
        <v>66</v>
      </c>
      <c r="C65">
        <v>3</v>
      </c>
      <c r="D65">
        <v>3</v>
      </c>
      <c r="E65" s="1">
        <v>168</v>
      </c>
      <c r="F65" s="3">
        <v>450000</v>
      </c>
      <c r="G65" s="2">
        <f t="shared" si="0"/>
        <v>2678.5714285714284</v>
      </c>
      <c r="H65" s="2">
        <f t="shared" si="1"/>
        <v>450000</v>
      </c>
      <c r="I65" t="s">
        <v>138</v>
      </c>
      <c r="J65" t="s">
        <v>14</v>
      </c>
      <c r="K65" t="s">
        <v>2215</v>
      </c>
      <c r="L65" t="s">
        <v>15</v>
      </c>
      <c r="M65" t="s">
        <v>16</v>
      </c>
      <c r="N65" t="s">
        <v>2242</v>
      </c>
    </row>
    <row r="66" spans="1:14" hidden="1" x14ac:dyDescent="0.35">
      <c r="A66" t="s">
        <v>275</v>
      </c>
      <c r="B66" t="s">
        <v>66</v>
      </c>
      <c r="C66">
        <v>4</v>
      </c>
      <c r="D66">
        <v>3</v>
      </c>
      <c r="E66" s="1">
        <v>177</v>
      </c>
      <c r="F66" s="3">
        <v>450000</v>
      </c>
      <c r="G66" s="2">
        <f t="shared" si="0"/>
        <v>2542.3728813559323</v>
      </c>
      <c r="H66" s="2">
        <f t="shared" si="1"/>
        <v>450000</v>
      </c>
      <c r="I66" t="s">
        <v>138</v>
      </c>
      <c r="J66" t="s">
        <v>14</v>
      </c>
      <c r="K66" t="s">
        <v>2215</v>
      </c>
      <c r="L66" t="s">
        <v>15</v>
      </c>
      <c r="M66" t="s">
        <v>16</v>
      </c>
      <c r="N66" t="s">
        <v>50</v>
      </c>
    </row>
    <row r="67" spans="1:14" hidden="1" x14ac:dyDescent="0.35">
      <c r="A67" t="s">
        <v>475</v>
      </c>
      <c r="B67" t="s">
        <v>66</v>
      </c>
      <c r="C67">
        <v>3</v>
      </c>
      <c r="D67">
        <v>3</v>
      </c>
      <c r="E67" s="1">
        <v>170</v>
      </c>
      <c r="F67" s="3">
        <v>450000</v>
      </c>
      <c r="G67" s="2">
        <f t="shared" si="0"/>
        <v>2647.0588235294117</v>
      </c>
      <c r="H67" s="2">
        <f t="shared" si="1"/>
        <v>450000</v>
      </c>
      <c r="I67" t="s">
        <v>138</v>
      </c>
      <c r="J67" t="s">
        <v>14</v>
      </c>
      <c r="K67" t="s">
        <v>2215</v>
      </c>
      <c r="L67" t="s">
        <v>15</v>
      </c>
      <c r="M67" t="s">
        <v>16</v>
      </c>
      <c r="N67" t="s">
        <v>2242</v>
      </c>
    </row>
    <row r="68" spans="1:14" hidden="1" x14ac:dyDescent="0.35">
      <c r="A68" t="s">
        <v>480</v>
      </c>
      <c r="B68" t="s">
        <v>66</v>
      </c>
      <c r="C68">
        <v>3</v>
      </c>
      <c r="D68">
        <v>3</v>
      </c>
      <c r="E68" s="1">
        <v>177</v>
      </c>
      <c r="F68" s="3">
        <v>450000</v>
      </c>
      <c r="G68" s="2">
        <f t="shared" si="0"/>
        <v>2542.3728813559323</v>
      </c>
      <c r="H68" s="2">
        <f t="shared" si="1"/>
        <v>450000</v>
      </c>
      <c r="I68" t="s">
        <v>138</v>
      </c>
      <c r="J68" t="s">
        <v>14</v>
      </c>
      <c r="K68" t="s">
        <v>2215</v>
      </c>
      <c r="L68" t="s">
        <v>15</v>
      </c>
      <c r="M68" t="s">
        <v>16</v>
      </c>
      <c r="N68" t="s">
        <v>50</v>
      </c>
    </row>
    <row r="69" spans="1:14" hidden="1" x14ac:dyDescent="0.35">
      <c r="A69" t="s">
        <v>556</v>
      </c>
      <c r="B69" t="s">
        <v>66</v>
      </c>
      <c r="C69">
        <v>3</v>
      </c>
      <c r="D69">
        <v>4</v>
      </c>
      <c r="E69" s="1">
        <v>173</v>
      </c>
      <c r="F69" s="3">
        <v>450000</v>
      </c>
      <c r="G69" s="2">
        <f t="shared" ref="G69:G132" si="2">IF(F69&lt;50000,F69,F69/E69)</f>
        <v>2601.1560693641618</v>
      </c>
      <c r="H69" s="2">
        <f t="shared" ref="H69:H132" si="3">IF(F69&lt;50000,E69*F69,F69)</f>
        <v>450000</v>
      </c>
      <c r="I69" t="s">
        <v>557</v>
      </c>
      <c r="J69" t="s">
        <v>14</v>
      </c>
      <c r="K69" t="s">
        <v>2215</v>
      </c>
      <c r="L69" t="s">
        <v>15</v>
      </c>
      <c r="M69" t="s">
        <v>16</v>
      </c>
      <c r="N69" t="s">
        <v>509</v>
      </c>
    </row>
    <row r="70" spans="1:14" hidden="1" x14ac:dyDescent="0.35">
      <c r="A70" t="s">
        <v>836</v>
      </c>
      <c r="B70" t="s">
        <v>66</v>
      </c>
      <c r="C70">
        <v>3</v>
      </c>
      <c r="D70">
        <v>3</v>
      </c>
      <c r="E70" s="1">
        <v>173</v>
      </c>
      <c r="F70" s="3">
        <v>450000</v>
      </c>
      <c r="G70" s="2">
        <f t="shared" si="2"/>
        <v>2601.1560693641618</v>
      </c>
      <c r="H70" s="2">
        <f t="shared" si="3"/>
        <v>450000</v>
      </c>
      <c r="I70" t="s">
        <v>138</v>
      </c>
      <c r="J70" t="s">
        <v>14</v>
      </c>
      <c r="K70" t="s">
        <v>2215</v>
      </c>
      <c r="L70" t="s">
        <v>15</v>
      </c>
      <c r="M70" t="s">
        <v>16</v>
      </c>
      <c r="N70" t="s">
        <v>50</v>
      </c>
    </row>
    <row r="71" spans="1:14" hidden="1" x14ac:dyDescent="0.35">
      <c r="A71" t="s">
        <v>987</v>
      </c>
      <c r="B71" t="s">
        <v>66</v>
      </c>
      <c r="C71">
        <v>3</v>
      </c>
      <c r="D71">
        <v>3</v>
      </c>
      <c r="E71" s="1">
        <v>177</v>
      </c>
      <c r="F71" s="3">
        <v>450000</v>
      </c>
      <c r="G71" s="2">
        <f t="shared" si="2"/>
        <v>2542.3728813559323</v>
      </c>
      <c r="H71" s="2">
        <f t="shared" si="3"/>
        <v>450000</v>
      </c>
      <c r="I71" t="s">
        <v>138</v>
      </c>
      <c r="J71" t="s">
        <v>14</v>
      </c>
      <c r="K71" t="s">
        <v>2215</v>
      </c>
      <c r="L71" t="s">
        <v>15</v>
      </c>
      <c r="M71" t="s">
        <v>16</v>
      </c>
      <c r="N71" t="s">
        <v>50</v>
      </c>
    </row>
    <row r="72" spans="1:14" hidden="1" x14ac:dyDescent="0.35">
      <c r="A72" t="s">
        <v>1041</v>
      </c>
      <c r="B72" t="s">
        <v>66</v>
      </c>
      <c r="C72">
        <v>3</v>
      </c>
      <c r="D72">
        <v>3</v>
      </c>
      <c r="E72" s="1">
        <v>177</v>
      </c>
      <c r="F72" s="3">
        <v>450000</v>
      </c>
      <c r="G72" s="2">
        <f t="shared" si="2"/>
        <v>2542.3728813559323</v>
      </c>
      <c r="H72" s="2">
        <f t="shared" si="3"/>
        <v>450000</v>
      </c>
      <c r="I72" t="s">
        <v>138</v>
      </c>
      <c r="J72" t="s">
        <v>14</v>
      </c>
      <c r="K72" t="s">
        <v>2215</v>
      </c>
      <c r="L72" t="s">
        <v>15</v>
      </c>
      <c r="M72" t="s">
        <v>16</v>
      </c>
      <c r="N72" t="s">
        <v>50</v>
      </c>
    </row>
    <row r="73" spans="1:14" hidden="1" x14ac:dyDescent="0.35">
      <c r="A73" t="s">
        <v>1161</v>
      </c>
      <c r="B73" t="s">
        <v>66</v>
      </c>
      <c r="C73">
        <v>3</v>
      </c>
      <c r="D73">
        <v>3</v>
      </c>
      <c r="E73" s="1">
        <v>177</v>
      </c>
      <c r="F73" s="3">
        <v>450000</v>
      </c>
      <c r="G73" s="2">
        <f t="shared" si="2"/>
        <v>2542.3728813559323</v>
      </c>
      <c r="H73" s="2">
        <f t="shared" si="3"/>
        <v>450000</v>
      </c>
      <c r="I73" t="s">
        <v>138</v>
      </c>
      <c r="J73" t="s">
        <v>14</v>
      </c>
      <c r="K73" t="s">
        <v>2215</v>
      </c>
      <c r="L73" t="s">
        <v>15</v>
      </c>
      <c r="M73" t="s">
        <v>16</v>
      </c>
      <c r="N73" t="s">
        <v>50</v>
      </c>
    </row>
    <row r="74" spans="1:14" hidden="1" x14ac:dyDescent="0.35">
      <c r="A74" t="s">
        <v>1209</v>
      </c>
      <c r="B74" t="s">
        <v>66</v>
      </c>
      <c r="C74">
        <v>3</v>
      </c>
      <c r="D74">
        <v>3</v>
      </c>
      <c r="E74" s="1">
        <v>177</v>
      </c>
      <c r="F74" s="3">
        <v>450000</v>
      </c>
      <c r="G74" s="2">
        <f t="shared" si="2"/>
        <v>2542.3728813559323</v>
      </c>
      <c r="H74" s="2">
        <f t="shared" si="3"/>
        <v>450000</v>
      </c>
      <c r="I74" t="s">
        <v>1210</v>
      </c>
      <c r="J74" t="s">
        <v>14</v>
      </c>
      <c r="K74" t="s">
        <v>2215</v>
      </c>
      <c r="L74" t="s">
        <v>15</v>
      </c>
      <c r="M74" t="s">
        <v>16</v>
      </c>
      <c r="N74" t="s">
        <v>50</v>
      </c>
    </row>
    <row r="75" spans="1:14" hidden="1" x14ac:dyDescent="0.35">
      <c r="A75" t="s">
        <v>1311</v>
      </c>
      <c r="B75" t="s">
        <v>66</v>
      </c>
      <c r="C75">
        <v>3</v>
      </c>
      <c r="D75">
        <v>3</v>
      </c>
      <c r="E75" s="1">
        <v>178</v>
      </c>
      <c r="F75" s="3">
        <v>450000</v>
      </c>
      <c r="G75" s="2">
        <f t="shared" si="2"/>
        <v>2528.0898876404494</v>
      </c>
      <c r="H75" s="2">
        <f t="shared" si="3"/>
        <v>450000</v>
      </c>
      <c r="I75" t="s">
        <v>756</v>
      </c>
      <c r="J75" t="s">
        <v>14</v>
      </c>
      <c r="K75" t="s">
        <v>2215</v>
      </c>
      <c r="L75" t="s">
        <v>15</v>
      </c>
      <c r="M75" t="s">
        <v>16</v>
      </c>
      <c r="N75" t="s">
        <v>50</v>
      </c>
    </row>
    <row r="76" spans="1:14" hidden="1" x14ac:dyDescent="0.35">
      <c r="A76" t="s">
        <v>1365</v>
      </c>
      <c r="B76" t="s">
        <v>66</v>
      </c>
      <c r="C76">
        <v>3</v>
      </c>
      <c r="D76">
        <v>3</v>
      </c>
      <c r="E76" s="1">
        <v>173</v>
      </c>
      <c r="F76" s="3">
        <v>450000</v>
      </c>
      <c r="G76" s="2">
        <f t="shared" si="2"/>
        <v>2601.1560693641618</v>
      </c>
      <c r="H76" s="2">
        <f t="shared" si="3"/>
        <v>450000</v>
      </c>
      <c r="I76" t="s">
        <v>557</v>
      </c>
      <c r="J76" t="s">
        <v>14</v>
      </c>
      <c r="K76" t="s">
        <v>2215</v>
      </c>
      <c r="L76" t="s">
        <v>15</v>
      </c>
      <c r="M76" t="s">
        <v>16</v>
      </c>
      <c r="N76" t="s">
        <v>509</v>
      </c>
    </row>
    <row r="77" spans="1:14" hidden="1" x14ac:dyDescent="0.35">
      <c r="A77" t="s">
        <v>1505</v>
      </c>
      <c r="B77" t="s">
        <v>66</v>
      </c>
      <c r="C77">
        <v>3</v>
      </c>
      <c r="D77">
        <v>3</v>
      </c>
      <c r="E77" s="1">
        <v>175</v>
      </c>
      <c r="F77" s="3">
        <v>450000</v>
      </c>
      <c r="G77" s="2">
        <f t="shared" si="2"/>
        <v>2571.4285714285716</v>
      </c>
      <c r="H77" s="2">
        <f t="shared" si="3"/>
        <v>450000</v>
      </c>
      <c r="I77" t="s">
        <v>138</v>
      </c>
      <c r="J77" t="s">
        <v>14</v>
      </c>
      <c r="K77" t="s">
        <v>2215</v>
      </c>
      <c r="L77" t="s">
        <v>15</v>
      </c>
      <c r="M77" t="s">
        <v>16</v>
      </c>
      <c r="N77" t="s">
        <v>50</v>
      </c>
    </row>
    <row r="78" spans="1:14" hidden="1" x14ac:dyDescent="0.35">
      <c r="A78" t="s">
        <v>1520</v>
      </c>
      <c r="B78" t="s">
        <v>66</v>
      </c>
      <c r="C78">
        <v>3</v>
      </c>
      <c r="D78">
        <v>3</v>
      </c>
      <c r="E78" s="1">
        <v>173</v>
      </c>
      <c r="F78" s="3">
        <v>450000</v>
      </c>
      <c r="G78" s="2">
        <f t="shared" si="2"/>
        <v>2601.1560693641618</v>
      </c>
      <c r="H78" s="2">
        <f t="shared" si="3"/>
        <v>450000</v>
      </c>
      <c r="I78" t="s">
        <v>138</v>
      </c>
      <c r="J78" t="s">
        <v>14</v>
      </c>
      <c r="K78" t="s">
        <v>2215</v>
      </c>
      <c r="L78" t="s">
        <v>15</v>
      </c>
      <c r="M78" t="s">
        <v>16</v>
      </c>
      <c r="N78" t="s">
        <v>50</v>
      </c>
    </row>
    <row r="79" spans="1:14" hidden="1" x14ac:dyDescent="0.35">
      <c r="A79" t="s">
        <v>1523</v>
      </c>
      <c r="B79" t="s">
        <v>66</v>
      </c>
      <c r="C79">
        <v>3</v>
      </c>
      <c r="D79">
        <v>3</v>
      </c>
      <c r="E79" s="1">
        <v>177</v>
      </c>
      <c r="F79" s="3">
        <v>450000</v>
      </c>
      <c r="G79" s="2">
        <f t="shared" si="2"/>
        <v>2542.3728813559323</v>
      </c>
      <c r="H79" s="2">
        <f t="shared" si="3"/>
        <v>450000</v>
      </c>
      <c r="I79" t="s">
        <v>1210</v>
      </c>
      <c r="J79" t="s">
        <v>14</v>
      </c>
      <c r="K79" t="s">
        <v>2215</v>
      </c>
      <c r="L79" t="s">
        <v>15</v>
      </c>
      <c r="M79" t="s">
        <v>16</v>
      </c>
      <c r="N79" t="s">
        <v>2242</v>
      </c>
    </row>
    <row r="80" spans="1:14" hidden="1" x14ac:dyDescent="0.35">
      <c r="A80" t="s">
        <v>1533</v>
      </c>
      <c r="B80" t="s">
        <v>66</v>
      </c>
      <c r="C80">
        <v>3</v>
      </c>
      <c r="D80">
        <v>3</v>
      </c>
      <c r="E80" s="1">
        <v>177</v>
      </c>
      <c r="F80" s="3">
        <v>450000</v>
      </c>
      <c r="G80" s="2">
        <f t="shared" si="2"/>
        <v>2542.3728813559323</v>
      </c>
      <c r="H80" s="2">
        <f t="shared" si="3"/>
        <v>450000</v>
      </c>
      <c r="I80" t="s">
        <v>138</v>
      </c>
      <c r="J80" t="s">
        <v>14</v>
      </c>
      <c r="K80" t="s">
        <v>2215</v>
      </c>
      <c r="L80" t="s">
        <v>15</v>
      </c>
      <c r="M80" t="s">
        <v>16</v>
      </c>
      <c r="N80" t="s">
        <v>50</v>
      </c>
    </row>
    <row r="81" spans="1:14" hidden="1" x14ac:dyDescent="0.35">
      <c r="A81" t="s">
        <v>1534</v>
      </c>
      <c r="B81" t="s">
        <v>66</v>
      </c>
      <c r="C81">
        <v>3</v>
      </c>
      <c r="D81">
        <v>3</v>
      </c>
      <c r="E81" s="1">
        <v>173</v>
      </c>
      <c r="F81" s="3">
        <v>450000</v>
      </c>
      <c r="G81" s="2">
        <f t="shared" si="2"/>
        <v>2601.1560693641618</v>
      </c>
      <c r="H81" s="2">
        <f t="shared" si="3"/>
        <v>450000</v>
      </c>
      <c r="I81" t="s">
        <v>138</v>
      </c>
      <c r="J81" t="s">
        <v>14</v>
      </c>
      <c r="K81" t="s">
        <v>2215</v>
      </c>
      <c r="L81" t="s">
        <v>15</v>
      </c>
      <c r="M81" t="s">
        <v>16</v>
      </c>
      <c r="N81" t="s">
        <v>50</v>
      </c>
    </row>
    <row r="82" spans="1:14" hidden="1" x14ac:dyDescent="0.35">
      <c r="A82" t="s">
        <v>1539</v>
      </c>
      <c r="B82" t="s">
        <v>66</v>
      </c>
      <c r="C82">
        <v>3</v>
      </c>
      <c r="D82">
        <v>3</v>
      </c>
      <c r="E82" s="1">
        <v>169</v>
      </c>
      <c r="F82" s="3">
        <v>450000</v>
      </c>
      <c r="G82" s="2">
        <f t="shared" si="2"/>
        <v>2662.7218934911243</v>
      </c>
      <c r="H82" s="2">
        <f t="shared" si="3"/>
        <v>450000</v>
      </c>
      <c r="I82" t="s">
        <v>756</v>
      </c>
      <c r="J82" t="s">
        <v>14</v>
      </c>
      <c r="K82" t="s">
        <v>2215</v>
      </c>
      <c r="L82" t="s">
        <v>15</v>
      </c>
      <c r="M82" t="s">
        <v>16</v>
      </c>
      <c r="N82" t="s">
        <v>50</v>
      </c>
    </row>
    <row r="83" spans="1:14" hidden="1" x14ac:dyDescent="0.35">
      <c r="A83" t="s">
        <v>1759</v>
      </c>
      <c r="B83" t="s">
        <v>66</v>
      </c>
      <c r="C83">
        <v>3</v>
      </c>
      <c r="D83">
        <v>3</v>
      </c>
      <c r="E83" s="1">
        <v>177</v>
      </c>
      <c r="F83" s="3">
        <v>450000</v>
      </c>
      <c r="G83" s="2">
        <f t="shared" si="2"/>
        <v>2542.3728813559323</v>
      </c>
      <c r="H83" s="2">
        <f t="shared" si="3"/>
        <v>450000</v>
      </c>
      <c r="I83" t="s">
        <v>138</v>
      </c>
      <c r="J83" t="s">
        <v>14</v>
      </c>
      <c r="K83" t="s">
        <v>2215</v>
      </c>
      <c r="L83" t="s">
        <v>15</v>
      </c>
      <c r="M83" t="s">
        <v>16</v>
      </c>
      <c r="N83" t="s">
        <v>50</v>
      </c>
    </row>
    <row r="84" spans="1:14" hidden="1" x14ac:dyDescent="0.35">
      <c r="A84" t="s">
        <v>1533</v>
      </c>
      <c r="B84" t="s">
        <v>66</v>
      </c>
      <c r="C84">
        <v>3</v>
      </c>
      <c r="D84">
        <v>3</v>
      </c>
      <c r="E84" s="1">
        <v>177</v>
      </c>
      <c r="F84" s="3">
        <v>450000</v>
      </c>
      <c r="G84" s="2">
        <f t="shared" si="2"/>
        <v>2542.3728813559323</v>
      </c>
      <c r="H84" s="2">
        <f t="shared" si="3"/>
        <v>450000</v>
      </c>
      <c r="I84" t="s">
        <v>138</v>
      </c>
      <c r="J84" t="s">
        <v>14</v>
      </c>
      <c r="K84" t="s">
        <v>2215</v>
      </c>
      <c r="L84" t="s">
        <v>15</v>
      </c>
      <c r="M84" t="s">
        <v>16</v>
      </c>
      <c r="N84" t="s">
        <v>50</v>
      </c>
    </row>
    <row r="85" spans="1:14" hidden="1" x14ac:dyDescent="0.35">
      <c r="A85" t="s">
        <v>418</v>
      </c>
      <c r="B85" t="s">
        <v>66</v>
      </c>
      <c r="C85">
        <v>3</v>
      </c>
      <c r="D85">
        <v>3</v>
      </c>
      <c r="E85" s="1">
        <v>130</v>
      </c>
      <c r="F85" s="3">
        <v>460000</v>
      </c>
      <c r="G85" s="2">
        <f t="shared" si="2"/>
        <v>3538.4615384615386</v>
      </c>
      <c r="H85" s="2">
        <f t="shared" si="3"/>
        <v>460000</v>
      </c>
      <c r="I85" t="s">
        <v>419</v>
      </c>
      <c r="J85" t="s">
        <v>218</v>
      </c>
      <c r="K85" t="s">
        <v>2215</v>
      </c>
      <c r="L85" t="s">
        <v>219</v>
      </c>
      <c r="M85" t="s">
        <v>16</v>
      </c>
      <c r="N85" t="s">
        <v>2242</v>
      </c>
    </row>
    <row r="86" spans="1:14" hidden="1" x14ac:dyDescent="0.35">
      <c r="A86" t="s">
        <v>1618</v>
      </c>
      <c r="B86" t="s">
        <v>66</v>
      </c>
      <c r="C86">
        <v>3</v>
      </c>
      <c r="D86">
        <v>4</v>
      </c>
      <c r="E86" s="1">
        <v>168</v>
      </c>
      <c r="F86" s="3">
        <v>460000</v>
      </c>
      <c r="G86" s="2">
        <f t="shared" si="2"/>
        <v>2738.0952380952381</v>
      </c>
      <c r="H86" s="2">
        <f t="shared" si="3"/>
        <v>460000</v>
      </c>
      <c r="I86" t="s">
        <v>1619</v>
      </c>
      <c r="J86" t="s">
        <v>218</v>
      </c>
      <c r="K86" t="s">
        <v>2215</v>
      </c>
      <c r="L86" t="s">
        <v>219</v>
      </c>
      <c r="M86" t="s">
        <v>16</v>
      </c>
      <c r="N86" t="s">
        <v>2242</v>
      </c>
    </row>
    <row r="87" spans="1:14" hidden="1" x14ac:dyDescent="0.35">
      <c r="A87" t="s">
        <v>152</v>
      </c>
      <c r="B87" t="s">
        <v>66</v>
      </c>
      <c r="C87">
        <v>3</v>
      </c>
      <c r="D87">
        <v>3</v>
      </c>
      <c r="E87" s="1">
        <v>114</v>
      </c>
      <c r="F87" s="3">
        <v>470000</v>
      </c>
      <c r="G87" s="2">
        <f t="shared" si="2"/>
        <v>4122.8070175438597</v>
      </c>
      <c r="H87" s="2">
        <f t="shared" si="3"/>
        <v>470000</v>
      </c>
      <c r="I87" t="s">
        <v>153</v>
      </c>
      <c r="J87" t="s">
        <v>154</v>
      </c>
      <c r="K87" t="s">
        <v>2218</v>
      </c>
      <c r="L87" t="s">
        <v>155</v>
      </c>
      <c r="M87" t="s">
        <v>16</v>
      </c>
      <c r="N87" t="s">
        <v>2242</v>
      </c>
    </row>
    <row r="88" spans="1:14" hidden="1" x14ac:dyDescent="0.35">
      <c r="A88" t="s">
        <v>1354</v>
      </c>
      <c r="B88" t="s">
        <v>66</v>
      </c>
      <c r="C88">
        <v>3</v>
      </c>
      <c r="D88">
        <v>2</v>
      </c>
      <c r="E88" s="1">
        <v>114</v>
      </c>
      <c r="F88" s="3">
        <v>470000</v>
      </c>
      <c r="G88" s="2">
        <f t="shared" si="2"/>
        <v>4122.8070175438597</v>
      </c>
      <c r="H88" s="2">
        <f t="shared" si="3"/>
        <v>470000</v>
      </c>
      <c r="I88" t="s">
        <v>657</v>
      </c>
      <c r="J88" t="s">
        <v>154</v>
      </c>
      <c r="K88" t="s">
        <v>2218</v>
      </c>
      <c r="L88" t="s">
        <v>155</v>
      </c>
      <c r="M88" t="s">
        <v>16</v>
      </c>
      <c r="N88" t="s">
        <v>2242</v>
      </c>
    </row>
    <row r="89" spans="1:14" hidden="1" x14ac:dyDescent="0.35">
      <c r="A89" t="s">
        <v>1695</v>
      </c>
      <c r="B89" t="s">
        <v>66</v>
      </c>
      <c r="C89">
        <v>5</v>
      </c>
      <c r="D89">
        <v>4</v>
      </c>
      <c r="E89" s="1">
        <v>188</v>
      </c>
      <c r="F89" s="3">
        <v>480000</v>
      </c>
      <c r="G89" s="2">
        <f t="shared" si="2"/>
        <v>2553.1914893617022</v>
      </c>
      <c r="H89" s="2">
        <f t="shared" si="3"/>
        <v>480000</v>
      </c>
      <c r="I89" t="s">
        <v>580</v>
      </c>
      <c r="J89" t="s">
        <v>373</v>
      </c>
      <c r="K89" t="s">
        <v>2218</v>
      </c>
      <c r="L89" t="s">
        <v>374</v>
      </c>
      <c r="M89" t="s">
        <v>16</v>
      </c>
      <c r="N89" t="s">
        <v>1696</v>
      </c>
    </row>
    <row r="90" spans="1:14" hidden="1" x14ac:dyDescent="0.35">
      <c r="A90" t="s">
        <v>740</v>
      </c>
      <c r="B90" t="s">
        <v>12</v>
      </c>
      <c r="C90">
        <v>5</v>
      </c>
      <c r="D90">
        <v>3</v>
      </c>
      <c r="E90" s="1">
        <v>160</v>
      </c>
      <c r="F90" s="3">
        <v>490000</v>
      </c>
      <c r="G90" s="2">
        <f t="shared" si="2"/>
        <v>3062.5</v>
      </c>
      <c r="H90" s="2">
        <f t="shared" si="3"/>
        <v>490000</v>
      </c>
      <c r="I90" t="s">
        <v>741</v>
      </c>
      <c r="J90" t="s">
        <v>14</v>
      </c>
      <c r="K90" t="s">
        <v>2215</v>
      </c>
      <c r="L90" t="s">
        <v>15</v>
      </c>
      <c r="M90" t="s">
        <v>16</v>
      </c>
      <c r="N90" t="s">
        <v>2242</v>
      </c>
    </row>
    <row r="91" spans="1:14" hidden="1" x14ac:dyDescent="0.35">
      <c r="A91" t="s">
        <v>2011</v>
      </c>
      <c r="B91" t="s">
        <v>66</v>
      </c>
      <c r="C91">
        <v>3</v>
      </c>
      <c r="D91">
        <v>2</v>
      </c>
      <c r="E91" s="1">
        <v>115</v>
      </c>
      <c r="F91" s="3">
        <v>495000</v>
      </c>
      <c r="G91" s="2">
        <f t="shared" si="2"/>
        <v>4304.347826086957</v>
      </c>
      <c r="H91" s="2">
        <f t="shared" si="3"/>
        <v>495000</v>
      </c>
      <c r="I91" t="s">
        <v>779</v>
      </c>
      <c r="J91" t="s">
        <v>154</v>
      </c>
      <c r="K91" t="s">
        <v>2218</v>
      </c>
      <c r="L91" t="s">
        <v>155</v>
      </c>
      <c r="M91" t="s">
        <v>16</v>
      </c>
      <c r="N91" t="s">
        <v>1074</v>
      </c>
    </row>
    <row r="92" spans="1:14" hidden="1" x14ac:dyDescent="0.35">
      <c r="A92" t="s">
        <v>99</v>
      </c>
      <c r="B92" t="s">
        <v>1033</v>
      </c>
      <c r="C92">
        <v>0</v>
      </c>
      <c r="D92">
        <v>0</v>
      </c>
      <c r="E92" s="1">
        <v>936</v>
      </c>
      <c r="F92" s="3">
        <v>535</v>
      </c>
      <c r="G92" s="2">
        <f t="shared" si="2"/>
        <v>535</v>
      </c>
      <c r="H92" s="2">
        <f t="shared" si="3"/>
        <v>500760</v>
      </c>
      <c r="I92" t="s">
        <v>100</v>
      </c>
      <c r="J92" t="s">
        <v>101</v>
      </c>
      <c r="K92" t="s">
        <v>2215</v>
      </c>
      <c r="L92" t="s">
        <v>102</v>
      </c>
      <c r="M92" t="s">
        <v>16</v>
      </c>
      <c r="N92" t="s">
        <v>2242</v>
      </c>
    </row>
    <row r="93" spans="1:14" hidden="1" x14ac:dyDescent="0.35">
      <c r="A93" t="s">
        <v>1343</v>
      </c>
      <c r="B93" t="s">
        <v>66</v>
      </c>
      <c r="C93">
        <v>3</v>
      </c>
      <c r="D93">
        <v>2</v>
      </c>
      <c r="E93" s="1">
        <v>115</v>
      </c>
      <c r="F93" s="3">
        <v>505000</v>
      </c>
      <c r="G93" s="2">
        <f t="shared" si="2"/>
        <v>4391.304347826087</v>
      </c>
      <c r="H93" s="2">
        <f t="shared" si="3"/>
        <v>505000</v>
      </c>
      <c r="I93" t="s">
        <v>657</v>
      </c>
      <c r="J93" t="s">
        <v>154</v>
      </c>
      <c r="K93" t="s">
        <v>2218</v>
      </c>
      <c r="L93" t="s">
        <v>155</v>
      </c>
      <c r="M93" t="s">
        <v>16</v>
      </c>
      <c r="N93" t="s">
        <v>2242</v>
      </c>
    </row>
    <row r="94" spans="1:14" hidden="1" x14ac:dyDescent="0.35">
      <c r="A94" t="s">
        <v>2009</v>
      </c>
      <c r="B94" t="s">
        <v>66</v>
      </c>
      <c r="C94">
        <v>3</v>
      </c>
      <c r="D94">
        <v>2</v>
      </c>
      <c r="E94" s="1">
        <v>115</v>
      </c>
      <c r="F94" s="3">
        <v>505000</v>
      </c>
      <c r="G94" s="2">
        <f t="shared" si="2"/>
        <v>4391.304347826087</v>
      </c>
      <c r="H94" s="2">
        <f t="shared" si="3"/>
        <v>505000</v>
      </c>
      <c r="I94" t="s">
        <v>779</v>
      </c>
      <c r="J94" t="s">
        <v>154</v>
      </c>
      <c r="K94" t="s">
        <v>2218</v>
      </c>
      <c r="L94" t="s">
        <v>155</v>
      </c>
      <c r="M94" t="s">
        <v>16</v>
      </c>
      <c r="N94" t="s">
        <v>1074</v>
      </c>
    </row>
    <row r="95" spans="1:14" hidden="1" x14ac:dyDescent="0.35">
      <c r="A95" t="s">
        <v>1892</v>
      </c>
      <c r="B95" t="s">
        <v>66</v>
      </c>
      <c r="C95">
        <v>4</v>
      </c>
      <c r="D95">
        <v>3</v>
      </c>
      <c r="E95" s="1">
        <v>132</v>
      </c>
      <c r="F95" s="3">
        <v>510000</v>
      </c>
      <c r="G95" s="2">
        <f t="shared" si="2"/>
        <v>3863.6363636363635</v>
      </c>
      <c r="H95" s="2">
        <f t="shared" si="3"/>
        <v>510000</v>
      </c>
      <c r="I95" t="s">
        <v>153</v>
      </c>
      <c r="J95" t="s">
        <v>154</v>
      </c>
      <c r="K95" t="s">
        <v>2218</v>
      </c>
      <c r="L95" t="s">
        <v>155</v>
      </c>
      <c r="M95" t="s">
        <v>16</v>
      </c>
      <c r="N95" t="s">
        <v>624</v>
      </c>
    </row>
    <row r="96" spans="1:14" hidden="1" x14ac:dyDescent="0.35">
      <c r="A96" t="s">
        <v>1895</v>
      </c>
      <c r="B96" t="s">
        <v>66</v>
      </c>
      <c r="C96">
        <v>4</v>
      </c>
      <c r="D96">
        <v>3</v>
      </c>
      <c r="E96" s="1">
        <v>132</v>
      </c>
      <c r="F96" s="3">
        <v>510000</v>
      </c>
      <c r="G96" s="2">
        <f t="shared" si="2"/>
        <v>3863.6363636363635</v>
      </c>
      <c r="H96" s="2">
        <f t="shared" si="3"/>
        <v>510000</v>
      </c>
      <c r="I96" t="s">
        <v>153</v>
      </c>
      <c r="J96" t="s">
        <v>154</v>
      </c>
      <c r="K96" t="s">
        <v>2218</v>
      </c>
      <c r="L96" t="s">
        <v>155</v>
      </c>
      <c r="M96" t="s">
        <v>16</v>
      </c>
      <c r="N96" t="s">
        <v>624</v>
      </c>
    </row>
    <row r="97" spans="1:14" hidden="1" x14ac:dyDescent="0.35">
      <c r="A97" t="s">
        <v>1896</v>
      </c>
      <c r="B97" t="s">
        <v>66</v>
      </c>
      <c r="C97">
        <v>4</v>
      </c>
      <c r="D97">
        <v>3</v>
      </c>
      <c r="E97" s="1">
        <v>132</v>
      </c>
      <c r="F97" s="3">
        <v>510000</v>
      </c>
      <c r="G97" s="2">
        <f t="shared" si="2"/>
        <v>3863.6363636363635</v>
      </c>
      <c r="H97" s="2">
        <f t="shared" si="3"/>
        <v>510000</v>
      </c>
      <c r="I97" t="s">
        <v>153</v>
      </c>
      <c r="J97" t="s">
        <v>154</v>
      </c>
      <c r="K97" t="s">
        <v>2218</v>
      </c>
      <c r="L97" t="s">
        <v>155</v>
      </c>
      <c r="M97" t="s">
        <v>16</v>
      </c>
      <c r="N97" t="s">
        <v>624</v>
      </c>
    </row>
    <row r="98" spans="1:14" hidden="1" x14ac:dyDescent="0.35">
      <c r="A98" t="s">
        <v>1897</v>
      </c>
      <c r="B98" t="s">
        <v>66</v>
      </c>
      <c r="C98">
        <v>4</v>
      </c>
      <c r="D98">
        <v>3</v>
      </c>
      <c r="E98" s="1">
        <v>132</v>
      </c>
      <c r="F98" s="3">
        <v>510000</v>
      </c>
      <c r="G98" s="2">
        <f t="shared" si="2"/>
        <v>3863.6363636363635</v>
      </c>
      <c r="H98" s="2">
        <f t="shared" si="3"/>
        <v>510000</v>
      </c>
      <c r="I98" t="s">
        <v>153</v>
      </c>
      <c r="J98" t="s">
        <v>154</v>
      </c>
      <c r="K98" t="s">
        <v>2218</v>
      </c>
      <c r="L98" t="s">
        <v>155</v>
      </c>
      <c r="M98" t="s">
        <v>16</v>
      </c>
      <c r="N98" t="s">
        <v>624</v>
      </c>
    </row>
    <row r="99" spans="1:14" hidden="1" x14ac:dyDescent="0.35">
      <c r="A99" t="s">
        <v>588</v>
      </c>
      <c r="B99" t="s">
        <v>189</v>
      </c>
      <c r="C99">
        <v>0</v>
      </c>
      <c r="D99">
        <v>0</v>
      </c>
      <c r="E99" s="1">
        <v>900</v>
      </c>
      <c r="F99" s="3">
        <v>520000</v>
      </c>
      <c r="G99" s="2">
        <f t="shared" si="2"/>
        <v>577.77777777777783</v>
      </c>
      <c r="H99" s="2">
        <f t="shared" si="3"/>
        <v>520000</v>
      </c>
      <c r="I99" t="s">
        <v>1210</v>
      </c>
      <c r="J99" t="s">
        <v>14</v>
      </c>
      <c r="K99" t="s">
        <v>2215</v>
      </c>
      <c r="L99" t="s">
        <v>15</v>
      </c>
      <c r="M99" t="s">
        <v>16</v>
      </c>
      <c r="N99" t="s">
        <v>531</v>
      </c>
    </row>
    <row r="100" spans="1:14" hidden="1" x14ac:dyDescent="0.35">
      <c r="A100" t="s">
        <v>755</v>
      </c>
      <c r="B100" t="s">
        <v>66</v>
      </c>
      <c r="C100">
        <v>4</v>
      </c>
      <c r="D100">
        <v>3</v>
      </c>
      <c r="E100" s="1">
        <v>900</v>
      </c>
      <c r="F100" s="3">
        <v>520000</v>
      </c>
      <c r="G100" s="2">
        <f t="shared" si="2"/>
        <v>577.77777777777783</v>
      </c>
      <c r="H100" s="2">
        <f t="shared" si="3"/>
        <v>520000</v>
      </c>
      <c r="I100" t="s">
        <v>756</v>
      </c>
      <c r="J100" t="s">
        <v>14</v>
      </c>
      <c r="K100" t="s">
        <v>2215</v>
      </c>
      <c r="L100" t="s">
        <v>15</v>
      </c>
      <c r="M100" t="s">
        <v>16</v>
      </c>
      <c r="N100" t="s">
        <v>509</v>
      </c>
    </row>
    <row r="101" spans="1:14" hidden="1" x14ac:dyDescent="0.35">
      <c r="A101" t="s">
        <v>757</v>
      </c>
      <c r="B101" t="s">
        <v>66</v>
      </c>
      <c r="C101">
        <v>3</v>
      </c>
      <c r="D101">
        <v>4</v>
      </c>
      <c r="E101" s="1">
        <v>900</v>
      </c>
      <c r="F101" s="3">
        <v>520000</v>
      </c>
      <c r="G101" s="2">
        <f t="shared" si="2"/>
        <v>577.77777777777783</v>
      </c>
      <c r="H101" s="2">
        <f t="shared" si="3"/>
        <v>520000</v>
      </c>
      <c r="I101" t="s">
        <v>756</v>
      </c>
      <c r="J101" t="s">
        <v>14</v>
      </c>
      <c r="K101" t="s">
        <v>2215</v>
      </c>
      <c r="L101" t="s">
        <v>15</v>
      </c>
      <c r="M101" t="s">
        <v>16</v>
      </c>
      <c r="N101" t="s">
        <v>509</v>
      </c>
    </row>
    <row r="102" spans="1:14" hidden="1" x14ac:dyDescent="0.35">
      <c r="A102" t="s">
        <v>886</v>
      </c>
      <c r="B102" t="s">
        <v>66</v>
      </c>
      <c r="C102">
        <v>3</v>
      </c>
      <c r="D102">
        <v>4</v>
      </c>
      <c r="E102" s="1">
        <v>900</v>
      </c>
      <c r="F102" s="3">
        <v>520000</v>
      </c>
      <c r="G102" s="2">
        <f t="shared" si="2"/>
        <v>577.77777777777783</v>
      </c>
      <c r="H102" s="2">
        <f t="shared" si="3"/>
        <v>520000</v>
      </c>
      <c r="I102" t="s">
        <v>756</v>
      </c>
      <c r="J102" t="s">
        <v>14</v>
      </c>
      <c r="K102" t="s">
        <v>2215</v>
      </c>
      <c r="L102" t="s">
        <v>15</v>
      </c>
      <c r="M102" t="s">
        <v>16</v>
      </c>
      <c r="N102" t="s">
        <v>509</v>
      </c>
    </row>
    <row r="103" spans="1:14" hidden="1" x14ac:dyDescent="0.35">
      <c r="A103" t="s">
        <v>1893</v>
      </c>
      <c r="B103" t="s">
        <v>66</v>
      </c>
      <c r="C103">
        <v>4</v>
      </c>
      <c r="D103">
        <v>3</v>
      </c>
      <c r="E103" s="1">
        <v>133</v>
      </c>
      <c r="F103" s="3">
        <v>520000</v>
      </c>
      <c r="G103" s="2">
        <f t="shared" si="2"/>
        <v>3909.7744360902257</v>
      </c>
      <c r="H103" s="2">
        <f t="shared" si="3"/>
        <v>520000</v>
      </c>
      <c r="I103" t="s">
        <v>153</v>
      </c>
      <c r="J103" t="s">
        <v>154</v>
      </c>
      <c r="K103" t="s">
        <v>2218</v>
      </c>
      <c r="L103" t="s">
        <v>155</v>
      </c>
      <c r="M103" t="s">
        <v>16</v>
      </c>
      <c r="N103" t="s">
        <v>624</v>
      </c>
    </row>
    <row r="104" spans="1:14" hidden="1" x14ac:dyDescent="0.35">
      <c r="A104" t="s">
        <v>1894</v>
      </c>
      <c r="B104" t="s">
        <v>66</v>
      </c>
      <c r="C104">
        <v>4</v>
      </c>
      <c r="D104">
        <v>3</v>
      </c>
      <c r="E104" s="1">
        <v>133</v>
      </c>
      <c r="F104" s="3">
        <v>520000</v>
      </c>
      <c r="G104" s="2">
        <f t="shared" si="2"/>
        <v>3909.7744360902257</v>
      </c>
      <c r="H104" s="2">
        <f t="shared" si="3"/>
        <v>520000</v>
      </c>
      <c r="I104" t="s">
        <v>153</v>
      </c>
      <c r="J104" t="s">
        <v>154</v>
      </c>
      <c r="K104" t="s">
        <v>2218</v>
      </c>
      <c r="L104" t="s">
        <v>155</v>
      </c>
      <c r="M104" t="s">
        <v>16</v>
      </c>
      <c r="N104" t="s">
        <v>624</v>
      </c>
    </row>
    <row r="105" spans="1:14" hidden="1" x14ac:dyDescent="0.35">
      <c r="A105" t="s">
        <v>2113</v>
      </c>
      <c r="B105" t="s">
        <v>189</v>
      </c>
      <c r="C105">
        <v>3</v>
      </c>
      <c r="D105">
        <v>3</v>
      </c>
      <c r="E105" s="1">
        <v>900</v>
      </c>
      <c r="F105" s="3">
        <v>520000</v>
      </c>
      <c r="G105" s="2">
        <f t="shared" si="2"/>
        <v>577.77777777777783</v>
      </c>
      <c r="H105" s="2">
        <f t="shared" si="3"/>
        <v>520000</v>
      </c>
      <c r="I105" t="s">
        <v>138</v>
      </c>
      <c r="J105" t="s">
        <v>14</v>
      </c>
      <c r="K105" t="s">
        <v>2215</v>
      </c>
      <c r="L105" t="s">
        <v>15</v>
      </c>
      <c r="M105" t="s">
        <v>16</v>
      </c>
      <c r="N105" t="s">
        <v>531</v>
      </c>
    </row>
    <row r="106" spans="1:14" hidden="1" x14ac:dyDescent="0.35">
      <c r="A106" t="s">
        <v>216</v>
      </c>
      <c r="B106" t="s">
        <v>66</v>
      </c>
      <c r="C106">
        <v>3</v>
      </c>
      <c r="D106">
        <v>3</v>
      </c>
      <c r="E106" s="1">
        <v>163</v>
      </c>
      <c r="F106" s="3">
        <v>530000</v>
      </c>
      <c r="G106" s="2">
        <f t="shared" si="2"/>
        <v>3251.5337423312885</v>
      </c>
      <c r="H106" s="2">
        <f t="shared" si="3"/>
        <v>530000</v>
      </c>
      <c r="I106" t="s">
        <v>217</v>
      </c>
      <c r="J106" t="s">
        <v>218</v>
      </c>
      <c r="K106" t="s">
        <v>2215</v>
      </c>
      <c r="L106" t="s">
        <v>219</v>
      </c>
      <c r="M106" t="s">
        <v>16</v>
      </c>
      <c r="N106" t="s">
        <v>50</v>
      </c>
    </row>
    <row r="107" spans="1:14" hidden="1" x14ac:dyDescent="0.35">
      <c r="A107" t="s">
        <v>371</v>
      </c>
      <c r="B107" t="s">
        <v>66</v>
      </c>
      <c r="C107">
        <v>3</v>
      </c>
      <c r="D107">
        <v>3</v>
      </c>
      <c r="E107" s="1">
        <v>152</v>
      </c>
      <c r="F107" s="3">
        <v>530000</v>
      </c>
      <c r="G107" s="2">
        <f t="shared" si="2"/>
        <v>3486.8421052631579</v>
      </c>
      <c r="H107" s="2">
        <f t="shared" si="3"/>
        <v>530000</v>
      </c>
      <c r="I107" t="s">
        <v>372</v>
      </c>
      <c r="J107" t="s">
        <v>373</v>
      </c>
      <c r="K107" t="s">
        <v>2218</v>
      </c>
      <c r="L107" t="s">
        <v>374</v>
      </c>
      <c r="M107" t="s">
        <v>16</v>
      </c>
      <c r="N107" t="s">
        <v>50</v>
      </c>
    </row>
    <row r="108" spans="1:14" hidden="1" x14ac:dyDescent="0.35">
      <c r="A108" t="s">
        <v>581</v>
      </c>
      <c r="B108" t="s">
        <v>66</v>
      </c>
      <c r="C108">
        <v>3</v>
      </c>
      <c r="D108">
        <v>5</v>
      </c>
      <c r="E108" s="1">
        <v>163</v>
      </c>
      <c r="F108" s="3">
        <v>530000</v>
      </c>
      <c r="G108" s="2">
        <f t="shared" si="2"/>
        <v>3251.5337423312885</v>
      </c>
      <c r="H108" s="2">
        <f t="shared" si="3"/>
        <v>530000</v>
      </c>
      <c r="I108" t="s">
        <v>217</v>
      </c>
      <c r="J108" t="s">
        <v>218</v>
      </c>
      <c r="K108" t="s">
        <v>2215</v>
      </c>
      <c r="L108" t="s">
        <v>219</v>
      </c>
      <c r="M108" t="s">
        <v>16</v>
      </c>
      <c r="N108" t="s">
        <v>2242</v>
      </c>
    </row>
    <row r="109" spans="1:14" hidden="1" x14ac:dyDescent="0.35">
      <c r="A109" t="s">
        <v>636</v>
      </c>
      <c r="B109" t="s">
        <v>66</v>
      </c>
      <c r="C109">
        <v>3</v>
      </c>
      <c r="D109">
        <v>5</v>
      </c>
      <c r="E109" s="1">
        <v>163</v>
      </c>
      <c r="F109" s="3">
        <v>530000</v>
      </c>
      <c r="G109" s="2">
        <f t="shared" si="2"/>
        <v>3251.5337423312885</v>
      </c>
      <c r="H109" s="2">
        <f t="shared" si="3"/>
        <v>530000</v>
      </c>
      <c r="I109" t="s">
        <v>217</v>
      </c>
      <c r="J109" t="s">
        <v>218</v>
      </c>
      <c r="K109" t="s">
        <v>2215</v>
      </c>
      <c r="L109" t="s">
        <v>219</v>
      </c>
      <c r="M109" t="s">
        <v>16</v>
      </c>
      <c r="N109" t="s">
        <v>50</v>
      </c>
    </row>
    <row r="110" spans="1:14" hidden="1" x14ac:dyDescent="0.35">
      <c r="A110" t="s">
        <v>683</v>
      </c>
      <c r="B110" t="s">
        <v>66</v>
      </c>
      <c r="C110">
        <v>3</v>
      </c>
      <c r="D110">
        <v>3</v>
      </c>
      <c r="E110" s="1">
        <v>152</v>
      </c>
      <c r="F110" s="3">
        <v>530000</v>
      </c>
      <c r="G110" s="2">
        <f t="shared" si="2"/>
        <v>3486.8421052631579</v>
      </c>
      <c r="H110" s="2">
        <f t="shared" si="3"/>
        <v>530000</v>
      </c>
      <c r="I110" t="s">
        <v>580</v>
      </c>
      <c r="J110" t="s">
        <v>373</v>
      </c>
      <c r="K110" t="s">
        <v>2218</v>
      </c>
      <c r="L110" t="s">
        <v>374</v>
      </c>
      <c r="M110" t="s">
        <v>16</v>
      </c>
      <c r="N110" t="s">
        <v>2242</v>
      </c>
    </row>
    <row r="111" spans="1:14" hidden="1" x14ac:dyDescent="0.35">
      <c r="A111" t="s">
        <v>1027</v>
      </c>
      <c r="B111" t="s">
        <v>66</v>
      </c>
      <c r="C111">
        <v>3</v>
      </c>
      <c r="D111">
        <v>2</v>
      </c>
      <c r="E111" s="1">
        <v>157</v>
      </c>
      <c r="F111" s="3">
        <v>530000</v>
      </c>
      <c r="G111" s="2">
        <f t="shared" si="2"/>
        <v>3375.7961783439491</v>
      </c>
      <c r="H111" s="2">
        <f t="shared" si="3"/>
        <v>530000</v>
      </c>
      <c r="I111" t="s">
        <v>1028</v>
      </c>
      <c r="J111" t="s">
        <v>154</v>
      </c>
      <c r="K111" t="s">
        <v>2218</v>
      </c>
      <c r="L111" t="s">
        <v>155</v>
      </c>
      <c r="M111" t="s">
        <v>16</v>
      </c>
      <c r="N111" t="s">
        <v>624</v>
      </c>
    </row>
    <row r="112" spans="1:14" hidden="1" x14ac:dyDescent="0.35">
      <c r="A112" t="s">
        <v>1176</v>
      </c>
      <c r="B112" t="s">
        <v>66</v>
      </c>
      <c r="C112">
        <v>4</v>
      </c>
      <c r="D112">
        <v>3</v>
      </c>
      <c r="E112" s="1">
        <v>147</v>
      </c>
      <c r="F112" s="3">
        <v>530000</v>
      </c>
      <c r="G112" s="2">
        <f t="shared" si="2"/>
        <v>3605.4421768707484</v>
      </c>
      <c r="H112" s="2">
        <f t="shared" si="3"/>
        <v>530000</v>
      </c>
      <c r="I112" t="s">
        <v>1177</v>
      </c>
      <c r="J112" t="s">
        <v>373</v>
      </c>
      <c r="K112" t="s">
        <v>2218</v>
      </c>
      <c r="L112" t="s">
        <v>374</v>
      </c>
      <c r="M112" t="s">
        <v>16</v>
      </c>
      <c r="N112" t="s">
        <v>624</v>
      </c>
    </row>
    <row r="113" spans="1:14" hidden="1" x14ac:dyDescent="0.35">
      <c r="A113" t="s">
        <v>1658</v>
      </c>
      <c r="B113" t="s">
        <v>66</v>
      </c>
      <c r="C113">
        <v>3</v>
      </c>
      <c r="D113">
        <v>3</v>
      </c>
      <c r="E113" s="1">
        <v>135</v>
      </c>
      <c r="F113" s="3">
        <v>530000</v>
      </c>
      <c r="G113" s="2">
        <f t="shared" si="2"/>
        <v>3925.9259259259261</v>
      </c>
      <c r="H113" s="2">
        <f t="shared" si="3"/>
        <v>530000</v>
      </c>
      <c r="I113" t="s">
        <v>1659</v>
      </c>
      <c r="J113" t="s">
        <v>373</v>
      </c>
      <c r="K113" t="s">
        <v>2218</v>
      </c>
      <c r="L113" t="s">
        <v>374</v>
      </c>
      <c r="M113" t="s">
        <v>16</v>
      </c>
      <c r="N113" t="s">
        <v>2242</v>
      </c>
    </row>
    <row r="114" spans="1:14" hidden="1" x14ac:dyDescent="0.35">
      <c r="A114" t="s">
        <v>1699</v>
      </c>
      <c r="B114" t="s">
        <v>66</v>
      </c>
      <c r="C114">
        <v>4</v>
      </c>
      <c r="D114">
        <v>3</v>
      </c>
      <c r="E114" s="1">
        <v>147</v>
      </c>
      <c r="F114" s="3">
        <v>530000</v>
      </c>
      <c r="G114" s="2">
        <f t="shared" si="2"/>
        <v>3605.4421768707484</v>
      </c>
      <c r="H114" s="2">
        <f t="shared" si="3"/>
        <v>530000</v>
      </c>
      <c r="I114" t="s">
        <v>1700</v>
      </c>
      <c r="J114" t="s">
        <v>373</v>
      </c>
      <c r="K114" t="s">
        <v>2218</v>
      </c>
      <c r="L114" t="s">
        <v>374</v>
      </c>
      <c r="M114" t="s">
        <v>16</v>
      </c>
      <c r="N114" t="s">
        <v>2242</v>
      </c>
    </row>
    <row r="115" spans="1:14" hidden="1" x14ac:dyDescent="0.35">
      <c r="A115" t="s">
        <v>1961</v>
      </c>
      <c r="B115" t="s">
        <v>66</v>
      </c>
      <c r="C115">
        <v>4</v>
      </c>
      <c r="D115">
        <v>3</v>
      </c>
      <c r="E115" s="1">
        <v>168</v>
      </c>
      <c r="F115" s="3">
        <v>530000</v>
      </c>
      <c r="G115" s="2">
        <f t="shared" si="2"/>
        <v>3154.7619047619046</v>
      </c>
      <c r="H115" s="2">
        <f t="shared" si="3"/>
        <v>530000</v>
      </c>
      <c r="I115" t="s">
        <v>599</v>
      </c>
      <c r="J115" t="s">
        <v>195</v>
      </c>
      <c r="K115" t="s">
        <v>2218</v>
      </c>
      <c r="L115" t="s">
        <v>196</v>
      </c>
      <c r="M115" t="s">
        <v>16</v>
      </c>
      <c r="N115" t="s">
        <v>948</v>
      </c>
    </row>
    <row r="116" spans="1:14" hidden="1" x14ac:dyDescent="0.35">
      <c r="A116" t="s">
        <v>1195</v>
      </c>
      <c r="B116" t="s">
        <v>12</v>
      </c>
      <c r="C116">
        <v>5</v>
      </c>
      <c r="D116">
        <v>3</v>
      </c>
      <c r="E116" s="1">
        <v>180</v>
      </c>
      <c r="F116" s="3">
        <v>539000</v>
      </c>
      <c r="G116" s="2">
        <f t="shared" si="2"/>
        <v>2994.4444444444443</v>
      </c>
      <c r="H116" s="2">
        <f t="shared" si="3"/>
        <v>539000</v>
      </c>
      <c r="I116" t="s">
        <v>317</v>
      </c>
      <c r="J116" t="s">
        <v>14</v>
      </c>
      <c r="K116" t="s">
        <v>2215</v>
      </c>
      <c r="L116" t="s">
        <v>15</v>
      </c>
      <c r="M116" t="s">
        <v>16</v>
      </c>
      <c r="N116" t="s">
        <v>512</v>
      </c>
    </row>
    <row r="117" spans="1:14" hidden="1" x14ac:dyDescent="0.35">
      <c r="A117" t="s">
        <v>271</v>
      </c>
      <c r="B117" t="s">
        <v>12</v>
      </c>
      <c r="C117">
        <v>3</v>
      </c>
      <c r="D117">
        <v>3</v>
      </c>
      <c r="E117" s="1">
        <v>193</v>
      </c>
      <c r="F117" s="3">
        <v>540000</v>
      </c>
      <c r="G117" s="2">
        <f t="shared" si="2"/>
        <v>2797.9274611398964</v>
      </c>
      <c r="H117" s="2">
        <f t="shared" si="3"/>
        <v>540000</v>
      </c>
      <c r="I117" t="s">
        <v>136</v>
      </c>
      <c r="J117" t="s">
        <v>14</v>
      </c>
      <c r="K117" t="s">
        <v>2215</v>
      </c>
      <c r="L117" t="s">
        <v>15</v>
      </c>
      <c r="M117" t="s">
        <v>16</v>
      </c>
      <c r="N117" t="s">
        <v>2242</v>
      </c>
    </row>
    <row r="118" spans="1:14" x14ac:dyDescent="0.35">
      <c r="A118" t="s">
        <v>589</v>
      </c>
      <c r="B118" t="s">
        <v>18</v>
      </c>
      <c r="C118">
        <v>7</v>
      </c>
      <c r="D118">
        <v>5</v>
      </c>
      <c r="E118" s="1">
        <v>131</v>
      </c>
      <c r="F118" s="3">
        <v>540000</v>
      </c>
      <c r="G118" s="2">
        <f t="shared" si="2"/>
        <v>4122.1374045801531</v>
      </c>
      <c r="H118" s="2">
        <f t="shared" si="3"/>
        <v>540000</v>
      </c>
      <c r="I118" t="s">
        <v>590</v>
      </c>
      <c r="J118" t="s">
        <v>591</v>
      </c>
      <c r="K118" t="s">
        <v>2219</v>
      </c>
      <c r="L118" t="s">
        <v>592</v>
      </c>
      <c r="M118" t="s">
        <v>16</v>
      </c>
      <c r="N118" t="s">
        <v>2242</v>
      </c>
    </row>
    <row r="119" spans="1:14" hidden="1" x14ac:dyDescent="0.35">
      <c r="A119" t="s">
        <v>633</v>
      </c>
      <c r="B119" t="s">
        <v>66</v>
      </c>
      <c r="C119">
        <v>3</v>
      </c>
      <c r="D119">
        <v>3</v>
      </c>
      <c r="E119" s="1">
        <v>163</v>
      </c>
      <c r="F119" s="3">
        <v>540000</v>
      </c>
      <c r="G119" s="2">
        <f t="shared" si="2"/>
        <v>3312.8834355828221</v>
      </c>
      <c r="H119" s="2">
        <f t="shared" si="3"/>
        <v>540000</v>
      </c>
      <c r="I119" t="s">
        <v>634</v>
      </c>
      <c r="J119" t="s">
        <v>218</v>
      </c>
      <c r="K119" t="s">
        <v>2215</v>
      </c>
      <c r="L119" t="s">
        <v>219</v>
      </c>
      <c r="M119" t="s">
        <v>16</v>
      </c>
      <c r="N119" t="s">
        <v>2242</v>
      </c>
    </row>
    <row r="120" spans="1:14" hidden="1" x14ac:dyDescent="0.35">
      <c r="A120" t="s">
        <v>729</v>
      </c>
      <c r="B120" t="s">
        <v>12</v>
      </c>
      <c r="C120">
        <v>4</v>
      </c>
      <c r="D120">
        <v>3</v>
      </c>
      <c r="E120" s="1">
        <v>179</v>
      </c>
      <c r="F120" s="3">
        <v>540000</v>
      </c>
      <c r="G120" s="2">
        <f t="shared" si="2"/>
        <v>3016.759776536313</v>
      </c>
      <c r="H120" s="2">
        <f t="shared" si="3"/>
        <v>540000</v>
      </c>
      <c r="I120" t="s">
        <v>317</v>
      </c>
      <c r="J120" t="s">
        <v>14</v>
      </c>
      <c r="K120" t="s">
        <v>2215</v>
      </c>
      <c r="L120" t="s">
        <v>15</v>
      </c>
      <c r="M120" t="s">
        <v>16</v>
      </c>
      <c r="N120" t="s">
        <v>730</v>
      </c>
    </row>
    <row r="121" spans="1:14" hidden="1" x14ac:dyDescent="0.35">
      <c r="A121" t="s">
        <v>737</v>
      </c>
      <c r="B121" t="s">
        <v>66</v>
      </c>
      <c r="C121">
        <v>3</v>
      </c>
      <c r="D121">
        <v>3</v>
      </c>
      <c r="E121" s="1">
        <v>163</v>
      </c>
      <c r="F121" s="3">
        <v>540000</v>
      </c>
      <c r="G121" s="2">
        <f t="shared" si="2"/>
        <v>3312.8834355828221</v>
      </c>
      <c r="H121" s="2">
        <f t="shared" si="3"/>
        <v>540000</v>
      </c>
      <c r="I121" t="s">
        <v>634</v>
      </c>
      <c r="J121" t="s">
        <v>218</v>
      </c>
      <c r="K121" t="s">
        <v>2215</v>
      </c>
      <c r="L121" t="s">
        <v>219</v>
      </c>
      <c r="M121" t="s">
        <v>16</v>
      </c>
      <c r="N121" t="s">
        <v>2242</v>
      </c>
    </row>
    <row r="122" spans="1:14" hidden="1" x14ac:dyDescent="0.35">
      <c r="A122" t="s">
        <v>875</v>
      </c>
      <c r="B122" t="s">
        <v>66</v>
      </c>
      <c r="C122">
        <v>3</v>
      </c>
      <c r="D122">
        <v>3</v>
      </c>
      <c r="E122" s="1">
        <v>163</v>
      </c>
      <c r="F122" s="3">
        <v>540000</v>
      </c>
      <c r="G122" s="2">
        <f t="shared" si="2"/>
        <v>3312.8834355828221</v>
      </c>
      <c r="H122" s="2">
        <f t="shared" si="3"/>
        <v>540000</v>
      </c>
      <c r="I122" t="s">
        <v>634</v>
      </c>
      <c r="J122" t="s">
        <v>218</v>
      </c>
      <c r="K122" t="s">
        <v>2215</v>
      </c>
      <c r="L122" t="s">
        <v>219</v>
      </c>
      <c r="M122" t="s">
        <v>16</v>
      </c>
      <c r="N122" t="s">
        <v>50</v>
      </c>
    </row>
    <row r="123" spans="1:14" hidden="1" x14ac:dyDescent="0.35">
      <c r="A123" t="s">
        <v>2175</v>
      </c>
      <c r="B123" t="s">
        <v>12</v>
      </c>
      <c r="C123">
        <v>4</v>
      </c>
      <c r="D123">
        <v>4</v>
      </c>
      <c r="E123" s="1">
        <v>175</v>
      </c>
      <c r="F123" s="3">
        <v>540000</v>
      </c>
      <c r="G123" s="2">
        <f t="shared" si="2"/>
        <v>3085.7142857142858</v>
      </c>
      <c r="H123" s="2">
        <f t="shared" si="3"/>
        <v>540000</v>
      </c>
      <c r="I123" t="s">
        <v>317</v>
      </c>
      <c r="J123" t="s">
        <v>14</v>
      </c>
      <c r="K123" t="s">
        <v>2215</v>
      </c>
      <c r="L123" t="s">
        <v>15</v>
      </c>
      <c r="M123" t="s">
        <v>16</v>
      </c>
      <c r="N123" t="s">
        <v>730</v>
      </c>
    </row>
    <row r="124" spans="1:14" hidden="1" x14ac:dyDescent="0.35">
      <c r="A124" t="s">
        <v>193</v>
      </c>
      <c r="B124" t="s">
        <v>66</v>
      </c>
      <c r="C124">
        <v>3</v>
      </c>
      <c r="D124">
        <v>3</v>
      </c>
      <c r="E124" s="1">
        <v>128</v>
      </c>
      <c r="F124" s="3">
        <v>550000</v>
      </c>
      <c r="G124" s="2">
        <f t="shared" si="2"/>
        <v>4296.875</v>
      </c>
      <c r="H124" s="2">
        <f t="shared" si="3"/>
        <v>550000</v>
      </c>
      <c r="I124" t="s">
        <v>194</v>
      </c>
      <c r="J124" t="s">
        <v>195</v>
      </c>
      <c r="K124" t="s">
        <v>2218</v>
      </c>
      <c r="L124" t="s">
        <v>196</v>
      </c>
      <c r="M124" t="s">
        <v>16</v>
      </c>
      <c r="N124" t="s">
        <v>2242</v>
      </c>
    </row>
    <row r="125" spans="1:14" hidden="1" x14ac:dyDescent="0.35">
      <c r="A125" t="s">
        <v>277</v>
      </c>
      <c r="B125" t="s">
        <v>66</v>
      </c>
      <c r="C125">
        <v>5</v>
      </c>
      <c r="D125">
        <v>3</v>
      </c>
      <c r="E125" s="1">
        <v>128</v>
      </c>
      <c r="F125" s="3">
        <v>550000</v>
      </c>
      <c r="G125" s="2">
        <f t="shared" si="2"/>
        <v>4296.875</v>
      </c>
      <c r="H125" s="2">
        <f t="shared" si="3"/>
        <v>550000</v>
      </c>
      <c r="I125" t="s">
        <v>278</v>
      </c>
      <c r="J125" t="s">
        <v>195</v>
      </c>
      <c r="K125" t="s">
        <v>2218</v>
      </c>
      <c r="L125" t="s">
        <v>196</v>
      </c>
      <c r="M125" t="s">
        <v>16</v>
      </c>
      <c r="N125" t="s">
        <v>50</v>
      </c>
    </row>
    <row r="126" spans="1:14" hidden="1" x14ac:dyDescent="0.35">
      <c r="A126" t="s">
        <v>365</v>
      </c>
      <c r="B126" t="s">
        <v>66</v>
      </c>
      <c r="C126">
        <v>4</v>
      </c>
      <c r="D126">
        <v>3</v>
      </c>
      <c r="E126" s="1">
        <v>900</v>
      </c>
      <c r="F126" s="3">
        <v>550000</v>
      </c>
      <c r="G126" s="2">
        <f t="shared" si="2"/>
        <v>611.11111111111109</v>
      </c>
      <c r="H126" s="2">
        <f t="shared" si="3"/>
        <v>550000</v>
      </c>
      <c r="I126" t="s">
        <v>138</v>
      </c>
      <c r="J126" t="s">
        <v>14</v>
      </c>
      <c r="K126" t="s">
        <v>2215</v>
      </c>
      <c r="L126" t="s">
        <v>15</v>
      </c>
      <c r="M126" t="s">
        <v>16</v>
      </c>
      <c r="N126" t="s">
        <v>2242</v>
      </c>
    </row>
    <row r="127" spans="1:14" hidden="1" x14ac:dyDescent="0.35">
      <c r="A127" t="s">
        <v>370</v>
      </c>
      <c r="B127" t="s">
        <v>66</v>
      </c>
      <c r="C127">
        <v>3</v>
      </c>
      <c r="D127">
        <v>3</v>
      </c>
      <c r="E127" s="1">
        <v>138</v>
      </c>
      <c r="F127" s="3">
        <v>550000</v>
      </c>
      <c r="G127" s="2">
        <f t="shared" si="2"/>
        <v>3985.5072463768115</v>
      </c>
      <c r="H127" s="2">
        <f t="shared" si="3"/>
        <v>550000</v>
      </c>
      <c r="I127" t="s">
        <v>261</v>
      </c>
      <c r="J127" t="s">
        <v>186</v>
      </c>
      <c r="K127" t="s">
        <v>2218</v>
      </c>
      <c r="L127" t="s">
        <v>187</v>
      </c>
      <c r="M127" t="s">
        <v>16</v>
      </c>
      <c r="N127" t="s">
        <v>50</v>
      </c>
    </row>
    <row r="128" spans="1:14" hidden="1" x14ac:dyDescent="0.35">
      <c r="A128" t="s">
        <v>458</v>
      </c>
      <c r="B128" t="s">
        <v>66</v>
      </c>
      <c r="C128">
        <v>5</v>
      </c>
      <c r="D128">
        <v>3</v>
      </c>
      <c r="E128" s="1">
        <v>124</v>
      </c>
      <c r="F128" s="3">
        <v>550000</v>
      </c>
      <c r="G128" s="2">
        <f t="shared" si="2"/>
        <v>4435.4838709677415</v>
      </c>
      <c r="H128" s="2">
        <f t="shared" si="3"/>
        <v>550000</v>
      </c>
      <c r="I128" t="s">
        <v>459</v>
      </c>
      <c r="J128" t="s">
        <v>373</v>
      </c>
      <c r="K128" t="s">
        <v>2218</v>
      </c>
      <c r="L128" t="s">
        <v>374</v>
      </c>
      <c r="M128" t="s">
        <v>16</v>
      </c>
      <c r="N128" t="s">
        <v>288</v>
      </c>
    </row>
    <row r="129" spans="1:14" hidden="1" x14ac:dyDescent="0.35">
      <c r="A129" t="s">
        <v>507</v>
      </c>
      <c r="B129" t="s">
        <v>12</v>
      </c>
      <c r="C129">
        <v>3</v>
      </c>
      <c r="D129">
        <v>3</v>
      </c>
      <c r="E129" s="1">
        <v>145</v>
      </c>
      <c r="F129" s="3">
        <v>550000</v>
      </c>
      <c r="G129" s="2">
        <f t="shared" si="2"/>
        <v>3793.1034482758619</v>
      </c>
      <c r="H129" s="2">
        <f t="shared" si="3"/>
        <v>550000</v>
      </c>
      <c r="I129" t="s">
        <v>508</v>
      </c>
      <c r="J129" t="s">
        <v>141</v>
      </c>
      <c r="K129" t="s">
        <v>2215</v>
      </c>
      <c r="L129" t="s">
        <v>142</v>
      </c>
      <c r="M129" t="s">
        <v>16</v>
      </c>
      <c r="N129" t="s">
        <v>509</v>
      </c>
    </row>
    <row r="130" spans="1:14" hidden="1" x14ac:dyDescent="0.35">
      <c r="A130" t="s">
        <v>598</v>
      </c>
      <c r="B130" t="s">
        <v>66</v>
      </c>
      <c r="C130">
        <v>4</v>
      </c>
      <c r="D130">
        <v>3</v>
      </c>
      <c r="E130" s="1">
        <v>250</v>
      </c>
      <c r="F130" s="3">
        <v>550000</v>
      </c>
      <c r="G130" s="2">
        <f t="shared" si="2"/>
        <v>2200</v>
      </c>
      <c r="H130" s="2">
        <f t="shared" si="3"/>
        <v>550000</v>
      </c>
      <c r="I130" t="s">
        <v>599</v>
      </c>
      <c r="J130" t="s">
        <v>195</v>
      </c>
      <c r="K130" t="s">
        <v>2218</v>
      </c>
      <c r="L130" t="s">
        <v>196</v>
      </c>
      <c r="M130" t="s">
        <v>16</v>
      </c>
      <c r="N130" t="s">
        <v>50</v>
      </c>
    </row>
    <row r="131" spans="1:14" hidden="1" x14ac:dyDescent="0.35">
      <c r="A131" t="s">
        <v>672</v>
      </c>
      <c r="B131" t="s">
        <v>66</v>
      </c>
      <c r="C131">
        <v>3</v>
      </c>
      <c r="D131">
        <v>3</v>
      </c>
      <c r="E131" s="1">
        <v>128</v>
      </c>
      <c r="F131" s="3">
        <v>550000</v>
      </c>
      <c r="G131" s="2">
        <f t="shared" si="2"/>
        <v>4296.875</v>
      </c>
      <c r="H131" s="2">
        <f t="shared" si="3"/>
        <v>550000</v>
      </c>
      <c r="I131" t="s">
        <v>599</v>
      </c>
      <c r="J131" t="s">
        <v>195</v>
      </c>
      <c r="K131" t="s">
        <v>2218</v>
      </c>
      <c r="L131" t="s">
        <v>196</v>
      </c>
      <c r="M131" t="s">
        <v>16</v>
      </c>
      <c r="N131" t="s">
        <v>50</v>
      </c>
    </row>
    <row r="132" spans="1:14" hidden="1" x14ac:dyDescent="0.35">
      <c r="A132" t="s">
        <v>722</v>
      </c>
      <c r="B132" t="s">
        <v>66</v>
      </c>
      <c r="C132">
        <v>4</v>
      </c>
      <c r="D132">
        <v>3</v>
      </c>
      <c r="E132" s="1">
        <v>147</v>
      </c>
      <c r="F132" s="3">
        <v>550000</v>
      </c>
      <c r="G132" s="2">
        <f t="shared" si="2"/>
        <v>3741.4965986394559</v>
      </c>
      <c r="H132" s="2">
        <f t="shared" si="3"/>
        <v>550000</v>
      </c>
      <c r="I132" t="s">
        <v>723</v>
      </c>
      <c r="J132" t="s">
        <v>154</v>
      </c>
      <c r="K132" t="s">
        <v>2218</v>
      </c>
      <c r="L132" t="s">
        <v>155</v>
      </c>
      <c r="M132" t="s">
        <v>16</v>
      </c>
      <c r="N132" t="s">
        <v>464</v>
      </c>
    </row>
    <row r="133" spans="1:14" hidden="1" x14ac:dyDescent="0.35">
      <c r="A133" t="s">
        <v>817</v>
      </c>
      <c r="B133" t="s">
        <v>12</v>
      </c>
      <c r="C133">
        <v>3</v>
      </c>
      <c r="D133">
        <v>3</v>
      </c>
      <c r="E133" s="1">
        <v>145</v>
      </c>
      <c r="F133" s="3">
        <v>550000</v>
      </c>
      <c r="G133" s="2">
        <f t="shared" ref="G133:G196" si="4">IF(F133&lt;50000,F133,F133/E133)</f>
        <v>3793.1034482758619</v>
      </c>
      <c r="H133" s="2">
        <f t="shared" ref="H133:H196" si="5">IF(F133&lt;50000,E133*F133,F133)</f>
        <v>550000</v>
      </c>
      <c r="I133" t="s">
        <v>818</v>
      </c>
      <c r="J133" t="s">
        <v>141</v>
      </c>
      <c r="K133" t="s">
        <v>2215</v>
      </c>
      <c r="L133" t="s">
        <v>142</v>
      </c>
      <c r="M133" t="s">
        <v>16</v>
      </c>
      <c r="N133" t="s">
        <v>509</v>
      </c>
    </row>
    <row r="134" spans="1:14" hidden="1" x14ac:dyDescent="0.35">
      <c r="A134" t="s">
        <v>1186</v>
      </c>
      <c r="B134" t="s">
        <v>66</v>
      </c>
      <c r="C134">
        <v>3</v>
      </c>
      <c r="D134">
        <v>1</v>
      </c>
      <c r="E134" s="1">
        <v>128</v>
      </c>
      <c r="F134" s="3">
        <v>550000</v>
      </c>
      <c r="G134" s="2">
        <f t="shared" si="4"/>
        <v>4296.875</v>
      </c>
      <c r="H134" s="2">
        <f t="shared" si="5"/>
        <v>550000</v>
      </c>
      <c r="I134" t="s">
        <v>1187</v>
      </c>
      <c r="J134" t="s">
        <v>195</v>
      </c>
      <c r="K134" t="s">
        <v>2218</v>
      </c>
      <c r="L134" t="s">
        <v>196</v>
      </c>
      <c r="M134" t="s">
        <v>16</v>
      </c>
      <c r="N134" t="s">
        <v>2242</v>
      </c>
    </row>
    <row r="135" spans="1:14" hidden="1" x14ac:dyDescent="0.35">
      <c r="A135" t="s">
        <v>1474</v>
      </c>
      <c r="B135" t="s">
        <v>66</v>
      </c>
      <c r="C135">
        <v>3</v>
      </c>
      <c r="D135">
        <v>2</v>
      </c>
      <c r="E135" s="1">
        <v>128</v>
      </c>
      <c r="F135" s="3">
        <v>550000</v>
      </c>
      <c r="G135" s="2">
        <f t="shared" si="4"/>
        <v>4296.875</v>
      </c>
      <c r="H135" s="2">
        <f t="shared" si="5"/>
        <v>550000</v>
      </c>
      <c r="I135" t="s">
        <v>599</v>
      </c>
      <c r="J135" t="s">
        <v>195</v>
      </c>
      <c r="K135" t="s">
        <v>2218</v>
      </c>
      <c r="L135" t="s">
        <v>196</v>
      </c>
      <c r="M135" t="s">
        <v>16</v>
      </c>
      <c r="N135" t="s">
        <v>50</v>
      </c>
    </row>
    <row r="136" spans="1:14" hidden="1" x14ac:dyDescent="0.35">
      <c r="A136" t="s">
        <v>1630</v>
      </c>
      <c r="B136" t="s">
        <v>66</v>
      </c>
      <c r="C136">
        <v>3</v>
      </c>
      <c r="D136">
        <v>3</v>
      </c>
      <c r="E136" s="1">
        <v>128</v>
      </c>
      <c r="F136" s="3">
        <v>550000</v>
      </c>
      <c r="G136" s="2">
        <f t="shared" si="4"/>
        <v>4296.875</v>
      </c>
      <c r="H136" s="2">
        <f t="shared" si="5"/>
        <v>550000</v>
      </c>
      <c r="I136" t="s">
        <v>599</v>
      </c>
      <c r="J136" t="s">
        <v>195</v>
      </c>
      <c r="K136" t="s">
        <v>2218</v>
      </c>
      <c r="L136" t="s">
        <v>196</v>
      </c>
      <c r="M136" t="s">
        <v>16</v>
      </c>
      <c r="N136" t="s">
        <v>50</v>
      </c>
    </row>
    <row r="137" spans="1:14" hidden="1" x14ac:dyDescent="0.35">
      <c r="A137" t="s">
        <v>672</v>
      </c>
      <c r="B137" t="s">
        <v>66</v>
      </c>
      <c r="C137">
        <v>3</v>
      </c>
      <c r="D137">
        <v>3</v>
      </c>
      <c r="E137" s="1">
        <v>128</v>
      </c>
      <c r="F137" s="3">
        <v>550000</v>
      </c>
      <c r="G137" s="2">
        <f t="shared" si="4"/>
        <v>4296.875</v>
      </c>
      <c r="H137" s="2">
        <f t="shared" si="5"/>
        <v>550000</v>
      </c>
      <c r="I137" t="s">
        <v>599</v>
      </c>
      <c r="J137" t="s">
        <v>195</v>
      </c>
      <c r="K137" t="s">
        <v>2218</v>
      </c>
      <c r="L137" t="s">
        <v>196</v>
      </c>
      <c r="M137" t="s">
        <v>16</v>
      </c>
      <c r="N137" t="s">
        <v>50</v>
      </c>
    </row>
    <row r="138" spans="1:14" hidden="1" x14ac:dyDescent="0.35">
      <c r="A138" t="s">
        <v>1474</v>
      </c>
      <c r="B138" t="s">
        <v>66</v>
      </c>
      <c r="C138">
        <v>3</v>
      </c>
      <c r="D138">
        <v>2</v>
      </c>
      <c r="E138" s="1">
        <v>128</v>
      </c>
      <c r="F138" s="3">
        <v>550000</v>
      </c>
      <c r="G138" s="2">
        <f t="shared" si="4"/>
        <v>4296.875</v>
      </c>
      <c r="H138" s="2">
        <f t="shared" si="5"/>
        <v>550000</v>
      </c>
      <c r="I138" t="s">
        <v>599</v>
      </c>
      <c r="J138" t="s">
        <v>195</v>
      </c>
      <c r="K138" t="s">
        <v>2218</v>
      </c>
      <c r="L138" t="s">
        <v>196</v>
      </c>
      <c r="M138" t="s">
        <v>16</v>
      </c>
      <c r="N138" t="s">
        <v>50</v>
      </c>
    </row>
    <row r="139" spans="1:14" hidden="1" x14ac:dyDescent="0.35">
      <c r="A139" t="s">
        <v>1805</v>
      </c>
      <c r="B139" t="s">
        <v>189</v>
      </c>
      <c r="C139">
        <v>3</v>
      </c>
      <c r="D139">
        <v>4</v>
      </c>
      <c r="E139" s="1">
        <v>500</v>
      </c>
      <c r="F139" s="3">
        <v>550000</v>
      </c>
      <c r="G139" s="2">
        <f t="shared" si="4"/>
        <v>1100</v>
      </c>
      <c r="H139" s="2">
        <f t="shared" si="5"/>
        <v>550000</v>
      </c>
      <c r="I139" t="s">
        <v>1806</v>
      </c>
      <c r="J139" t="s">
        <v>195</v>
      </c>
      <c r="K139" t="s">
        <v>2218</v>
      </c>
      <c r="L139" t="s">
        <v>196</v>
      </c>
      <c r="M139" t="s">
        <v>16</v>
      </c>
      <c r="N139" t="s">
        <v>1807</v>
      </c>
    </row>
    <row r="140" spans="1:14" hidden="1" x14ac:dyDescent="0.35">
      <c r="A140" t="s">
        <v>2024</v>
      </c>
      <c r="B140" t="s">
        <v>66</v>
      </c>
      <c r="C140">
        <v>3</v>
      </c>
      <c r="D140">
        <v>3</v>
      </c>
      <c r="E140" s="1">
        <v>128</v>
      </c>
      <c r="F140" s="3">
        <v>550000</v>
      </c>
      <c r="G140" s="2">
        <f t="shared" si="4"/>
        <v>4296.875</v>
      </c>
      <c r="H140" s="2">
        <f t="shared" si="5"/>
        <v>550000</v>
      </c>
      <c r="I140" t="s">
        <v>599</v>
      </c>
      <c r="J140" t="s">
        <v>195</v>
      </c>
      <c r="K140" t="s">
        <v>2218</v>
      </c>
      <c r="L140" t="s">
        <v>196</v>
      </c>
      <c r="M140" t="s">
        <v>16</v>
      </c>
      <c r="N140" t="s">
        <v>50</v>
      </c>
    </row>
    <row r="141" spans="1:14" hidden="1" x14ac:dyDescent="0.35">
      <c r="A141" t="s">
        <v>2161</v>
      </c>
      <c r="B141" t="s">
        <v>66</v>
      </c>
      <c r="C141">
        <v>3</v>
      </c>
      <c r="D141">
        <v>3</v>
      </c>
      <c r="E141" s="1">
        <v>128</v>
      </c>
      <c r="F141" s="3">
        <v>550000</v>
      </c>
      <c r="G141" s="2">
        <f t="shared" si="4"/>
        <v>4296.875</v>
      </c>
      <c r="H141" s="2">
        <f t="shared" si="5"/>
        <v>550000</v>
      </c>
      <c r="I141" t="s">
        <v>599</v>
      </c>
      <c r="J141" t="s">
        <v>195</v>
      </c>
      <c r="K141" t="s">
        <v>2218</v>
      </c>
      <c r="L141" t="s">
        <v>196</v>
      </c>
      <c r="M141" t="s">
        <v>16</v>
      </c>
      <c r="N141" t="s">
        <v>50</v>
      </c>
    </row>
    <row r="142" spans="1:14" hidden="1" x14ac:dyDescent="0.35">
      <c r="A142" t="s">
        <v>2189</v>
      </c>
      <c r="B142" t="s">
        <v>66</v>
      </c>
      <c r="C142">
        <v>3</v>
      </c>
      <c r="D142">
        <v>3</v>
      </c>
      <c r="E142" s="1">
        <v>128</v>
      </c>
      <c r="F142" s="3">
        <v>550000</v>
      </c>
      <c r="G142" s="2">
        <f t="shared" si="4"/>
        <v>4296.875</v>
      </c>
      <c r="H142" s="2">
        <f t="shared" si="5"/>
        <v>550000</v>
      </c>
      <c r="I142" t="s">
        <v>599</v>
      </c>
      <c r="J142" t="s">
        <v>195</v>
      </c>
      <c r="K142" t="s">
        <v>2218</v>
      </c>
      <c r="L142" t="s">
        <v>196</v>
      </c>
      <c r="M142" t="s">
        <v>16</v>
      </c>
      <c r="N142" t="s">
        <v>50</v>
      </c>
    </row>
    <row r="143" spans="1:14" hidden="1" x14ac:dyDescent="0.35">
      <c r="A143" t="s">
        <v>377</v>
      </c>
      <c r="B143" t="s">
        <v>66</v>
      </c>
      <c r="C143">
        <v>3</v>
      </c>
      <c r="D143">
        <v>3</v>
      </c>
      <c r="E143" s="1">
        <v>158</v>
      </c>
      <c r="F143" s="3">
        <v>560000</v>
      </c>
      <c r="G143" s="2">
        <f t="shared" si="4"/>
        <v>3544.3037974683543</v>
      </c>
      <c r="H143" s="2">
        <f t="shared" si="5"/>
        <v>560000</v>
      </c>
      <c r="I143" t="s">
        <v>378</v>
      </c>
      <c r="J143" t="s">
        <v>195</v>
      </c>
      <c r="K143" t="s">
        <v>2218</v>
      </c>
      <c r="L143" t="s">
        <v>196</v>
      </c>
      <c r="M143" t="s">
        <v>16</v>
      </c>
      <c r="N143" t="s">
        <v>2242</v>
      </c>
    </row>
    <row r="144" spans="1:14" hidden="1" x14ac:dyDescent="0.35">
      <c r="A144" t="s">
        <v>1355</v>
      </c>
      <c r="B144" t="s">
        <v>12</v>
      </c>
      <c r="C144">
        <v>3</v>
      </c>
      <c r="D144">
        <v>2</v>
      </c>
      <c r="E144" s="1">
        <v>193</v>
      </c>
      <c r="F144" s="3">
        <v>560000</v>
      </c>
      <c r="G144" s="2">
        <f t="shared" si="4"/>
        <v>2901.5544041450776</v>
      </c>
      <c r="H144" s="2">
        <f t="shared" si="5"/>
        <v>560000</v>
      </c>
      <c r="I144" t="s">
        <v>321</v>
      </c>
      <c r="J144" t="s">
        <v>14</v>
      </c>
      <c r="K144" t="s">
        <v>2215</v>
      </c>
      <c r="L144" t="s">
        <v>15</v>
      </c>
      <c r="M144" t="s">
        <v>16</v>
      </c>
      <c r="N144" t="s">
        <v>2242</v>
      </c>
    </row>
    <row r="145" spans="1:14" x14ac:dyDescent="0.35">
      <c r="A145" t="s">
        <v>841</v>
      </c>
      <c r="B145" t="s">
        <v>18</v>
      </c>
      <c r="C145">
        <v>4</v>
      </c>
      <c r="D145">
        <v>4</v>
      </c>
      <c r="E145" s="1">
        <v>164</v>
      </c>
      <c r="F145" s="3">
        <v>570000</v>
      </c>
      <c r="G145" s="2">
        <f t="shared" si="4"/>
        <v>3475.6097560975609</v>
      </c>
      <c r="H145" s="2">
        <f t="shared" si="5"/>
        <v>570000</v>
      </c>
      <c r="I145" t="s">
        <v>842</v>
      </c>
      <c r="J145" t="s">
        <v>14</v>
      </c>
      <c r="K145" t="s">
        <v>2215</v>
      </c>
      <c r="L145" t="s">
        <v>15</v>
      </c>
      <c r="M145" t="s">
        <v>16</v>
      </c>
      <c r="N145" t="s">
        <v>624</v>
      </c>
    </row>
    <row r="146" spans="1:14" hidden="1" x14ac:dyDescent="0.35">
      <c r="A146" t="s">
        <v>1442</v>
      </c>
      <c r="B146" t="s">
        <v>12</v>
      </c>
      <c r="C146">
        <v>3</v>
      </c>
      <c r="D146">
        <v>3</v>
      </c>
      <c r="E146" s="1">
        <v>203</v>
      </c>
      <c r="F146" s="3">
        <v>570000</v>
      </c>
      <c r="G146" s="2">
        <f t="shared" si="4"/>
        <v>2807.8817733990149</v>
      </c>
      <c r="H146" s="2">
        <f t="shared" si="5"/>
        <v>570000</v>
      </c>
      <c r="I146" t="s">
        <v>1443</v>
      </c>
      <c r="J146" t="s">
        <v>141</v>
      </c>
      <c r="K146" t="s">
        <v>2215</v>
      </c>
      <c r="L146" t="s">
        <v>142</v>
      </c>
      <c r="M146" t="s">
        <v>16</v>
      </c>
      <c r="N146" t="s">
        <v>948</v>
      </c>
    </row>
    <row r="147" spans="1:14" hidden="1" x14ac:dyDescent="0.35">
      <c r="A147" t="s">
        <v>1644</v>
      </c>
      <c r="B147" t="s">
        <v>66</v>
      </c>
      <c r="C147">
        <v>5</v>
      </c>
      <c r="D147">
        <v>4</v>
      </c>
      <c r="E147" s="1">
        <v>151</v>
      </c>
      <c r="F147" s="3">
        <v>570000</v>
      </c>
      <c r="G147" s="2">
        <f t="shared" si="4"/>
        <v>3774.8344370860927</v>
      </c>
      <c r="H147" s="2">
        <f t="shared" si="5"/>
        <v>570000</v>
      </c>
      <c r="I147" t="s">
        <v>1645</v>
      </c>
      <c r="J147" t="s">
        <v>772</v>
      </c>
      <c r="K147" t="s">
        <v>2218</v>
      </c>
      <c r="L147" t="s">
        <v>773</v>
      </c>
      <c r="M147" t="s">
        <v>16</v>
      </c>
      <c r="N147" t="s">
        <v>1579</v>
      </c>
    </row>
    <row r="148" spans="1:14" hidden="1" x14ac:dyDescent="0.35">
      <c r="A148" t="s">
        <v>1945</v>
      </c>
      <c r="B148" t="s">
        <v>66</v>
      </c>
      <c r="C148">
        <v>5</v>
      </c>
      <c r="D148">
        <v>3</v>
      </c>
      <c r="E148" s="1">
        <v>177</v>
      </c>
      <c r="F148" s="3">
        <v>570000</v>
      </c>
      <c r="G148" s="2">
        <f t="shared" si="4"/>
        <v>3220.3389830508477</v>
      </c>
      <c r="H148" s="2">
        <f t="shared" si="5"/>
        <v>570000</v>
      </c>
      <c r="I148" t="s">
        <v>1946</v>
      </c>
      <c r="J148" t="s">
        <v>218</v>
      </c>
      <c r="K148" t="s">
        <v>2215</v>
      </c>
      <c r="L148" t="s">
        <v>219</v>
      </c>
      <c r="M148" t="s">
        <v>16</v>
      </c>
      <c r="N148" t="s">
        <v>2242</v>
      </c>
    </row>
    <row r="149" spans="1:14" hidden="1" x14ac:dyDescent="0.35">
      <c r="A149" t="s">
        <v>260</v>
      </c>
      <c r="B149" t="s">
        <v>66</v>
      </c>
      <c r="C149">
        <v>3</v>
      </c>
      <c r="D149">
        <v>3</v>
      </c>
      <c r="E149" s="1">
        <v>124</v>
      </c>
      <c r="F149" s="3">
        <v>580000</v>
      </c>
      <c r="G149" s="2">
        <f t="shared" si="4"/>
        <v>4677.4193548387093</v>
      </c>
      <c r="H149" s="2">
        <f t="shared" si="5"/>
        <v>580000</v>
      </c>
      <c r="I149" t="s">
        <v>261</v>
      </c>
      <c r="J149" t="s">
        <v>186</v>
      </c>
      <c r="K149" t="s">
        <v>2218</v>
      </c>
      <c r="L149" t="s">
        <v>187</v>
      </c>
      <c r="M149" t="s">
        <v>16</v>
      </c>
      <c r="N149" t="s">
        <v>2242</v>
      </c>
    </row>
    <row r="150" spans="1:14" hidden="1" x14ac:dyDescent="0.35">
      <c r="A150" t="s">
        <v>472</v>
      </c>
      <c r="B150" t="s">
        <v>66</v>
      </c>
      <c r="C150">
        <v>3</v>
      </c>
      <c r="D150">
        <v>3</v>
      </c>
      <c r="E150" s="1">
        <v>124</v>
      </c>
      <c r="F150" s="3">
        <v>580000</v>
      </c>
      <c r="G150" s="2">
        <f t="shared" si="4"/>
        <v>4677.4193548387093</v>
      </c>
      <c r="H150" s="2">
        <f t="shared" si="5"/>
        <v>580000</v>
      </c>
      <c r="I150" t="s">
        <v>261</v>
      </c>
      <c r="J150" t="s">
        <v>186</v>
      </c>
      <c r="K150" t="s">
        <v>2218</v>
      </c>
      <c r="L150" t="s">
        <v>187</v>
      </c>
      <c r="M150" t="s">
        <v>16</v>
      </c>
      <c r="N150" t="s">
        <v>2242</v>
      </c>
    </row>
    <row r="151" spans="1:14" hidden="1" x14ac:dyDescent="0.35">
      <c r="A151" t="s">
        <v>642</v>
      </c>
      <c r="B151" t="s">
        <v>66</v>
      </c>
      <c r="C151">
        <v>4</v>
      </c>
      <c r="D151">
        <v>4</v>
      </c>
      <c r="E151" s="1">
        <v>124</v>
      </c>
      <c r="F151" s="3">
        <v>580000</v>
      </c>
      <c r="G151" s="2">
        <f t="shared" si="4"/>
        <v>4677.4193548387093</v>
      </c>
      <c r="H151" s="2">
        <f t="shared" si="5"/>
        <v>580000</v>
      </c>
      <c r="I151" t="s">
        <v>261</v>
      </c>
      <c r="J151" t="s">
        <v>186</v>
      </c>
      <c r="K151" t="s">
        <v>2218</v>
      </c>
      <c r="L151" t="s">
        <v>187</v>
      </c>
      <c r="M151" t="s">
        <v>16</v>
      </c>
      <c r="N151" t="s">
        <v>50</v>
      </c>
    </row>
    <row r="152" spans="1:14" hidden="1" x14ac:dyDescent="0.35">
      <c r="A152" t="s">
        <v>796</v>
      </c>
      <c r="B152" t="s">
        <v>66</v>
      </c>
      <c r="C152">
        <v>3</v>
      </c>
      <c r="D152">
        <v>4</v>
      </c>
      <c r="E152" s="1">
        <v>124</v>
      </c>
      <c r="F152" s="3">
        <v>580000</v>
      </c>
      <c r="G152" s="2">
        <f t="shared" si="4"/>
        <v>4677.4193548387093</v>
      </c>
      <c r="H152" s="2">
        <f t="shared" si="5"/>
        <v>580000</v>
      </c>
      <c r="I152" t="s">
        <v>797</v>
      </c>
      <c r="J152" t="s">
        <v>186</v>
      </c>
      <c r="K152" t="s">
        <v>2218</v>
      </c>
      <c r="L152" t="s">
        <v>187</v>
      </c>
      <c r="M152" t="s">
        <v>16</v>
      </c>
      <c r="N152" t="s">
        <v>50</v>
      </c>
    </row>
    <row r="153" spans="1:14" hidden="1" x14ac:dyDescent="0.35">
      <c r="A153" t="s">
        <v>1096</v>
      </c>
      <c r="B153" t="s">
        <v>12</v>
      </c>
      <c r="C153">
        <v>5</v>
      </c>
      <c r="D153">
        <v>3</v>
      </c>
      <c r="E153" s="1">
        <v>600</v>
      </c>
      <c r="F153" s="3">
        <v>580000</v>
      </c>
      <c r="G153" s="2">
        <f t="shared" si="4"/>
        <v>966.66666666666663</v>
      </c>
      <c r="H153" s="2">
        <f t="shared" si="5"/>
        <v>580000</v>
      </c>
      <c r="I153" t="s">
        <v>1097</v>
      </c>
      <c r="J153" t="s">
        <v>14</v>
      </c>
      <c r="K153" t="s">
        <v>2215</v>
      </c>
      <c r="L153" t="s">
        <v>15</v>
      </c>
      <c r="M153" t="s">
        <v>16</v>
      </c>
      <c r="N153" t="s">
        <v>624</v>
      </c>
    </row>
    <row r="154" spans="1:14" hidden="1" x14ac:dyDescent="0.35">
      <c r="A154" t="s">
        <v>1101</v>
      </c>
      <c r="B154" t="s">
        <v>66</v>
      </c>
      <c r="C154">
        <v>3</v>
      </c>
      <c r="D154">
        <v>4</v>
      </c>
      <c r="E154" s="1">
        <v>124</v>
      </c>
      <c r="F154" s="3">
        <v>580000</v>
      </c>
      <c r="G154" s="2">
        <f t="shared" si="4"/>
        <v>4677.4193548387093</v>
      </c>
      <c r="H154" s="2">
        <f t="shared" si="5"/>
        <v>580000</v>
      </c>
      <c r="I154" t="s">
        <v>1102</v>
      </c>
      <c r="J154" t="s">
        <v>186</v>
      </c>
      <c r="K154" t="s">
        <v>2218</v>
      </c>
      <c r="L154" t="s">
        <v>187</v>
      </c>
      <c r="M154" t="s">
        <v>16</v>
      </c>
      <c r="N154" t="s">
        <v>2242</v>
      </c>
    </row>
    <row r="155" spans="1:14" hidden="1" x14ac:dyDescent="0.35">
      <c r="A155" t="s">
        <v>1125</v>
      </c>
      <c r="B155" t="s">
        <v>12</v>
      </c>
      <c r="C155">
        <v>5</v>
      </c>
      <c r="D155">
        <v>3</v>
      </c>
      <c r="E155" s="1">
        <v>600</v>
      </c>
      <c r="F155" s="3">
        <v>580000</v>
      </c>
      <c r="G155" s="2">
        <f t="shared" si="4"/>
        <v>966.66666666666663</v>
      </c>
      <c r="H155" s="2">
        <f t="shared" si="5"/>
        <v>580000</v>
      </c>
      <c r="I155" t="s">
        <v>1097</v>
      </c>
      <c r="J155" t="s">
        <v>14</v>
      </c>
      <c r="K155" t="s">
        <v>2215</v>
      </c>
      <c r="L155" t="s">
        <v>15</v>
      </c>
      <c r="M155" t="s">
        <v>16</v>
      </c>
      <c r="N155" t="s">
        <v>624</v>
      </c>
    </row>
    <row r="156" spans="1:14" hidden="1" x14ac:dyDescent="0.35">
      <c r="A156" t="s">
        <v>1230</v>
      </c>
      <c r="B156" t="s">
        <v>66</v>
      </c>
      <c r="C156">
        <v>3</v>
      </c>
      <c r="D156">
        <v>4</v>
      </c>
      <c r="E156" s="1">
        <v>124</v>
      </c>
      <c r="F156" s="3">
        <v>580000</v>
      </c>
      <c r="G156" s="2">
        <f t="shared" si="4"/>
        <v>4677.4193548387093</v>
      </c>
      <c r="H156" s="2">
        <f t="shared" si="5"/>
        <v>580000</v>
      </c>
      <c r="I156" t="s">
        <v>1231</v>
      </c>
      <c r="J156" t="s">
        <v>186</v>
      </c>
      <c r="K156" t="s">
        <v>2218</v>
      </c>
      <c r="L156" t="s">
        <v>187</v>
      </c>
      <c r="M156" t="s">
        <v>16</v>
      </c>
      <c r="N156" t="s">
        <v>50</v>
      </c>
    </row>
    <row r="157" spans="1:14" hidden="1" x14ac:dyDescent="0.35">
      <c r="A157" t="s">
        <v>1262</v>
      </c>
      <c r="B157" t="s">
        <v>66</v>
      </c>
      <c r="C157">
        <v>3</v>
      </c>
      <c r="D157">
        <v>3</v>
      </c>
      <c r="E157" s="1">
        <v>124</v>
      </c>
      <c r="F157" s="3">
        <v>580000</v>
      </c>
      <c r="G157" s="2">
        <f t="shared" si="4"/>
        <v>4677.4193548387093</v>
      </c>
      <c r="H157" s="2">
        <f t="shared" si="5"/>
        <v>580000</v>
      </c>
      <c r="I157" t="s">
        <v>1231</v>
      </c>
      <c r="J157" t="s">
        <v>186</v>
      </c>
      <c r="K157" t="s">
        <v>2218</v>
      </c>
      <c r="L157" t="s">
        <v>187</v>
      </c>
      <c r="M157" t="s">
        <v>16</v>
      </c>
      <c r="N157" t="s">
        <v>2242</v>
      </c>
    </row>
    <row r="158" spans="1:14" hidden="1" x14ac:dyDescent="0.35">
      <c r="A158" t="s">
        <v>1757</v>
      </c>
      <c r="B158" t="s">
        <v>66</v>
      </c>
      <c r="C158">
        <v>3</v>
      </c>
      <c r="D158">
        <v>4</v>
      </c>
      <c r="E158" s="1">
        <v>124</v>
      </c>
      <c r="F158" s="3">
        <v>580000</v>
      </c>
      <c r="G158" s="2">
        <f t="shared" si="4"/>
        <v>4677.4193548387093</v>
      </c>
      <c r="H158" s="2">
        <f t="shared" si="5"/>
        <v>580000</v>
      </c>
      <c r="I158" t="s">
        <v>261</v>
      </c>
      <c r="J158" t="s">
        <v>186</v>
      </c>
      <c r="K158" t="s">
        <v>2218</v>
      </c>
      <c r="L158" t="s">
        <v>187</v>
      </c>
      <c r="M158" t="s">
        <v>16</v>
      </c>
      <c r="N158" t="s">
        <v>50</v>
      </c>
    </row>
    <row r="159" spans="1:14" hidden="1" x14ac:dyDescent="0.35">
      <c r="A159" t="s">
        <v>1981</v>
      </c>
      <c r="B159" t="s">
        <v>66</v>
      </c>
      <c r="C159">
        <v>4</v>
      </c>
      <c r="D159">
        <v>4</v>
      </c>
      <c r="E159" s="1">
        <v>124</v>
      </c>
      <c r="F159" s="3">
        <v>580000</v>
      </c>
      <c r="G159" s="2">
        <f t="shared" si="4"/>
        <v>4677.4193548387093</v>
      </c>
      <c r="H159" s="2">
        <f t="shared" si="5"/>
        <v>580000</v>
      </c>
      <c r="I159" t="s">
        <v>1982</v>
      </c>
      <c r="J159" t="s">
        <v>186</v>
      </c>
      <c r="K159" t="s">
        <v>2218</v>
      </c>
      <c r="L159" t="s">
        <v>187</v>
      </c>
      <c r="M159" t="s">
        <v>16</v>
      </c>
      <c r="N159" t="s">
        <v>2242</v>
      </c>
    </row>
    <row r="160" spans="1:14" hidden="1" x14ac:dyDescent="0.35">
      <c r="A160" t="s">
        <v>1987</v>
      </c>
      <c r="B160" t="s">
        <v>66</v>
      </c>
      <c r="C160">
        <v>3</v>
      </c>
      <c r="D160">
        <v>3</v>
      </c>
      <c r="E160" s="1">
        <v>124</v>
      </c>
      <c r="F160" s="3">
        <v>580000</v>
      </c>
      <c r="G160" s="2">
        <f t="shared" si="4"/>
        <v>4677.4193548387093</v>
      </c>
      <c r="H160" s="2">
        <f t="shared" si="5"/>
        <v>580000</v>
      </c>
      <c r="I160" t="s">
        <v>797</v>
      </c>
      <c r="J160" t="s">
        <v>186</v>
      </c>
      <c r="K160" t="s">
        <v>2218</v>
      </c>
      <c r="L160" t="s">
        <v>187</v>
      </c>
      <c r="M160" t="s">
        <v>16</v>
      </c>
      <c r="N160" t="s">
        <v>50</v>
      </c>
    </row>
    <row r="161" spans="1:14" hidden="1" x14ac:dyDescent="0.35">
      <c r="A161" t="s">
        <v>2133</v>
      </c>
      <c r="B161" t="s">
        <v>66</v>
      </c>
      <c r="C161">
        <v>3</v>
      </c>
      <c r="D161">
        <v>4</v>
      </c>
      <c r="E161" s="1">
        <v>124</v>
      </c>
      <c r="F161" s="3">
        <v>580000</v>
      </c>
      <c r="G161" s="2">
        <f t="shared" si="4"/>
        <v>4677.4193548387093</v>
      </c>
      <c r="H161" s="2">
        <f t="shared" si="5"/>
        <v>580000</v>
      </c>
      <c r="I161" t="s">
        <v>261</v>
      </c>
      <c r="J161" t="s">
        <v>186</v>
      </c>
      <c r="K161" t="s">
        <v>2218</v>
      </c>
      <c r="L161" t="s">
        <v>187</v>
      </c>
      <c r="M161" t="s">
        <v>16</v>
      </c>
      <c r="N161" t="s">
        <v>2242</v>
      </c>
    </row>
    <row r="162" spans="1:14" hidden="1" x14ac:dyDescent="0.35">
      <c r="A162" t="s">
        <v>2195</v>
      </c>
      <c r="B162" t="s">
        <v>66</v>
      </c>
      <c r="C162">
        <v>3</v>
      </c>
      <c r="D162">
        <v>4</v>
      </c>
      <c r="E162" s="1">
        <v>124</v>
      </c>
      <c r="F162" s="3">
        <v>580000</v>
      </c>
      <c r="G162" s="2">
        <f t="shared" si="4"/>
        <v>4677.4193548387093</v>
      </c>
      <c r="H162" s="2">
        <f t="shared" si="5"/>
        <v>580000</v>
      </c>
      <c r="I162" t="s">
        <v>261</v>
      </c>
      <c r="J162" t="s">
        <v>186</v>
      </c>
      <c r="K162" t="s">
        <v>2218</v>
      </c>
      <c r="L162" t="s">
        <v>187</v>
      </c>
      <c r="M162" t="s">
        <v>16</v>
      </c>
      <c r="N162" t="s">
        <v>50</v>
      </c>
    </row>
    <row r="163" spans="1:14" hidden="1" x14ac:dyDescent="0.35">
      <c r="A163" t="s">
        <v>538</v>
      </c>
      <c r="B163" t="s">
        <v>66</v>
      </c>
      <c r="C163">
        <v>3</v>
      </c>
      <c r="D163">
        <v>3</v>
      </c>
      <c r="E163" s="1">
        <v>157</v>
      </c>
      <c r="F163" s="3">
        <v>585000</v>
      </c>
      <c r="G163" s="2">
        <f t="shared" si="4"/>
        <v>3726.1146496815286</v>
      </c>
      <c r="H163" s="2">
        <f t="shared" si="5"/>
        <v>585000</v>
      </c>
      <c r="I163" t="s">
        <v>539</v>
      </c>
      <c r="J163" t="s">
        <v>195</v>
      </c>
      <c r="K163" t="s">
        <v>2218</v>
      </c>
      <c r="L163" t="s">
        <v>196</v>
      </c>
      <c r="M163" t="s">
        <v>16</v>
      </c>
      <c r="N163" t="s">
        <v>2242</v>
      </c>
    </row>
    <row r="164" spans="1:14" hidden="1" x14ac:dyDescent="0.35">
      <c r="A164" t="s">
        <v>65</v>
      </c>
      <c r="B164" t="s">
        <v>66</v>
      </c>
      <c r="C164">
        <v>3</v>
      </c>
      <c r="D164">
        <v>3</v>
      </c>
      <c r="E164" s="1">
        <v>893</v>
      </c>
      <c r="F164" s="3">
        <v>590000</v>
      </c>
      <c r="G164" s="2">
        <f t="shared" si="4"/>
        <v>660.69428891377379</v>
      </c>
      <c r="H164" s="2">
        <f t="shared" si="5"/>
        <v>590000</v>
      </c>
      <c r="I164" t="s">
        <v>67</v>
      </c>
      <c r="J164" t="s">
        <v>68</v>
      </c>
      <c r="K164" t="s">
        <v>2218</v>
      </c>
      <c r="L164" t="s">
        <v>69</v>
      </c>
      <c r="M164" t="s">
        <v>16</v>
      </c>
      <c r="N164" t="s">
        <v>70</v>
      </c>
    </row>
    <row r="165" spans="1:14" hidden="1" x14ac:dyDescent="0.35">
      <c r="A165" t="s">
        <v>691</v>
      </c>
      <c r="B165" t="s">
        <v>66</v>
      </c>
      <c r="C165">
        <v>3</v>
      </c>
      <c r="D165">
        <v>3</v>
      </c>
      <c r="E165" s="1">
        <v>893</v>
      </c>
      <c r="F165" s="3">
        <v>590000</v>
      </c>
      <c r="G165" s="2">
        <f t="shared" si="4"/>
        <v>660.69428891377379</v>
      </c>
      <c r="H165" s="2">
        <f t="shared" si="5"/>
        <v>590000</v>
      </c>
      <c r="I165" t="s">
        <v>692</v>
      </c>
      <c r="J165" t="s">
        <v>68</v>
      </c>
      <c r="K165" t="s">
        <v>2218</v>
      </c>
      <c r="L165" t="s">
        <v>69</v>
      </c>
      <c r="M165" t="s">
        <v>16</v>
      </c>
      <c r="N165" t="s">
        <v>70</v>
      </c>
    </row>
    <row r="166" spans="1:14" hidden="1" x14ac:dyDescent="0.35">
      <c r="A166" t="s">
        <v>1259</v>
      </c>
      <c r="B166" t="s">
        <v>66</v>
      </c>
      <c r="C166">
        <v>3</v>
      </c>
      <c r="D166">
        <v>3</v>
      </c>
      <c r="E166" s="1">
        <v>893</v>
      </c>
      <c r="F166" s="3">
        <v>590000</v>
      </c>
      <c r="G166" s="2">
        <f t="shared" si="4"/>
        <v>660.69428891377379</v>
      </c>
      <c r="H166" s="2">
        <f t="shared" si="5"/>
        <v>590000</v>
      </c>
      <c r="I166" t="s">
        <v>128</v>
      </c>
      <c r="J166" t="s">
        <v>68</v>
      </c>
      <c r="K166" t="s">
        <v>2218</v>
      </c>
      <c r="L166" t="s">
        <v>69</v>
      </c>
      <c r="M166" t="s">
        <v>16</v>
      </c>
      <c r="N166" t="s">
        <v>70</v>
      </c>
    </row>
    <row r="167" spans="1:14" hidden="1" x14ac:dyDescent="0.35">
      <c r="A167" t="s">
        <v>1649</v>
      </c>
      <c r="B167" t="s">
        <v>66</v>
      </c>
      <c r="C167">
        <v>3</v>
      </c>
      <c r="D167">
        <v>3</v>
      </c>
      <c r="E167" s="1">
        <v>131</v>
      </c>
      <c r="F167" s="3">
        <v>590000</v>
      </c>
      <c r="G167" s="2">
        <f t="shared" si="4"/>
        <v>4503.8167938931301</v>
      </c>
      <c r="H167" s="2">
        <f t="shared" si="5"/>
        <v>590000</v>
      </c>
      <c r="I167" t="s">
        <v>128</v>
      </c>
      <c r="J167" t="s">
        <v>68</v>
      </c>
      <c r="K167" t="s">
        <v>2218</v>
      </c>
      <c r="L167" t="s">
        <v>69</v>
      </c>
      <c r="M167" t="s">
        <v>16</v>
      </c>
      <c r="N167" t="s">
        <v>70</v>
      </c>
    </row>
    <row r="168" spans="1:14" hidden="1" x14ac:dyDescent="0.35">
      <c r="A168" t="s">
        <v>1830</v>
      </c>
      <c r="B168" t="s">
        <v>12</v>
      </c>
      <c r="C168">
        <v>4</v>
      </c>
      <c r="D168">
        <v>4</v>
      </c>
      <c r="E168" s="1">
        <v>297</v>
      </c>
      <c r="F168" s="3">
        <v>590000</v>
      </c>
      <c r="G168" s="2">
        <f t="shared" si="4"/>
        <v>1986.5319865319866</v>
      </c>
      <c r="H168" s="2">
        <f t="shared" si="5"/>
        <v>590000</v>
      </c>
      <c r="I168" t="s">
        <v>1831</v>
      </c>
      <c r="J168" t="s">
        <v>430</v>
      </c>
      <c r="K168" t="s">
        <v>2215</v>
      </c>
      <c r="L168" t="s">
        <v>431</v>
      </c>
      <c r="M168" t="s">
        <v>16</v>
      </c>
      <c r="N168" t="s">
        <v>1832</v>
      </c>
    </row>
    <row r="169" spans="1:14" hidden="1" x14ac:dyDescent="0.35">
      <c r="A169" t="s">
        <v>1912</v>
      </c>
      <c r="B169" t="s">
        <v>12</v>
      </c>
      <c r="C169">
        <v>7</v>
      </c>
      <c r="D169">
        <v>4</v>
      </c>
      <c r="E169" s="1">
        <v>205</v>
      </c>
      <c r="F169" s="3">
        <v>590000</v>
      </c>
      <c r="G169" s="2">
        <f t="shared" si="4"/>
        <v>2878.0487804878048</v>
      </c>
      <c r="H169" s="2">
        <f t="shared" si="5"/>
        <v>590000</v>
      </c>
      <c r="I169" t="s">
        <v>1831</v>
      </c>
      <c r="J169" t="s">
        <v>430</v>
      </c>
      <c r="K169" t="s">
        <v>2215</v>
      </c>
      <c r="L169" t="s">
        <v>431</v>
      </c>
      <c r="M169" t="s">
        <v>16</v>
      </c>
      <c r="N169" t="s">
        <v>2242</v>
      </c>
    </row>
    <row r="170" spans="1:14" hidden="1" x14ac:dyDescent="0.35">
      <c r="A170" t="s">
        <v>2172</v>
      </c>
      <c r="B170" t="s">
        <v>12</v>
      </c>
      <c r="C170">
        <v>7</v>
      </c>
      <c r="D170">
        <v>4</v>
      </c>
      <c r="E170" s="1">
        <v>205</v>
      </c>
      <c r="F170" s="3">
        <v>590000</v>
      </c>
      <c r="G170" s="2">
        <f t="shared" si="4"/>
        <v>2878.0487804878048</v>
      </c>
      <c r="H170" s="2">
        <f t="shared" si="5"/>
        <v>590000</v>
      </c>
      <c r="I170" t="s">
        <v>628</v>
      </c>
      <c r="J170" t="s">
        <v>430</v>
      </c>
      <c r="K170" t="s">
        <v>2215</v>
      </c>
      <c r="L170" t="s">
        <v>431</v>
      </c>
      <c r="M170" t="s">
        <v>16</v>
      </c>
      <c r="N170" t="s">
        <v>2242</v>
      </c>
    </row>
    <row r="171" spans="1:14" hidden="1" x14ac:dyDescent="0.35">
      <c r="A171" t="s">
        <v>2184</v>
      </c>
      <c r="B171" t="s">
        <v>12</v>
      </c>
      <c r="C171">
        <v>7</v>
      </c>
      <c r="D171">
        <v>4</v>
      </c>
      <c r="E171" s="1">
        <v>205</v>
      </c>
      <c r="F171" s="3">
        <v>590000</v>
      </c>
      <c r="G171" s="2">
        <f t="shared" si="4"/>
        <v>2878.0487804878048</v>
      </c>
      <c r="H171" s="2">
        <f t="shared" si="5"/>
        <v>590000</v>
      </c>
      <c r="I171" t="s">
        <v>1831</v>
      </c>
      <c r="J171" t="s">
        <v>430</v>
      </c>
      <c r="K171" t="s">
        <v>2215</v>
      </c>
      <c r="L171" t="s">
        <v>431</v>
      </c>
      <c r="M171" t="s">
        <v>16</v>
      </c>
      <c r="N171" t="s">
        <v>624</v>
      </c>
    </row>
    <row r="172" spans="1:14" hidden="1" x14ac:dyDescent="0.35">
      <c r="A172" t="s">
        <v>1406</v>
      </c>
      <c r="B172" t="s">
        <v>66</v>
      </c>
      <c r="C172">
        <v>2</v>
      </c>
      <c r="D172">
        <v>3</v>
      </c>
      <c r="E172" s="1">
        <v>136</v>
      </c>
      <c r="F172" s="3">
        <v>599000</v>
      </c>
      <c r="G172" s="2">
        <f t="shared" si="4"/>
        <v>4404.411764705882</v>
      </c>
      <c r="H172" s="2">
        <f t="shared" si="5"/>
        <v>599000</v>
      </c>
      <c r="I172" t="s">
        <v>269</v>
      </c>
      <c r="J172" t="s">
        <v>169</v>
      </c>
      <c r="K172" t="s">
        <v>2217</v>
      </c>
      <c r="L172" t="s">
        <v>170</v>
      </c>
      <c r="M172" t="s">
        <v>16</v>
      </c>
      <c r="N172" t="s">
        <v>1390</v>
      </c>
    </row>
    <row r="173" spans="1:14" hidden="1" x14ac:dyDescent="0.35">
      <c r="A173" t="s">
        <v>188</v>
      </c>
      <c r="B173" t="s">
        <v>189</v>
      </c>
      <c r="C173">
        <v>0</v>
      </c>
      <c r="D173">
        <v>0</v>
      </c>
      <c r="E173" s="1">
        <v>174</v>
      </c>
      <c r="F173" s="3">
        <v>600000</v>
      </c>
      <c r="G173" s="2">
        <f t="shared" si="4"/>
        <v>3448.2758620689656</v>
      </c>
      <c r="H173" s="2">
        <f t="shared" si="5"/>
        <v>600000</v>
      </c>
      <c r="I173" t="s">
        <v>190</v>
      </c>
      <c r="J173" t="s">
        <v>186</v>
      </c>
      <c r="K173" t="s">
        <v>2218</v>
      </c>
      <c r="L173" t="s">
        <v>187</v>
      </c>
      <c r="M173" t="s">
        <v>16</v>
      </c>
      <c r="N173" t="s">
        <v>2242</v>
      </c>
    </row>
    <row r="174" spans="1:14" hidden="1" x14ac:dyDescent="0.35">
      <c r="A174" t="s">
        <v>268</v>
      </c>
      <c r="B174" t="s">
        <v>66</v>
      </c>
      <c r="C174">
        <v>3</v>
      </c>
      <c r="D174">
        <v>2</v>
      </c>
      <c r="E174" s="1">
        <v>140</v>
      </c>
      <c r="F174" s="3">
        <v>600000</v>
      </c>
      <c r="G174" s="2">
        <f t="shared" si="4"/>
        <v>4285.7142857142853</v>
      </c>
      <c r="H174" s="2">
        <f t="shared" si="5"/>
        <v>600000</v>
      </c>
      <c r="I174" t="s">
        <v>269</v>
      </c>
      <c r="J174" t="s">
        <v>169</v>
      </c>
      <c r="K174" t="s">
        <v>2217</v>
      </c>
      <c r="L174" t="s">
        <v>170</v>
      </c>
      <c r="M174" t="s">
        <v>16</v>
      </c>
      <c r="N174" t="s">
        <v>2242</v>
      </c>
    </row>
    <row r="175" spans="1:14" hidden="1" x14ac:dyDescent="0.35">
      <c r="A175" t="s">
        <v>486</v>
      </c>
      <c r="B175" t="s">
        <v>1033</v>
      </c>
      <c r="C175">
        <v>0</v>
      </c>
      <c r="D175">
        <v>0</v>
      </c>
      <c r="E175" s="1">
        <v>400</v>
      </c>
      <c r="F175" s="3">
        <v>600000</v>
      </c>
      <c r="G175" s="2">
        <f t="shared" si="4"/>
        <v>1500</v>
      </c>
      <c r="H175" s="2">
        <f t="shared" si="5"/>
        <v>600000</v>
      </c>
      <c r="I175" t="s">
        <v>487</v>
      </c>
      <c r="J175" t="s">
        <v>105</v>
      </c>
      <c r="K175" t="s">
        <v>2215</v>
      </c>
      <c r="L175" t="s">
        <v>106</v>
      </c>
      <c r="M175" t="s">
        <v>16</v>
      </c>
      <c r="N175" t="s">
        <v>2242</v>
      </c>
    </row>
    <row r="176" spans="1:14" hidden="1" x14ac:dyDescent="0.35">
      <c r="A176" t="s">
        <v>619</v>
      </c>
      <c r="B176" t="s">
        <v>12</v>
      </c>
      <c r="C176">
        <v>4</v>
      </c>
      <c r="D176">
        <v>6</v>
      </c>
      <c r="E176" s="1">
        <v>266</v>
      </c>
      <c r="F176" s="3">
        <v>600000</v>
      </c>
      <c r="G176" s="2">
        <f t="shared" si="4"/>
        <v>2255.6390977443607</v>
      </c>
      <c r="H176" s="2">
        <f t="shared" si="5"/>
        <v>600000</v>
      </c>
      <c r="I176" t="s">
        <v>13</v>
      </c>
      <c r="J176" t="s">
        <v>14</v>
      </c>
      <c r="K176" t="s">
        <v>2215</v>
      </c>
      <c r="L176" t="s">
        <v>15</v>
      </c>
      <c r="M176" t="s">
        <v>16</v>
      </c>
      <c r="N176" t="s">
        <v>620</v>
      </c>
    </row>
    <row r="177" spans="1:14" hidden="1" x14ac:dyDescent="0.35">
      <c r="A177" t="s">
        <v>813</v>
      </c>
      <c r="B177" t="s">
        <v>66</v>
      </c>
      <c r="C177">
        <v>3</v>
      </c>
      <c r="D177">
        <v>2</v>
      </c>
      <c r="E177" s="1">
        <v>341</v>
      </c>
      <c r="F177" s="3">
        <v>600000</v>
      </c>
      <c r="G177" s="2">
        <f t="shared" si="4"/>
        <v>1759.5307917888563</v>
      </c>
      <c r="H177" s="2">
        <f t="shared" si="5"/>
        <v>600000</v>
      </c>
      <c r="I177" t="s">
        <v>814</v>
      </c>
      <c r="J177" t="s">
        <v>169</v>
      </c>
      <c r="K177" t="s">
        <v>2217</v>
      </c>
      <c r="L177" t="s">
        <v>170</v>
      </c>
      <c r="M177" t="s">
        <v>16</v>
      </c>
      <c r="N177" t="s">
        <v>252</v>
      </c>
    </row>
    <row r="178" spans="1:14" hidden="1" x14ac:dyDescent="0.35">
      <c r="A178" t="s">
        <v>1153</v>
      </c>
      <c r="B178" t="s">
        <v>66</v>
      </c>
      <c r="C178">
        <v>1</v>
      </c>
      <c r="D178">
        <v>1</v>
      </c>
      <c r="E178" s="1">
        <v>63</v>
      </c>
      <c r="F178" s="3">
        <v>600000</v>
      </c>
      <c r="G178" s="2">
        <f t="shared" si="4"/>
        <v>9523.8095238095229</v>
      </c>
      <c r="H178" s="2">
        <f t="shared" si="5"/>
        <v>600000</v>
      </c>
      <c r="I178" t="s">
        <v>1154</v>
      </c>
      <c r="J178" t="s">
        <v>169</v>
      </c>
      <c r="K178" t="s">
        <v>2217</v>
      </c>
      <c r="L178" t="s">
        <v>170</v>
      </c>
      <c r="M178" t="s">
        <v>16</v>
      </c>
      <c r="N178" t="s">
        <v>624</v>
      </c>
    </row>
    <row r="179" spans="1:14" hidden="1" x14ac:dyDescent="0.35">
      <c r="A179" t="s">
        <v>1518</v>
      </c>
      <c r="B179" t="s">
        <v>66</v>
      </c>
      <c r="C179">
        <v>1</v>
      </c>
      <c r="D179">
        <v>1</v>
      </c>
      <c r="E179" s="1">
        <v>63</v>
      </c>
      <c r="F179" s="3">
        <v>600000</v>
      </c>
      <c r="G179" s="2">
        <f t="shared" si="4"/>
        <v>9523.8095238095229</v>
      </c>
      <c r="H179" s="2">
        <f t="shared" si="5"/>
        <v>600000</v>
      </c>
      <c r="I179" t="s">
        <v>1154</v>
      </c>
      <c r="J179" t="s">
        <v>169</v>
      </c>
      <c r="K179" t="s">
        <v>2217</v>
      </c>
      <c r="L179" t="s">
        <v>170</v>
      </c>
      <c r="M179" t="s">
        <v>16</v>
      </c>
      <c r="N179" t="s">
        <v>624</v>
      </c>
    </row>
    <row r="180" spans="1:14" hidden="1" x14ac:dyDescent="0.35">
      <c r="A180" t="s">
        <v>1627</v>
      </c>
      <c r="B180" t="s">
        <v>12</v>
      </c>
      <c r="C180">
        <v>4</v>
      </c>
      <c r="D180">
        <v>4</v>
      </c>
      <c r="E180" s="1">
        <v>203</v>
      </c>
      <c r="F180" s="3">
        <v>600000</v>
      </c>
      <c r="G180" s="2">
        <f t="shared" si="4"/>
        <v>2955.6650246305417</v>
      </c>
      <c r="H180" s="2">
        <f t="shared" si="5"/>
        <v>600000</v>
      </c>
      <c r="I180" t="s">
        <v>1628</v>
      </c>
      <c r="J180" t="s">
        <v>14</v>
      </c>
      <c r="K180" t="s">
        <v>2215</v>
      </c>
      <c r="L180" t="s">
        <v>15</v>
      </c>
      <c r="M180" t="s">
        <v>16</v>
      </c>
      <c r="N180" t="s">
        <v>2242</v>
      </c>
    </row>
    <row r="181" spans="1:14" hidden="1" x14ac:dyDescent="0.35">
      <c r="A181" t="s">
        <v>1808</v>
      </c>
      <c r="B181" t="s">
        <v>189</v>
      </c>
      <c r="C181">
        <v>3</v>
      </c>
      <c r="D181">
        <v>4</v>
      </c>
      <c r="E181" s="1">
        <v>500</v>
      </c>
      <c r="F181" s="3">
        <v>600000</v>
      </c>
      <c r="G181" s="2">
        <f t="shared" si="4"/>
        <v>1200</v>
      </c>
      <c r="H181" s="2">
        <f t="shared" si="5"/>
        <v>600000</v>
      </c>
      <c r="I181" t="s">
        <v>1809</v>
      </c>
      <c r="J181" t="s">
        <v>195</v>
      </c>
      <c r="K181" t="s">
        <v>2218</v>
      </c>
      <c r="L181" t="s">
        <v>196</v>
      </c>
      <c r="M181" t="s">
        <v>16</v>
      </c>
      <c r="N181" t="s">
        <v>1807</v>
      </c>
    </row>
    <row r="182" spans="1:14" hidden="1" x14ac:dyDescent="0.35">
      <c r="A182" t="s">
        <v>1818</v>
      </c>
      <c r="B182" t="s">
        <v>12</v>
      </c>
      <c r="C182">
        <v>3</v>
      </c>
      <c r="D182">
        <v>3</v>
      </c>
      <c r="E182" s="1">
        <v>228</v>
      </c>
      <c r="F182" s="3">
        <v>600000</v>
      </c>
      <c r="G182" s="2">
        <f t="shared" si="4"/>
        <v>2631.5789473684213</v>
      </c>
      <c r="H182" s="2">
        <f t="shared" si="5"/>
        <v>600000</v>
      </c>
      <c r="I182" t="s">
        <v>13</v>
      </c>
      <c r="J182" t="s">
        <v>14</v>
      </c>
      <c r="K182" t="s">
        <v>2215</v>
      </c>
      <c r="L182" t="s">
        <v>15</v>
      </c>
      <c r="M182" t="s">
        <v>16</v>
      </c>
      <c r="N182" t="s">
        <v>2242</v>
      </c>
    </row>
    <row r="183" spans="1:14" hidden="1" x14ac:dyDescent="0.35">
      <c r="A183" t="s">
        <v>1848</v>
      </c>
      <c r="B183" t="s">
        <v>1033</v>
      </c>
      <c r="C183">
        <v>0</v>
      </c>
      <c r="D183">
        <v>0</v>
      </c>
      <c r="E183" s="1">
        <v>300</v>
      </c>
      <c r="F183" s="3">
        <v>600000</v>
      </c>
      <c r="G183" s="2">
        <f t="shared" si="4"/>
        <v>2000</v>
      </c>
      <c r="H183" s="2">
        <f t="shared" si="5"/>
        <v>600000</v>
      </c>
      <c r="I183" t="s">
        <v>1849</v>
      </c>
      <c r="J183" t="s">
        <v>1838</v>
      </c>
      <c r="K183" t="s">
        <v>2217</v>
      </c>
      <c r="L183" t="s">
        <v>1839</v>
      </c>
      <c r="M183" t="s">
        <v>16</v>
      </c>
      <c r="N183" t="s">
        <v>1840</v>
      </c>
    </row>
    <row r="184" spans="1:14" x14ac:dyDescent="0.35">
      <c r="A184" t="s">
        <v>1930</v>
      </c>
      <c r="B184" t="s">
        <v>18</v>
      </c>
      <c r="C184">
        <v>7</v>
      </c>
      <c r="D184">
        <v>5</v>
      </c>
      <c r="E184" s="1">
        <v>413</v>
      </c>
      <c r="F184" s="3">
        <v>600000</v>
      </c>
      <c r="G184" s="2">
        <f t="shared" si="4"/>
        <v>1452.7845036319613</v>
      </c>
      <c r="H184" s="2">
        <f t="shared" si="5"/>
        <v>600000</v>
      </c>
      <c r="I184" t="s">
        <v>1931</v>
      </c>
      <c r="J184" t="s">
        <v>89</v>
      </c>
      <c r="K184" t="s">
        <v>2215</v>
      </c>
      <c r="L184" t="s">
        <v>90</v>
      </c>
      <c r="M184" t="s">
        <v>16</v>
      </c>
      <c r="N184" t="s">
        <v>948</v>
      </c>
    </row>
    <row r="185" spans="1:14" hidden="1" x14ac:dyDescent="0.35">
      <c r="A185" t="s">
        <v>357</v>
      </c>
      <c r="B185" t="s">
        <v>12</v>
      </c>
      <c r="C185">
        <v>3</v>
      </c>
      <c r="D185">
        <v>3</v>
      </c>
      <c r="E185" s="1">
        <v>143</v>
      </c>
      <c r="F185" s="3">
        <v>610000</v>
      </c>
      <c r="G185" s="2">
        <f t="shared" si="4"/>
        <v>4265.734265734266</v>
      </c>
      <c r="H185" s="2">
        <f t="shared" si="5"/>
        <v>610000</v>
      </c>
      <c r="I185" t="s">
        <v>358</v>
      </c>
      <c r="J185" t="s">
        <v>218</v>
      </c>
      <c r="K185" t="s">
        <v>2215</v>
      </c>
      <c r="L185" t="s">
        <v>219</v>
      </c>
      <c r="M185" t="s">
        <v>16</v>
      </c>
      <c r="N185" t="s">
        <v>2242</v>
      </c>
    </row>
    <row r="186" spans="1:14" hidden="1" x14ac:dyDescent="0.35">
      <c r="A186" t="s">
        <v>782</v>
      </c>
      <c r="B186" t="s">
        <v>12</v>
      </c>
      <c r="C186">
        <v>4</v>
      </c>
      <c r="D186">
        <v>3</v>
      </c>
      <c r="E186" s="1">
        <v>161</v>
      </c>
      <c r="F186" s="3">
        <v>610000</v>
      </c>
      <c r="G186" s="2">
        <f t="shared" si="4"/>
        <v>3788.8198757763976</v>
      </c>
      <c r="H186" s="2">
        <f t="shared" si="5"/>
        <v>610000</v>
      </c>
      <c r="I186" t="s">
        <v>783</v>
      </c>
      <c r="J186" t="s">
        <v>218</v>
      </c>
      <c r="K186" t="s">
        <v>2215</v>
      </c>
      <c r="L186" t="s">
        <v>219</v>
      </c>
      <c r="M186" t="s">
        <v>16</v>
      </c>
      <c r="N186" t="s">
        <v>2242</v>
      </c>
    </row>
    <row r="187" spans="1:14" hidden="1" x14ac:dyDescent="0.35">
      <c r="A187" t="s">
        <v>801</v>
      </c>
      <c r="B187" t="s">
        <v>12</v>
      </c>
      <c r="C187">
        <v>3</v>
      </c>
      <c r="D187">
        <v>3</v>
      </c>
      <c r="E187" s="1">
        <v>143</v>
      </c>
      <c r="F187" s="3">
        <v>610000</v>
      </c>
      <c r="G187" s="2">
        <f t="shared" si="4"/>
        <v>4265.734265734266</v>
      </c>
      <c r="H187" s="2">
        <f t="shared" si="5"/>
        <v>610000</v>
      </c>
      <c r="I187" t="s">
        <v>358</v>
      </c>
      <c r="J187" t="s">
        <v>218</v>
      </c>
      <c r="K187" t="s">
        <v>2215</v>
      </c>
      <c r="L187" t="s">
        <v>219</v>
      </c>
      <c r="M187" t="s">
        <v>16</v>
      </c>
      <c r="N187" t="s">
        <v>2242</v>
      </c>
    </row>
    <row r="188" spans="1:14" hidden="1" x14ac:dyDescent="0.35">
      <c r="A188" t="s">
        <v>2090</v>
      </c>
      <c r="B188" t="s">
        <v>12</v>
      </c>
      <c r="C188">
        <v>5</v>
      </c>
      <c r="D188">
        <v>4</v>
      </c>
      <c r="E188" s="1">
        <v>325</v>
      </c>
      <c r="F188" s="3">
        <v>610000</v>
      </c>
      <c r="G188" s="2">
        <f t="shared" si="4"/>
        <v>1876.9230769230769</v>
      </c>
      <c r="H188" s="2">
        <f t="shared" si="5"/>
        <v>610000</v>
      </c>
      <c r="I188" t="s">
        <v>317</v>
      </c>
      <c r="J188" t="s">
        <v>14</v>
      </c>
      <c r="K188" t="s">
        <v>2215</v>
      </c>
      <c r="L188" t="s">
        <v>15</v>
      </c>
      <c r="M188" t="s">
        <v>16</v>
      </c>
      <c r="N188" t="s">
        <v>2242</v>
      </c>
    </row>
    <row r="189" spans="1:14" hidden="1" x14ac:dyDescent="0.35">
      <c r="A189" t="s">
        <v>2178</v>
      </c>
      <c r="B189" t="s">
        <v>66</v>
      </c>
      <c r="C189">
        <v>2</v>
      </c>
      <c r="D189">
        <v>2</v>
      </c>
      <c r="E189" s="1">
        <v>103</v>
      </c>
      <c r="F189" s="3">
        <v>610000</v>
      </c>
      <c r="G189" s="2">
        <f t="shared" si="4"/>
        <v>5922.3300970873788</v>
      </c>
      <c r="H189" s="2">
        <f t="shared" si="5"/>
        <v>610000</v>
      </c>
      <c r="I189" t="s">
        <v>814</v>
      </c>
      <c r="J189" t="s">
        <v>405</v>
      </c>
      <c r="K189" t="s">
        <v>2217</v>
      </c>
      <c r="L189" t="s">
        <v>406</v>
      </c>
      <c r="M189" t="s">
        <v>16</v>
      </c>
      <c r="N189" t="s">
        <v>624</v>
      </c>
    </row>
    <row r="190" spans="1:14" hidden="1" x14ac:dyDescent="0.35">
      <c r="A190" t="s">
        <v>963</v>
      </c>
      <c r="B190" t="s">
        <v>66</v>
      </c>
      <c r="C190">
        <v>5</v>
      </c>
      <c r="D190">
        <v>3</v>
      </c>
      <c r="E190" s="1">
        <v>136</v>
      </c>
      <c r="F190" s="3">
        <v>615000</v>
      </c>
      <c r="G190" s="2">
        <f t="shared" si="4"/>
        <v>4522.0588235294117</v>
      </c>
      <c r="H190" s="2">
        <f t="shared" si="5"/>
        <v>615000</v>
      </c>
      <c r="I190" t="s">
        <v>964</v>
      </c>
      <c r="J190" t="s">
        <v>965</v>
      </c>
      <c r="K190" t="s">
        <v>2218</v>
      </c>
      <c r="L190" t="s">
        <v>966</v>
      </c>
      <c r="M190" t="s">
        <v>16</v>
      </c>
      <c r="N190" t="s">
        <v>2242</v>
      </c>
    </row>
    <row r="191" spans="1:14" hidden="1" x14ac:dyDescent="0.35">
      <c r="A191" t="s">
        <v>247</v>
      </c>
      <c r="B191" t="s">
        <v>12</v>
      </c>
      <c r="C191">
        <v>3</v>
      </c>
      <c r="D191">
        <v>3</v>
      </c>
      <c r="E191" s="1">
        <v>175</v>
      </c>
      <c r="F191" s="3">
        <v>620000</v>
      </c>
      <c r="G191" s="2">
        <f t="shared" si="4"/>
        <v>3542.8571428571427</v>
      </c>
      <c r="H191" s="2">
        <f t="shared" si="5"/>
        <v>620000</v>
      </c>
      <c r="I191" t="s">
        <v>248</v>
      </c>
      <c r="J191" t="s">
        <v>14</v>
      </c>
      <c r="K191" t="s">
        <v>2215</v>
      </c>
      <c r="L191" t="s">
        <v>15</v>
      </c>
      <c r="M191" t="s">
        <v>16</v>
      </c>
      <c r="N191" t="s">
        <v>2242</v>
      </c>
    </row>
    <row r="192" spans="1:14" hidden="1" x14ac:dyDescent="0.35">
      <c r="A192" t="s">
        <v>423</v>
      </c>
      <c r="B192" t="s">
        <v>66</v>
      </c>
      <c r="C192">
        <v>3</v>
      </c>
      <c r="D192">
        <v>3</v>
      </c>
      <c r="E192" s="1">
        <v>140</v>
      </c>
      <c r="F192" s="3">
        <v>620000</v>
      </c>
      <c r="G192" s="2">
        <f t="shared" si="4"/>
        <v>4428.5714285714284</v>
      </c>
      <c r="H192" s="2">
        <f t="shared" si="5"/>
        <v>620000</v>
      </c>
      <c r="I192" t="s">
        <v>273</v>
      </c>
      <c r="J192" t="s">
        <v>169</v>
      </c>
      <c r="K192" t="s">
        <v>2217</v>
      </c>
      <c r="L192" t="s">
        <v>170</v>
      </c>
      <c r="M192" t="s">
        <v>16</v>
      </c>
      <c r="N192" t="s">
        <v>2242</v>
      </c>
    </row>
    <row r="193" spans="1:14" x14ac:dyDescent="0.35">
      <c r="A193" t="s">
        <v>551</v>
      </c>
      <c r="B193" t="s">
        <v>18</v>
      </c>
      <c r="C193">
        <v>5</v>
      </c>
      <c r="D193">
        <v>3</v>
      </c>
      <c r="E193" s="1">
        <v>151</v>
      </c>
      <c r="F193" s="3">
        <v>620000</v>
      </c>
      <c r="G193" s="2">
        <f t="shared" si="4"/>
        <v>4105.960264900662</v>
      </c>
      <c r="H193" s="2">
        <f t="shared" si="5"/>
        <v>620000</v>
      </c>
      <c r="I193" t="s">
        <v>552</v>
      </c>
      <c r="J193" t="s">
        <v>141</v>
      </c>
      <c r="K193" t="s">
        <v>2215</v>
      </c>
      <c r="L193" t="s">
        <v>142</v>
      </c>
      <c r="M193" t="s">
        <v>16</v>
      </c>
      <c r="N193" t="s">
        <v>454</v>
      </c>
    </row>
    <row r="194" spans="1:14" hidden="1" x14ac:dyDescent="0.35">
      <c r="A194" t="s">
        <v>899</v>
      </c>
      <c r="B194" t="s">
        <v>12</v>
      </c>
      <c r="C194">
        <v>5</v>
      </c>
      <c r="D194">
        <v>4</v>
      </c>
      <c r="E194" s="1">
        <v>325</v>
      </c>
      <c r="F194" s="3">
        <v>620000</v>
      </c>
      <c r="G194" s="2">
        <f t="shared" si="4"/>
        <v>1907.6923076923076</v>
      </c>
      <c r="H194" s="2">
        <f t="shared" si="5"/>
        <v>620000</v>
      </c>
      <c r="I194" t="s">
        <v>317</v>
      </c>
      <c r="J194" t="s">
        <v>14</v>
      </c>
      <c r="K194" t="s">
        <v>2215</v>
      </c>
      <c r="L194" t="s">
        <v>15</v>
      </c>
      <c r="M194" t="s">
        <v>16</v>
      </c>
      <c r="N194" t="s">
        <v>2242</v>
      </c>
    </row>
    <row r="195" spans="1:14" hidden="1" x14ac:dyDescent="0.35">
      <c r="A195" t="s">
        <v>127</v>
      </c>
      <c r="B195" t="s">
        <v>66</v>
      </c>
      <c r="C195">
        <v>4</v>
      </c>
      <c r="D195">
        <v>4</v>
      </c>
      <c r="E195" s="1">
        <v>118</v>
      </c>
      <c r="F195" s="3">
        <v>630000</v>
      </c>
      <c r="G195" s="2">
        <f t="shared" si="4"/>
        <v>5338.9830508474579</v>
      </c>
      <c r="H195" s="2">
        <f t="shared" si="5"/>
        <v>630000</v>
      </c>
      <c r="I195" t="s">
        <v>128</v>
      </c>
      <c r="J195" t="s">
        <v>68</v>
      </c>
      <c r="K195" t="s">
        <v>2218</v>
      </c>
      <c r="L195" t="s">
        <v>69</v>
      </c>
      <c r="M195" t="s">
        <v>16</v>
      </c>
      <c r="N195" t="s">
        <v>2242</v>
      </c>
    </row>
    <row r="196" spans="1:14" hidden="1" x14ac:dyDescent="0.35">
      <c r="A196" t="s">
        <v>425</v>
      </c>
      <c r="B196" t="s">
        <v>66</v>
      </c>
      <c r="C196">
        <v>3</v>
      </c>
      <c r="D196">
        <v>3</v>
      </c>
      <c r="E196" s="1">
        <v>123</v>
      </c>
      <c r="F196" s="3">
        <v>630000</v>
      </c>
      <c r="G196" s="2">
        <f t="shared" si="4"/>
        <v>5121.9512195121952</v>
      </c>
      <c r="H196" s="2">
        <f t="shared" si="5"/>
        <v>630000</v>
      </c>
      <c r="I196" t="s">
        <v>67</v>
      </c>
      <c r="J196" t="s">
        <v>68</v>
      </c>
      <c r="K196" t="s">
        <v>2218</v>
      </c>
      <c r="L196" t="s">
        <v>69</v>
      </c>
      <c r="M196" t="s">
        <v>16</v>
      </c>
      <c r="N196" t="s">
        <v>426</v>
      </c>
    </row>
    <row r="197" spans="1:14" hidden="1" x14ac:dyDescent="0.35">
      <c r="A197" t="s">
        <v>453</v>
      </c>
      <c r="B197" t="s">
        <v>12</v>
      </c>
      <c r="C197">
        <v>5</v>
      </c>
      <c r="D197">
        <v>3</v>
      </c>
      <c r="E197" s="1">
        <v>187</v>
      </c>
      <c r="F197" s="3">
        <v>630000</v>
      </c>
      <c r="G197" s="2">
        <f t="shared" ref="G197:G260" si="6">IF(F197&lt;50000,F197,F197/E197)</f>
        <v>3368.9839572192514</v>
      </c>
      <c r="H197" s="2">
        <f t="shared" ref="H197:H260" si="7">IF(F197&lt;50000,E197*F197,F197)</f>
        <v>630000</v>
      </c>
      <c r="I197" t="s">
        <v>317</v>
      </c>
      <c r="J197" t="s">
        <v>14</v>
      </c>
      <c r="K197" t="s">
        <v>2215</v>
      </c>
      <c r="L197" t="s">
        <v>15</v>
      </c>
      <c r="M197" t="s">
        <v>16</v>
      </c>
      <c r="N197" t="s">
        <v>454</v>
      </c>
    </row>
    <row r="198" spans="1:14" hidden="1" x14ac:dyDescent="0.35">
      <c r="A198" t="s">
        <v>595</v>
      </c>
      <c r="B198" t="s">
        <v>12</v>
      </c>
      <c r="C198">
        <v>3</v>
      </c>
      <c r="D198">
        <v>3</v>
      </c>
      <c r="E198" s="1">
        <v>184</v>
      </c>
      <c r="F198" s="3">
        <v>630000</v>
      </c>
      <c r="G198" s="2">
        <f t="shared" si="6"/>
        <v>3423.913043478261</v>
      </c>
      <c r="H198" s="2">
        <f t="shared" si="7"/>
        <v>630000</v>
      </c>
      <c r="I198" t="s">
        <v>358</v>
      </c>
      <c r="J198" t="s">
        <v>218</v>
      </c>
      <c r="K198" t="s">
        <v>2215</v>
      </c>
      <c r="L198" t="s">
        <v>219</v>
      </c>
      <c r="M198" t="s">
        <v>16</v>
      </c>
      <c r="N198" t="s">
        <v>50</v>
      </c>
    </row>
    <row r="199" spans="1:14" hidden="1" x14ac:dyDescent="0.35">
      <c r="A199" t="s">
        <v>742</v>
      </c>
      <c r="B199" t="s">
        <v>12</v>
      </c>
      <c r="C199">
        <v>5</v>
      </c>
      <c r="D199">
        <v>3</v>
      </c>
      <c r="E199" s="1">
        <v>201</v>
      </c>
      <c r="F199" s="3">
        <v>630000</v>
      </c>
      <c r="G199" s="2">
        <f t="shared" si="6"/>
        <v>3134.3283582089553</v>
      </c>
      <c r="H199" s="2">
        <f t="shared" si="7"/>
        <v>630000</v>
      </c>
      <c r="I199" t="s">
        <v>317</v>
      </c>
      <c r="J199" t="s">
        <v>14</v>
      </c>
      <c r="K199" t="s">
        <v>2215</v>
      </c>
      <c r="L199" t="s">
        <v>15</v>
      </c>
      <c r="M199" t="s">
        <v>16</v>
      </c>
      <c r="N199" t="s">
        <v>454</v>
      </c>
    </row>
    <row r="200" spans="1:14" x14ac:dyDescent="0.35">
      <c r="A200" t="s">
        <v>831</v>
      </c>
      <c r="B200" t="s">
        <v>18</v>
      </c>
      <c r="C200">
        <v>5</v>
      </c>
      <c r="D200">
        <v>3</v>
      </c>
      <c r="E200" s="1">
        <v>176</v>
      </c>
      <c r="F200" s="3">
        <v>630000</v>
      </c>
      <c r="G200" s="2">
        <f t="shared" si="6"/>
        <v>3579.5454545454545</v>
      </c>
      <c r="H200" s="2">
        <f t="shared" si="7"/>
        <v>630000</v>
      </c>
      <c r="I200" t="s">
        <v>832</v>
      </c>
      <c r="J200" t="s">
        <v>80</v>
      </c>
      <c r="K200" t="s">
        <v>2215</v>
      </c>
      <c r="L200" t="s">
        <v>81</v>
      </c>
      <c r="M200" t="s">
        <v>16</v>
      </c>
      <c r="N200" t="s">
        <v>2242</v>
      </c>
    </row>
    <row r="201" spans="1:14" hidden="1" x14ac:dyDescent="0.35">
      <c r="A201" t="s">
        <v>833</v>
      </c>
      <c r="B201" t="s">
        <v>66</v>
      </c>
      <c r="C201">
        <v>3</v>
      </c>
      <c r="D201">
        <v>3</v>
      </c>
      <c r="E201" s="1">
        <v>180</v>
      </c>
      <c r="F201" s="3">
        <v>630000</v>
      </c>
      <c r="G201" s="2">
        <f t="shared" si="6"/>
        <v>3500</v>
      </c>
      <c r="H201" s="2">
        <f t="shared" si="7"/>
        <v>630000</v>
      </c>
      <c r="I201" t="s">
        <v>261</v>
      </c>
      <c r="J201" t="s">
        <v>186</v>
      </c>
      <c r="K201" t="s">
        <v>2218</v>
      </c>
      <c r="L201" t="s">
        <v>187</v>
      </c>
      <c r="M201" t="s">
        <v>16</v>
      </c>
      <c r="N201" t="s">
        <v>2242</v>
      </c>
    </row>
    <row r="202" spans="1:14" hidden="1" x14ac:dyDescent="0.35">
      <c r="A202" t="s">
        <v>967</v>
      </c>
      <c r="B202" t="s">
        <v>12</v>
      </c>
      <c r="C202">
        <v>3</v>
      </c>
      <c r="D202">
        <v>5</v>
      </c>
      <c r="E202" s="1">
        <v>184</v>
      </c>
      <c r="F202" s="3">
        <v>630000</v>
      </c>
      <c r="G202" s="2">
        <f t="shared" si="6"/>
        <v>3423.913043478261</v>
      </c>
      <c r="H202" s="2">
        <f t="shared" si="7"/>
        <v>630000</v>
      </c>
      <c r="I202" t="s">
        <v>358</v>
      </c>
      <c r="J202" t="s">
        <v>218</v>
      </c>
      <c r="K202" t="s">
        <v>2215</v>
      </c>
      <c r="L202" t="s">
        <v>219</v>
      </c>
      <c r="M202" t="s">
        <v>16</v>
      </c>
      <c r="N202" t="s">
        <v>2242</v>
      </c>
    </row>
    <row r="203" spans="1:14" hidden="1" x14ac:dyDescent="0.35">
      <c r="A203" t="s">
        <v>1612</v>
      </c>
      <c r="B203" t="s">
        <v>66</v>
      </c>
      <c r="C203">
        <v>5</v>
      </c>
      <c r="D203">
        <v>4</v>
      </c>
      <c r="E203" s="1">
        <v>152</v>
      </c>
      <c r="F203" s="3">
        <v>630000</v>
      </c>
      <c r="G203" s="2">
        <f t="shared" si="6"/>
        <v>4144.7368421052633</v>
      </c>
      <c r="H203" s="2">
        <f t="shared" si="7"/>
        <v>630000</v>
      </c>
      <c r="I203" t="s">
        <v>657</v>
      </c>
      <c r="J203" t="s">
        <v>154</v>
      </c>
      <c r="K203" t="s">
        <v>2218</v>
      </c>
      <c r="L203" t="s">
        <v>155</v>
      </c>
      <c r="M203" t="s">
        <v>16</v>
      </c>
      <c r="N203" t="s">
        <v>288</v>
      </c>
    </row>
    <row r="204" spans="1:14" hidden="1" x14ac:dyDescent="0.35">
      <c r="A204" t="s">
        <v>87</v>
      </c>
      <c r="B204" t="s">
        <v>1033</v>
      </c>
      <c r="C204">
        <v>0</v>
      </c>
      <c r="D204">
        <v>0</v>
      </c>
      <c r="E204" s="1">
        <v>711</v>
      </c>
      <c r="F204" s="3">
        <v>900</v>
      </c>
      <c r="G204" s="2">
        <f t="shared" si="6"/>
        <v>900</v>
      </c>
      <c r="H204" s="2">
        <f t="shared" si="7"/>
        <v>639900</v>
      </c>
      <c r="I204" t="s">
        <v>88</v>
      </c>
      <c r="J204" t="s">
        <v>89</v>
      </c>
      <c r="K204" t="s">
        <v>2215</v>
      </c>
      <c r="L204" t="s">
        <v>90</v>
      </c>
      <c r="M204" t="s">
        <v>16</v>
      </c>
      <c r="N204" t="s">
        <v>2242</v>
      </c>
    </row>
    <row r="205" spans="1:14" hidden="1" x14ac:dyDescent="0.35">
      <c r="A205" t="s">
        <v>787</v>
      </c>
      <c r="B205" t="s">
        <v>12</v>
      </c>
      <c r="C205">
        <v>6</v>
      </c>
      <c r="D205">
        <v>3</v>
      </c>
      <c r="E205" s="1">
        <v>193</v>
      </c>
      <c r="F205" s="3">
        <v>640000</v>
      </c>
      <c r="G205" s="2">
        <f t="shared" si="6"/>
        <v>3316.0621761658031</v>
      </c>
      <c r="H205" s="2">
        <f t="shared" si="7"/>
        <v>640000</v>
      </c>
      <c r="I205" t="s">
        <v>317</v>
      </c>
      <c r="J205" t="s">
        <v>14</v>
      </c>
      <c r="K205" t="s">
        <v>2215</v>
      </c>
      <c r="L205" t="s">
        <v>15</v>
      </c>
      <c r="M205" t="s">
        <v>16</v>
      </c>
      <c r="N205" t="s">
        <v>2242</v>
      </c>
    </row>
    <row r="206" spans="1:14" hidden="1" x14ac:dyDescent="0.35">
      <c r="A206" t="s">
        <v>912</v>
      </c>
      <c r="B206" t="s">
        <v>66</v>
      </c>
      <c r="C206">
        <v>3</v>
      </c>
      <c r="D206">
        <v>3</v>
      </c>
      <c r="E206" s="1">
        <v>149</v>
      </c>
      <c r="F206" s="3">
        <v>640000</v>
      </c>
      <c r="G206" s="2">
        <f t="shared" si="6"/>
        <v>4295.3020134228191</v>
      </c>
      <c r="H206" s="2">
        <f t="shared" si="7"/>
        <v>640000</v>
      </c>
      <c r="I206" t="s">
        <v>913</v>
      </c>
      <c r="J206" t="s">
        <v>154</v>
      </c>
      <c r="K206" t="s">
        <v>2218</v>
      </c>
      <c r="L206" t="s">
        <v>155</v>
      </c>
      <c r="M206" t="s">
        <v>16</v>
      </c>
      <c r="N206" t="s">
        <v>2242</v>
      </c>
    </row>
    <row r="207" spans="1:14" hidden="1" x14ac:dyDescent="0.35">
      <c r="A207" t="s">
        <v>1148</v>
      </c>
      <c r="B207" t="s">
        <v>66</v>
      </c>
      <c r="C207">
        <v>3</v>
      </c>
      <c r="D207">
        <v>3</v>
      </c>
      <c r="E207" s="1">
        <v>149</v>
      </c>
      <c r="F207" s="3">
        <v>640000</v>
      </c>
      <c r="G207" s="2">
        <f t="shared" si="6"/>
        <v>4295.3020134228191</v>
      </c>
      <c r="H207" s="2">
        <f t="shared" si="7"/>
        <v>640000</v>
      </c>
      <c r="I207" t="s">
        <v>913</v>
      </c>
      <c r="J207" t="s">
        <v>154</v>
      </c>
      <c r="K207" t="s">
        <v>2218</v>
      </c>
      <c r="L207" t="s">
        <v>155</v>
      </c>
      <c r="M207" t="s">
        <v>16</v>
      </c>
      <c r="N207" t="s">
        <v>1149</v>
      </c>
    </row>
    <row r="208" spans="1:14" hidden="1" x14ac:dyDescent="0.35">
      <c r="A208" t="s">
        <v>1384</v>
      </c>
      <c r="B208" t="s">
        <v>66</v>
      </c>
      <c r="C208">
        <v>3</v>
      </c>
      <c r="D208">
        <v>3</v>
      </c>
      <c r="E208" s="1">
        <v>145</v>
      </c>
      <c r="F208" s="3">
        <v>640000</v>
      </c>
      <c r="G208" s="2">
        <f t="shared" si="6"/>
        <v>4413.7931034482763</v>
      </c>
      <c r="H208" s="2">
        <f t="shared" si="7"/>
        <v>640000</v>
      </c>
      <c r="I208" t="s">
        <v>913</v>
      </c>
      <c r="J208" t="s">
        <v>154</v>
      </c>
      <c r="K208" t="s">
        <v>2218</v>
      </c>
      <c r="L208" t="s">
        <v>155</v>
      </c>
      <c r="M208" t="s">
        <v>16</v>
      </c>
      <c r="N208" t="s">
        <v>1149</v>
      </c>
    </row>
    <row r="209" spans="1:14" hidden="1" x14ac:dyDescent="0.35">
      <c r="A209" t="s">
        <v>1693</v>
      </c>
      <c r="B209" t="s">
        <v>12</v>
      </c>
      <c r="C209">
        <v>4</v>
      </c>
      <c r="D209">
        <v>3</v>
      </c>
      <c r="E209" s="1">
        <v>343</v>
      </c>
      <c r="F209" s="3">
        <v>645000</v>
      </c>
      <c r="G209" s="2">
        <f t="shared" si="6"/>
        <v>1880.466472303207</v>
      </c>
      <c r="H209" s="2">
        <f t="shared" si="7"/>
        <v>645000</v>
      </c>
      <c r="I209" t="s">
        <v>1694</v>
      </c>
      <c r="J209" t="s">
        <v>586</v>
      </c>
      <c r="K209" t="s">
        <v>2219</v>
      </c>
      <c r="L209" t="s">
        <v>587</v>
      </c>
      <c r="M209" t="s">
        <v>16</v>
      </c>
      <c r="N209" t="s">
        <v>2242</v>
      </c>
    </row>
    <row r="210" spans="1:14" hidden="1" x14ac:dyDescent="0.35">
      <c r="A210" t="s">
        <v>286</v>
      </c>
      <c r="B210" t="s">
        <v>66</v>
      </c>
      <c r="C210">
        <v>5</v>
      </c>
      <c r="D210">
        <v>4</v>
      </c>
      <c r="E210" s="1">
        <v>171</v>
      </c>
      <c r="F210" s="3">
        <v>650000</v>
      </c>
      <c r="G210" s="2">
        <f t="shared" si="6"/>
        <v>3801.1695906432747</v>
      </c>
      <c r="H210" s="2">
        <f t="shared" si="7"/>
        <v>650000</v>
      </c>
      <c r="I210" t="s">
        <v>287</v>
      </c>
      <c r="J210" t="s">
        <v>154</v>
      </c>
      <c r="K210" t="s">
        <v>2218</v>
      </c>
      <c r="L210" t="s">
        <v>155</v>
      </c>
      <c r="M210" t="s">
        <v>16</v>
      </c>
      <c r="N210" t="s">
        <v>288</v>
      </c>
    </row>
    <row r="211" spans="1:14" hidden="1" x14ac:dyDescent="0.35">
      <c r="A211" t="s">
        <v>338</v>
      </c>
      <c r="B211" t="s">
        <v>66</v>
      </c>
      <c r="C211">
        <v>3</v>
      </c>
      <c r="D211">
        <v>3</v>
      </c>
      <c r="E211" s="1">
        <v>153</v>
      </c>
      <c r="F211" s="3">
        <v>650000</v>
      </c>
      <c r="G211" s="2">
        <f t="shared" si="6"/>
        <v>4248.3660130718954</v>
      </c>
      <c r="H211" s="2">
        <f t="shared" si="7"/>
        <v>650000</v>
      </c>
      <c r="I211" t="s">
        <v>339</v>
      </c>
      <c r="J211" t="s">
        <v>186</v>
      </c>
      <c r="K211" t="s">
        <v>2218</v>
      </c>
      <c r="L211" t="s">
        <v>187</v>
      </c>
      <c r="M211" t="s">
        <v>16</v>
      </c>
      <c r="N211" t="s">
        <v>2242</v>
      </c>
    </row>
    <row r="212" spans="1:14" hidden="1" x14ac:dyDescent="0.35">
      <c r="A212" t="s">
        <v>364</v>
      </c>
      <c r="B212" t="s">
        <v>66</v>
      </c>
      <c r="C212">
        <v>4</v>
      </c>
      <c r="D212">
        <v>3</v>
      </c>
      <c r="E212" s="1">
        <v>125</v>
      </c>
      <c r="F212" s="3">
        <v>650000</v>
      </c>
      <c r="G212" s="2">
        <f t="shared" si="6"/>
        <v>5200</v>
      </c>
      <c r="H212" s="2">
        <f t="shared" si="7"/>
        <v>650000</v>
      </c>
      <c r="I212" t="s">
        <v>128</v>
      </c>
      <c r="J212" t="s">
        <v>68</v>
      </c>
      <c r="K212" t="s">
        <v>2218</v>
      </c>
      <c r="L212" t="s">
        <v>69</v>
      </c>
      <c r="M212" t="s">
        <v>16</v>
      </c>
      <c r="N212" t="s">
        <v>2242</v>
      </c>
    </row>
    <row r="213" spans="1:14" hidden="1" x14ac:dyDescent="0.35">
      <c r="A213" t="s">
        <v>548</v>
      </c>
      <c r="B213" t="s">
        <v>12</v>
      </c>
      <c r="C213">
        <v>5</v>
      </c>
      <c r="D213">
        <v>3</v>
      </c>
      <c r="E213" s="1">
        <v>199</v>
      </c>
      <c r="F213" s="3">
        <v>650000</v>
      </c>
      <c r="G213" s="2">
        <f t="shared" si="6"/>
        <v>3266.3316582914572</v>
      </c>
      <c r="H213" s="2">
        <f t="shared" si="7"/>
        <v>650000</v>
      </c>
      <c r="I213" t="s">
        <v>136</v>
      </c>
      <c r="J213" t="s">
        <v>14</v>
      </c>
      <c r="K213" t="s">
        <v>2215</v>
      </c>
      <c r="L213" t="s">
        <v>15</v>
      </c>
      <c r="M213" t="s">
        <v>16</v>
      </c>
      <c r="N213" t="s">
        <v>454</v>
      </c>
    </row>
    <row r="214" spans="1:14" hidden="1" x14ac:dyDescent="0.35">
      <c r="A214" t="s">
        <v>748</v>
      </c>
      <c r="B214" t="s">
        <v>66</v>
      </c>
      <c r="C214">
        <v>3</v>
      </c>
      <c r="D214">
        <v>3</v>
      </c>
      <c r="E214" s="1">
        <v>140</v>
      </c>
      <c r="F214" s="3">
        <v>650000</v>
      </c>
      <c r="G214" s="2">
        <f t="shared" si="6"/>
        <v>4642.8571428571431</v>
      </c>
      <c r="H214" s="2">
        <f t="shared" si="7"/>
        <v>650000</v>
      </c>
      <c r="I214" t="s">
        <v>749</v>
      </c>
      <c r="J214" t="s">
        <v>186</v>
      </c>
      <c r="K214" t="s">
        <v>2218</v>
      </c>
      <c r="L214" t="s">
        <v>187</v>
      </c>
      <c r="M214" t="s">
        <v>16</v>
      </c>
      <c r="N214" t="s">
        <v>50</v>
      </c>
    </row>
    <row r="215" spans="1:14" hidden="1" x14ac:dyDescent="0.35">
      <c r="A215" t="s">
        <v>770</v>
      </c>
      <c r="B215" t="s">
        <v>12</v>
      </c>
      <c r="C215">
        <v>4</v>
      </c>
      <c r="D215">
        <v>3</v>
      </c>
      <c r="E215" s="1">
        <v>163</v>
      </c>
      <c r="F215" s="3">
        <v>650000</v>
      </c>
      <c r="G215" s="2">
        <f t="shared" si="6"/>
        <v>3987.7300613496932</v>
      </c>
      <c r="H215" s="2">
        <f t="shared" si="7"/>
        <v>650000</v>
      </c>
      <c r="I215" t="s">
        <v>771</v>
      </c>
      <c r="J215" t="s">
        <v>772</v>
      </c>
      <c r="K215" t="s">
        <v>2218</v>
      </c>
      <c r="L215" t="s">
        <v>773</v>
      </c>
      <c r="M215" t="s">
        <v>16</v>
      </c>
      <c r="N215" t="s">
        <v>2242</v>
      </c>
    </row>
    <row r="216" spans="1:14" hidden="1" x14ac:dyDescent="0.35">
      <c r="A216" t="s">
        <v>778</v>
      </c>
      <c r="B216" t="s">
        <v>66</v>
      </c>
      <c r="C216">
        <v>3</v>
      </c>
      <c r="D216">
        <v>3</v>
      </c>
      <c r="E216" s="1">
        <v>184</v>
      </c>
      <c r="F216" s="3">
        <v>650000</v>
      </c>
      <c r="G216" s="2">
        <f t="shared" si="6"/>
        <v>3532.608695652174</v>
      </c>
      <c r="H216" s="2">
        <f t="shared" si="7"/>
        <v>650000</v>
      </c>
      <c r="I216" t="s">
        <v>779</v>
      </c>
      <c r="J216" t="s">
        <v>154</v>
      </c>
      <c r="K216" t="s">
        <v>2218</v>
      </c>
      <c r="L216" t="s">
        <v>155</v>
      </c>
      <c r="M216" t="s">
        <v>16</v>
      </c>
      <c r="N216" t="s">
        <v>50</v>
      </c>
    </row>
    <row r="217" spans="1:14" hidden="1" x14ac:dyDescent="0.35">
      <c r="A217" t="s">
        <v>988</v>
      </c>
      <c r="B217" t="s">
        <v>66</v>
      </c>
      <c r="C217">
        <v>3</v>
      </c>
      <c r="D217">
        <v>3</v>
      </c>
      <c r="E217" s="1">
        <v>184</v>
      </c>
      <c r="F217" s="3">
        <v>650000</v>
      </c>
      <c r="G217" s="2">
        <f t="shared" si="6"/>
        <v>3532.608695652174</v>
      </c>
      <c r="H217" s="2">
        <f t="shared" si="7"/>
        <v>650000</v>
      </c>
      <c r="I217" t="s">
        <v>989</v>
      </c>
      <c r="J217" t="s">
        <v>154</v>
      </c>
      <c r="K217" t="s">
        <v>2218</v>
      </c>
      <c r="L217" t="s">
        <v>155</v>
      </c>
      <c r="M217" t="s">
        <v>16</v>
      </c>
      <c r="N217" t="s">
        <v>50</v>
      </c>
    </row>
    <row r="218" spans="1:14" hidden="1" x14ac:dyDescent="0.35">
      <c r="A218" t="s">
        <v>1134</v>
      </c>
      <c r="B218" t="s">
        <v>12</v>
      </c>
      <c r="C218">
        <v>6</v>
      </c>
      <c r="D218">
        <v>3</v>
      </c>
      <c r="E218" s="1">
        <v>174</v>
      </c>
      <c r="F218" s="3">
        <v>650000</v>
      </c>
      <c r="G218" s="2">
        <f t="shared" si="6"/>
        <v>3735.632183908046</v>
      </c>
      <c r="H218" s="2">
        <f t="shared" si="7"/>
        <v>650000</v>
      </c>
      <c r="I218" t="s">
        <v>1135</v>
      </c>
      <c r="J218" t="s">
        <v>218</v>
      </c>
      <c r="K218" t="s">
        <v>2215</v>
      </c>
      <c r="L218" t="s">
        <v>219</v>
      </c>
      <c r="M218" t="s">
        <v>16</v>
      </c>
      <c r="N218" t="s">
        <v>624</v>
      </c>
    </row>
    <row r="219" spans="1:14" hidden="1" x14ac:dyDescent="0.35">
      <c r="A219" t="s">
        <v>1260</v>
      </c>
      <c r="B219" t="s">
        <v>66</v>
      </c>
      <c r="C219">
        <v>3</v>
      </c>
      <c r="D219">
        <v>3</v>
      </c>
      <c r="E219" s="1">
        <v>750</v>
      </c>
      <c r="F219" s="3">
        <v>650000</v>
      </c>
      <c r="G219" s="2">
        <f t="shared" si="6"/>
        <v>866.66666666666663</v>
      </c>
      <c r="H219" s="2">
        <f t="shared" si="7"/>
        <v>650000</v>
      </c>
      <c r="I219" t="s">
        <v>1261</v>
      </c>
      <c r="J219" t="s">
        <v>93</v>
      </c>
      <c r="K219" t="s">
        <v>2217</v>
      </c>
      <c r="L219" t="s">
        <v>94</v>
      </c>
      <c r="M219" t="s">
        <v>16</v>
      </c>
      <c r="N219" t="s">
        <v>2242</v>
      </c>
    </row>
    <row r="220" spans="1:14" hidden="1" x14ac:dyDescent="0.35">
      <c r="A220" t="s">
        <v>1340</v>
      </c>
      <c r="B220" t="s">
        <v>66</v>
      </c>
      <c r="C220">
        <v>3</v>
      </c>
      <c r="D220">
        <v>3</v>
      </c>
      <c r="E220" s="1">
        <v>150</v>
      </c>
      <c r="F220" s="3">
        <v>650000</v>
      </c>
      <c r="G220" s="2">
        <f t="shared" si="6"/>
        <v>4333.333333333333</v>
      </c>
      <c r="H220" s="2">
        <f t="shared" si="7"/>
        <v>650000</v>
      </c>
      <c r="I220" t="s">
        <v>623</v>
      </c>
      <c r="J220" t="s">
        <v>73</v>
      </c>
      <c r="K220" t="s">
        <v>2218</v>
      </c>
      <c r="L220" t="s">
        <v>74</v>
      </c>
      <c r="M220" t="s">
        <v>16</v>
      </c>
      <c r="N220" t="s">
        <v>2242</v>
      </c>
    </row>
    <row r="221" spans="1:14" hidden="1" x14ac:dyDescent="0.35">
      <c r="A221" t="s">
        <v>1481</v>
      </c>
      <c r="B221" t="s">
        <v>66</v>
      </c>
      <c r="C221">
        <v>6</v>
      </c>
      <c r="D221">
        <v>4</v>
      </c>
      <c r="E221" s="1">
        <v>219</v>
      </c>
      <c r="F221" s="3">
        <v>650000</v>
      </c>
      <c r="G221" s="2">
        <f t="shared" si="6"/>
        <v>2968.0365296803652</v>
      </c>
      <c r="H221" s="2">
        <f t="shared" si="7"/>
        <v>650000</v>
      </c>
      <c r="I221" t="s">
        <v>323</v>
      </c>
      <c r="J221" t="s">
        <v>141</v>
      </c>
      <c r="K221" t="s">
        <v>2215</v>
      </c>
      <c r="L221" t="s">
        <v>142</v>
      </c>
      <c r="M221" t="s">
        <v>16</v>
      </c>
      <c r="N221" t="s">
        <v>948</v>
      </c>
    </row>
    <row r="222" spans="1:14" hidden="1" x14ac:dyDescent="0.35">
      <c r="A222" t="s">
        <v>1495</v>
      </c>
      <c r="B222" t="s">
        <v>251</v>
      </c>
      <c r="C222">
        <v>2</v>
      </c>
      <c r="D222">
        <v>2</v>
      </c>
      <c r="E222" s="1">
        <v>900</v>
      </c>
      <c r="F222" s="3">
        <v>650000</v>
      </c>
      <c r="G222" s="2">
        <f t="shared" si="6"/>
        <v>722.22222222222217</v>
      </c>
      <c r="H222" s="2">
        <f t="shared" si="7"/>
        <v>650000</v>
      </c>
      <c r="I222" t="s">
        <v>1496</v>
      </c>
      <c r="J222" t="s">
        <v>105</v>
      </c>
      <c r="K222" t="s">
        <v>2215</v>
      </c>
      <c r="L222" t="s">
        <v>106</v>
      </c>
      <c r="M222" t="s">
        <v>16</v>
      </c>
      <c r="N222" t="s">
        <v>2242</v>
      </c>
    </row>
    <row r="223" spans="1:14" hidden="1" x14ac:dyDescent="0.35">
      <c r="A223" t="s">
        <v>1764</v>
      </c>
      <c r="B223" t="s">
        <v>66</v>
      </c>
      <c r="C223">
        <v>4</v>
      </c>
      <c r="D223">
        <v>3</v>
      </c>
      <c r="E223" s="1">
        <v>125</v>
      </c>
      <c r="F223" s="3">
        <v>650000</v>
      </c>
      <c r="G223" s="2">
        <f t="shared" si="6"/>
        <v>5200</v>
      </c>
      <c r="H223" s="2">
        <f t="shared" si="7"/>
        <v>650000</v>
      </c>
      <c r="I223" t="s">
        <v>1765</v>
      </c>
      <c r="J223" t="s">
        <v>68</v>
      </c>
      <c r="K223" t="s">
        <v>2218</v>
      </c>
      <c r="L223" t="s">
        <v>69</v>
      </c>
      <c r="M223" t="s">
        <v>16</v>
      </c>
      <c r="N223" t="s">
        <v>426</v>
      </c>
    </row>
    <row r="224" spans="1:14" hidden="1" x14ac:dyDescent="0.35">
      <c r="A224" t="s">
        <v>1939</v>
      </c>
      <c r="B224" t="s">
        <v>66</v>
      </c>
      <c r="C224">
        <v>3</v>
      </c>
      <c r="D224">
        <v>3</v>
      </c>
      <c r="E224" s="1">
        <v>150</v>
      </c>
      <c r="F224" s="3">
        <v>650000</v>
      </c>
      <c r="G224" s="2">
        <f t="shared" si="6"/>
        <v>4333.333333333333</v>
      </c>
      <c r="H224" s="2">
        <f t="shared" si="7"/>
        <v>650000</v>
      </c>
      <c r="I224" t="s">
        <v>623</v>
      </c>
      <c r="J224" t="s">
        <v>73</v>
      </c>
      <c r="K224" t="s">
        <v>2218</v>
      </c>
      <c r="L224" t="s">
        <v>74</v>
      </c>
      <c r="M224" t="s">
        <v>16</v>
      </c>
      <c r="N224" t="s">
        <v>50</v>
      </c>
    </row>
    <row r="225" spans="1:14" hidden="1" x14ac:dyDescent="0.35">
      <c r="A225" t="s">
        <v>2089</v>
      </c>
      <c r="B225" t="s">
        <v>66</v>
      </c>
      <c r="C225">
        <v>3</v>
      </c>
      <c r="D225">
        <v>2</v>
      </c>
      <c r="E225" s="1">
        <v>219</v>
      </c>
      <c r="F225" s="3">
        <v>650000</v>
      </c>
      <c r="G225" s="2">
        <f t="shared" si="6"/>
        <v>2968.0365296803652</v>
      </c>
      <c r="H225" s="2">
        <f t="shared" si="7"/>
        <v>650000</v>
      </c>
      <c r="I225" t="s">
        <v>323</v>
      </c>
      <c r="J225" t="s">
        <v>141</v>
      </c>
      <c r="K225" t="s">
        <v>2215</v>
      </c>
      <c r="L225" t="s">
        <v>142</v>
      </c>
      <c r="M225" t="s">
        <v>16</v>
      </c>
      <c r="N225" t="s">
        <v>948</v>
      </c>
    </row>
    <row r="226" spans="1:14" hidden="1" x14ac:dyDescent="0.35">
      <c r="A226" t="s">
        <v>718</v>
      </c>
      <c r="B226" t="s">
        <v>12</v>
      </c>
      <c r="C226">
        <v>3</v>
      </c>
      <c r="D226">
        <v>3</v>
      </c>
      <c r="E226" s="1">
        <v>342</v>
      </c>
      <c r="F226" s="3">
        <v>654000</v>
      </c>
      <c r="G226" s="2">
        <f t="shared" si="6"/>
        <v>1912.280701754386</v>
      </c>
      <c r="H226" s="2">
        <f t="shared" si="7"/>
        <v>654000</v>
      </c>
      <c r="I226" t="s">
        <v>719</v>
      </c>
      <c r="J226" t="s">
        <v>586</v>
      </c>
      <c r="K226" t="s">
        <v>2219</v>
      </c>
      <c r="L226" t="s">
        <v>587</v>
      </c>
      <c r="M226" t="s">
        <v>16</v>
      </c>
      <c r="N226" t="s">
        <v>2242</v>
      </c>
    </row>
    <row r="227" spans="1:14" hidden="1" x14ac:dyDescent="0.35">
      <c r="A227" t="s">
        <v>1085</v>
      </c>
      <c r="B227" t="s">
        <v>66</v>
      </c>
      <c r="C227">
        <v>3</v>
      </c>
      <c r="D227">
        <v>4</v>
      </c>
      <c r="E227" s="1">
        <v>177</v>
      </c>
      <c r="F227" s="3">
        <v>655159</v>
      </c>
      <c r="G227" s="2">
        <f t="shared" si="6"/>
        <v>3701.463276836158</v>
      </c>
      <c r="H227" s="2">
        <f t="shared" si="7"/>
        <v>655159</v>
      </c>
      <c r="I227" t="s">
        <v>657</v>
      </c>
      <c r="J227" t="s">
        <v>154</v>
      </c>
      <c r="K227" t="s">
        <v>2218</v>
      </c>
      <c r="L227" t="s">
        <v>155</v>
      </c>
      <c r="M227" t="s">
        <v>16</v>
      </c>
      <c r="N227" t="s">
        <v>415</v>
      </c>
    </row>
    <row r="228" spans="1:14" hidden="1" x14ac:dyDescent="0.35">
      <c r="A228" t="s">
        <v>78</v>
      </c>
      <c r="B228" t="s">
        <v>12</v>
      </c>
      <c r="C228">
        <v>3</v>
      </c>
      <c r="D228">
        <v>3</v>
      </c>
      <c r="E228" s="1">
        <v>202</v>
      </c>
      <c r="F228" s="3">
        <v>660000</v>
      </c>
      <c r="G228" s="2">
        <f t="shared" si="6"/>
        <v>3267.3267326732675</v>
      </c>
      <c r="H228" s="2">
        <f t="shared" si="7"/>
        <v>660000</v>
      </c>
      <c r="I228" t="s">
        <v>79</v>
      </c>
      <c r="J228" t="s">
        <v>80</v>
      </c>
      <c r="K228" t="s">
        <v>2215</v>
      </c>
      <c r="L228" t="s">
        <v>81</v>
      </c>
      <c r="M228" t="s">
        <v>16</v>
      </c>
      <c r="N228" t="s">
        <v>2242</v>
      </c>
    </row>
    <row r="229" spans="1:14" hidden="1" x14ac:dyDescent="0.35">
      <c r="A229" t="s">
        <v>1060</v>
      </c>
      <c r="B229" t="s">
        <v>66</v>
      </c>
      <c r="C229">
        <v>3</v>
      </c>
      <c r="D229">
        <v>2</v>
      </c>
      <c r="E229" s="1">
        <v>124</v>
      </c>
      <c r="F229" s="3">
        <v>660000</v>
      </c>
      <c r="G229" s="2">
        <f t="shared" si="6"/>
        <v>5322.5806451612907</v>
      </c>
      <c r="H229" s="2">
        <f t="shared" si="7"/>
        <v>660000</v>
      </c>
      <c r="I229" t="s">
        <v>1061</v>
      </c>
      <c r="J229" t="s">
        <v>68</v>
      </c>
      <c r="K229" t="s">
        <v>2218</v>
      </c>
      <c r="L229" t="s">
        <v>69</v>
      </c>
      <c r="M229" t="s">
        <v>16</v>
      </c>
      <c r="N229" t="s">
        <v>2242</v>
      </c>
    </row>
    <row r="230" spans="1:14" hidden="1" x14ac:dyDescent="0.35">
      <c r="A230" t="s">
        <v>1484</v>
      </c>
      <c r="B230" t="s">
        <v>12</v>
      </c>
      <c r="C230">
        <v>3</v>
      </c>
      <c r="D230">
        <v>3</v>
      </c>
      <c r="E230" s="1">
        <v>202</v>
      </c>
      <c r="F230" s="3">
        <v>660000</v>
      </c>
      <c r="G230" s="2">
        <f t="shared" si="6"/>
        <v>3267.3267326732675</v>
      </c>
      <c r="H230" s="2">
        <f t="shared" si="7"/>
        <v>660000</v>
      </c>
      <c r="I230" t="s">
        <v>1485</v>
      </c>
      <c r="J230" t="s">
        <v>80</v>
      </c>
      <c r="K230" t="s">
        <v>2215</v>
      </c>
      <c r="L230" t="s">
        <v>81</v>
      </c>
      <c r="M230" t="s">
        <v>16</v>
      </c>
      <c r="N230" t="s">
        <v>2242</v>
      </c>
    </row>
    <row r="231" spans="1:14" hidden="1" x14ac:dyDescent="0.35">
      <c r="A231" t="s">
        <v>1673</v>
      </c>
      <c r="B231" t="s">
        <v>12</v>
      </c>
      <c r="C231">
        <v>3</v>
      </c>
      <c r="D231">
        <v>4</v>
      </c>
      <c r="E231" s="1">
        <v>202</v>
      </c>
      <c r="F231" s="3">
        <v>660000</v>
      </c>
      <c r="G231" s="2">
        <f t="shared" si="6"/>
        <v>3267.3267326732675</v>
      </c>
      <c r="H231" s="2">
        <f t="shared" si="7"/>
        <v>660000</v>
      </c>
      <c r="I231" t="s">
        <v>1674</v>
      </c>
      <c r="J231" t="s">
        <v>80</v>
      </c>
      <c r="K231" t="s">
        <v>2215</v>
      </c>
      <c r="L231" t="s">
        <v>81</v>
      </c>
      <c r="M231" t="s">
        <v>16</v>
      </c>
      <c r="N231" t="s">
        <v>2242</v>
      </c>
    </row>
    <row r="232" spans="1:14" hidden="1" x14ac:dyDescent="0.35">
      <c r="A232" t="s">
        <v>1782</v>
      </c>
      <c r="B232" t="s">
        <v>12</v>
      </c>
      <c r="C232">
        <v>3</v>
      </c>
      <c r="D232">
        <v>5</v>
      </c>
      <c r="E232" s="1">
        <v>202</v>
      </c>
      <c r="F232" s="3">
        <v>660000</v>
      </c>
      <c r="G232" s="2">
        <f t="shared" si="6"/>
        <v>3267.3267326732675</v>
      </c>
      <c r="H232" s="2">
        <f t="shared" si="7"/>
        <v>660000</v>
      </c>
      <c r="I232" t="s">
        <v>1783</v>
      </c>
      <c r="J232" t="s">
        <v>80</v>
      </c>
      <c r="K232" t="s">
        <v>2215</v>
      </c>
      <c r="L232" t="s">
        <v>81</v>
      </c>
      <c r="M232" t="s">
        <v>16</v>
      </c>
      <c r="N232" t="s">
        <v>2242</v>
      </c>
    </row>
    <row r="233" spans="1:14" hidden="1" x14ac:dyDescent="0.35">
      <c r="A233" t="s">
        <v>1784</v>
      </c>
      <c r="B233" t="s">
        <v>12</v>
      </c>
      <c r="C233">
        <v>3</v>
      </c>
      <c r="D233">
        <v>5</v>
      </c>
      <c r="E233" s="1">
        <v>202</v>
      </c>
      <c r="F233" s="3">
        <v>660000</v>
      </c>
      <c r="G233" s="2">
        <f t="shared" si="6"/>
        <v>3267.3267326732675</v>
      </c>
      <c r="H233" s="2">
        <f t="shared" si="7"/>
        <v>660000</v>
      </c>
      <c r="I233" t="s">
        <v>1785</v>
      </c>
      <c r="J233" t="s">
        <v>80</v>
      </c>
      <c r="K233" t="s">
        <v>2215</v>
      </c>
      <c r="L233" t="s">
        <v>81</v>
      </c>
      <c r="M233" t="s">
        <v>16</v>
      </c>
      <c r="N233" t="s">
        <v>2242</v>
      </c>
    </row>
    <row r="234" spans="1:14" hidden="1" x14ac:dyDescent="0.35">
      <c r="A234" t="s">
        <v>1786</v>
      </c>
      <c r="B234" t="s">
        <v>12</v>
      </c>
      <c r="C234">
        <v>3</v>
      </c>
      <c r="D234">
        <v>5</v>
      </c>
      <c r="E234" s="1">
        <v>202</v>
      </c>
      <c r="F234" s="3">
        <v>660000</v>
      </c>
      <c r="G234" s="2">
        <f t="shared" si="6"/>
        <v>3267.3267326732675</v>
      </c>
      <c r="H234" s="2">
        <f t="shared" si="7"/>
        <v>660000</v>
      </c>
      <c r="I234" t="s">
        <v>1787</v>
      </c>
      <c r="J234" t="s">
        <v>80</v>
      </c>
      <c r="K234" t="s">
        <v>2215</v>
      </c>
      <c r="L234" t="s">
        <v>81</v>
      </c>
      <c r="M234" t="s">
        <v>16</v>
      </c>
      <c r="N234" t="s">
        <v>2242</v>
      </c>
    </row>
    <row r="235" spans="1:14" hidden="1" x14ac:dyDescent="0.35">
      <c r="A235" t="s">
        <v>1788</v>
      </c>
      <c r="B235" t="s">
        <v>12</v>
      </c>
      <c r="C235">
        <v>3</v>
      </c>
      <c r="D235">
        <v>5</v>
      </c>
      <c r="E235" s="1">
        <v>202</v>
      </c>
      <c r="F235" s="3">
        <v>660000</v>
      </c>
      <c r="G235" s="2">
        <f t="shared" si="6"/>
        <v>3267.3267326732675</v>
      </c>
      <c r="H235" s="2">
        <f t="shared" si="7"/>
        <v>660000</v>
      </c>
      <c r="I235" t="s">
        <v>1789</v>
      </c>
      <c r="J235" t="s">
        <v>80</v>
      </c>
      <c r="K235" t="s">
        <v>2215</v>
      </c>
      <c r="L235" t="s">
        <v>81</v>
      </c>
      <c r="M235" t="s">
        <v>16</v>
      </c>
      <c r="N235" t="s">
        <v>2242</v>
      </c>
    </row>
    <row r="236" spans="1:14" hidden="1" x14ac:dyDescent="0.35">
      <c r="A236" t="s">
        <v>1836</v>
      </c>
      <c r="B236" t="s">
        <v>1033</v>
      </c>
      <c r="C236">
        <v>0</v>
      </c>
      <c r="D236">
        <v>0</v>
      </c>
      <c r="E236" s="1">
        <v>300</v>
      </c>
      <c r="F236" s="3">
        <v>660000</v>
      </c>
      <c r="G236" s="2">
        <f t="shared" si="6"/>
        <v>2200</v>
      </c>
      <c r="H236" s="2">
        <f t="shared" si="7"/>
        <v>660000</v>
      </c>
      <c r="I236" t="s">
        <v>1837</v>
      </c>
      <c r="J236" t="s">
        <v>1838</v>
      </c>
      <c r="K236" t="s">
        <v>2217</v>
      </c>
      <c r="L236" t="s">
        <v>1839</v>
      </c>
      <c r="M236" t="s">
        <v>16</v>
      </c>
      <c r="N236" t="s">
        <v>1840</v>
      </c>
    </row>
    <row r="237" spans="1:14" hidden="1" x14ac:dyDescent="0.35">
      <c r="A237" t="s">
        <v>1850</v>
      </c>
      <c r="B237" t="s">
        <v>1033</v>
      </c>
      <c r="C237">
        <v>0</v>
      </c>
      <c r="D237">
        <v>0</v>
      </c>
      <c r="E237" s="1">
        <v>300</v>
      </c>
      <c r="F237" s="3">
        <v>660000</v>
      </c>
      <c r="G237" s="2">
        <f t="shared" si="6"/>
        <v>2200</v>
      </c>
      <c r="H237" s="2">
        <f t="shared" si="7"/>
        <v>660000</v>
      </c>
      <c r="I237" t="s">
        <v>1851</v>
      </c>
      <c r="J237" t="s">
        <v>1852</v>
      </c>
      <c r="K237" t="s">
        <v>2217</v>
      </c>
      <c r="L237" t="s">
        <v>1853</v>
      </c>
      <c r="M237" t="s">
        <v>16</v>
      </c>
      <c r="N237" t="s">
        <v>1854</v>
      </c>
    </row>
    <row r="238" spans="1:14" hidden="1" x14ac:dyDescent="0.35">
      <c r="A238" t="s">
        <v>293</v>
      </c>
      <c r="B238" t="s">
        <v>66</v>
      </c>
      <c r="C238">
        <v>3</v>
      </c>
      <c r="D238">
        <v>2</v>
      </c>
      <c r="E238" s="1">
        <v>175</v>
      </c>
      <c r="F238" s="3">
        <v>663400</v>
      </c>
      <c r="G238" s="2">
        <f t="shared" si="6"/>
        <v>3790.8571428571427</v>
      </c>
      <c r="H238" s="2">
        <f t="shared" si="7"/>
        <v>663400</v>
      </c>
      <c r="I238" t="s">
        <v>2239</v>
      </c>
      <c r="J238" t="s">
        <v>154</v>
      </c>
      <c r="K238" t="s">
        <v>2218</v>
      </c>
      <c r="L238" t="s">
        <v>155</v>
      </c>
      <c r="M238" t="s">
        <v>16</v>
      </c>
      <c r="N238" t="s">
        <v>2242</v>
      </c>
    </row>
    <row r="239" spans="1:14" hidden="1" x14ac:dyDescent="0.35">
      <c r="A239" t="s">
        <v>960</v>
      </c>
      <c r="B239" t="s">
        <v>66</v>
      </c>
      <c r="C239">
        <v>3</v>
      </c>
      <c r="D239">
        <v>3</v>
      </c>
      <c r="E239" s="1">
        <v>150</v>
      </c>
      <c r="F239" s="3">
        <v>670000</v>
      </c>
      <c r="G239" s="2">
        <f t="shared" si="6"/>
        <v>4466.666666666667</v>
      </c>
      <c r="H239" s="2">
        <f t="shared" si="7"/>
        <v>670000</v>
      </c>
      <c r="I239" t="s">
        <v>623</v>
      </c>
      <c r="J239" t="s">
        <v>73</v>
      </c>
      <c r="K239" t="s">
        <v>2218</v>
      </c>
      <c r="L239" t="s">
        <v>74</v>
      </c>
      <c r="M239" t="s">
        <v>16</v>
      </c>
      <c r="N239" t="s">
        <v>2242</v>
      </c>
    </row>
    <row r="240" spans="1:14" hidden="1" x14ac:dyDescent="0.35">
      <c r="A240" t="s">
        <v>1130</v>
      </c>
      <c r="B240" t="s">
        <v>66</v>
      </c>
      <c r="C240">
        <v>6</v>
      </c>
      <c r="D240">
        <v>4</v>
      </c>
      <c r="E240" s="1">
        <v>241</v>
      </c>
      <c r="F240" s="3">
        <v>670000</v>
      </c>
      <c r="G240" s="2">
        <f t="shared" si="6"/>
        <v>2780.0829875518671</v>
      </c>
      <c r="H240" s="2">
        <f t="shared" si="7"/>
        <v>670000</v>
      </c>
      <c r="I240" t="s">
        <v>1131</v>
      </c>
      <c r="J240" t="s">
        <v>14</v>
      </c>
      <c r="K240" t="s">
        <v>2215</v>
      </c>
      <c r="L240" t="s">
        <v>15</v>
      </c>
      <c r="M240" t="s">
        <v>16</v>
      </c>
      <c r="N240" t="s">
        <v>624</v>
      </c>
    </row>
    <row r="241" spans="1:14" hidden="1" x14ac:dyDescent="0.35">
      <c r="A241" t="s">
        <v>1163</v>
      </c>
      <c r="B241" t="s">
        <v>12</v>
      </c>
      <c r="C241">
        <v>3</v>
      </c>
      <c r="D241">
        <v>3</v>
      </c>
      <c r="E241" s="1">
        <v>224</v>
      </c>
      <c r="F241" s="3">
        <v>670000</v>
      </c>
      <c r="G241" s="2">
        <f t="shared" si="6"/>
        <v>2991.0714285714284</v>
      </c>
      <c r="H241" s="2">
        <f t="shared" si="7"/>
        <v>670000</v>
      </c>
      <c r="I241" t="s">
        <v>471</v>
      </c>
      <c r="J241" t="s">
        <v>14</v>
      </c>
      <c r="K241" t="s">
        <v>2215</v>
      </c>
      <c r="L241" t="s">
        <v>15</v>
      </c>
      <c r="M241" t="s">
        <v>16</v>
      </c>
      <c r="N241" t="s">
        <v>624</v>
      </c>
    </row>
    <row r="242" spans="1:14" hidden="1" x14ac:dyDescent="0.35">
      <c r="A242" t="s">
        <v>1196</v>
      </c>
      <c r="B242" t="s">
        <v>12</v>
      </c>
      <c r="C242">
        <v>0</v>
      </c>
      <c r="D242">
        <v>0</v>
      </c>
      <c r="E242" s="1">
        <v>143</v>
      </c>
      <c r="F242" s="3">
        <v>670000</v>
      </c>
      <c r="G242" s="2">
        <f t="shared" si="6"/>
        <v>4685.3146853146854</v>
      </c>
      <c r="H242" s="2">
        <f t="shared" si="7"/>
        <v>670000</v>
      </c>
      <c r="I242" t="s">
        <v>1197</v>
      </c>
      <c r="J242" t="s">
        <v>373</v>
      </c>
      <c r="K242" t="s">
        <v>2218</v>
      </c>
      <c r="L242" t="s">
        <v>374</v>
      </c>
      <c r="M242" t="s">
        <v>16</v>
      </c>
      <c r="N242" t="s">
        <v>1198</v>
      </c>
    </row>
    <row r="243" spans="1:14" hidden="1" x14ac:dyDescent="0.35">
      <c r="A243" t="s">
        <v>1199</v>
      </c>
      <c r="B243" t="s">
        <v>66</v>
      </c>
      <c r="C243">
        <v>3</v>
      </c>
      <c r="D243">
        <v>3</v>
      </c>
      <c r="E243" s="1">
        <v>150</v>
      </c>
      <c r="F243" s="3">
        <v>670000</v>
      </c>
      <c r="G243" s="2">
        <f t="shared" si="6"/>
        <v>4466.666666666667</v>
      </c>
      <c r="H243" s="2">
        <f t="shared" si="7"/>
        <v>670000</v>
      </c>
      <c r="I243" t="s">
        <v>623</v>
      </c>
      <c r="J243" t="s">
        <v>73</v>
      </c>
      <c r="K243" t="s">
        <v>2218</v>
      </c>
      <c r="L243" t="s">
        <v>74</v>
      </c>
      <c r="M243" t="s">
        <v>16</v>
      </c>
      <c r="N243" t="s">
        <v>50</v>
      </c>
    </row>
    <row r="244" spans="1:14" hidden="1" x14ac:dyDescent="0.35">
      <c r="A244" t="s">
        <v>1525</v>
      </c>
      <c r="B244" t="s">
        <v>66</v>
      </c>
      <c r="C244">
        <v>6</v>
      </c>
      <c r="D244">
        <v>4</v>
      </c>
      <c r="E244" s="1">
        <v>241</v>
      </c>
      <c r="F244" s="3">
        <v>670000</v>
      </c>
      <c r="G244" s="2">
        <f t="shared" si="6"/>
        <v>2780.0829875518671</v>
      </c>
      <c r="H244" s="2">
        <f t="shared" si="7"/>
        <v>670000</v>
      </c>
      <c r="I244" t="s">
        <v>1526</v>
      </c>
      <c r="J244" t="s">
        <v>14</v>
      </c>
      <c r="K244" t="s">
        <v>2215</v>
      </c>
      <c r="L244" t="s">
        <v>15</v>
      </c>
      <c r="M244" t="s">
        <v>16</v>
      </c>
      <c r="N244" t="s">
        <v>2242</v>
      </c>
    </row>
    <row r="245" spans="1:14" hidden="1" x14ac:dyDescent="0.35">
      <c r="A245" t="s">
        <v>1580</v>
      </c>
      <c r="B245" t="s">
        <v>66</v>
      </c>
      <c r="C245">
        <v>5</v>
      </c>
      <c r="D245">
        <v>4</v>
      </c>
      <c r="E245" s="1">
        <v>150</v>
      </c>
      <c r="F245" s="3">
        <v>670000</v>
      </c>
      <c r="G245" s="2">
        <f t="shared" si="6"/>
        <v>4466.666666666667</v>
      </c>
      <c r="H245" s="2">
        <f t="shared" si="7"/>
        <v>670000</v>
      </c>
      <c r="I245" t="s">
        <v>623</v>
      </c>
      <c r="J245" t="s">
        <v>73</v>
      </c>
      <c r="K245" t="s">
        <v>2218</v>
      </c>
      <c r="L245" t="s">
        <v>74</v>
      </c>
      <c r="M245" t="s">
        <v>16</v>
      </c>
      <c r="N245" t="s">
        <v>1579</v>
      </c>
    </row>
    <row r="246" spans="1:14" hidden="1" x14ac:dyDescent="0.35">
      <c r="A246" t="s">
        <v>1201</v>
      </c>
      <c r="B246" t="s">
        <v>66</v>
      </c>
      <c r="C246">
        <v>4</v>
      </c>
      <c r="D246">
        <v>4</v>
      </c>
      <c r="E246" s="1">
        <v>154</v>
      </c>
      <c r="F246" s="3">
        <v>679997</v>
      </c>
      <c r="G246" s="2">
        <f t="shared" si="6"/>
        <v>4415.5649350649346</v>
      </c>
      <c r="H246" s="2">
        <f t="shared" si="7"/>
        <v>679997</v>
      </c>
      <c r="I246" t="s">
        <v>1202</v>
      </c>
      <c r="J246" t="s">
        <v>686</v>
      </c>
      <c r="K246" t="s">
        <v>2218</v>
      </c>
      <c r="L246" t="s">
        <v>687</v>
      </c>
      <c r="M246" t="s">
        <v>16</v>
      </c>
      <c r="N246" t="s">
        <v>50</v>
      </c>
    </row>
    <row r="247" spans="1:14" hidden="1" x14ac:dyDescent="0.35">
      <c r="A247" t="s">
        <v>1524</v>
      </c>
      <c r="B247" t="s">
        <v>66</v>
      </c>
      <c r="C247">
        <v>4</v>
      </c>
      <c r="D247">
        <v>3</v>
      </c>
      <c r="E247" s="1">
        <v>154</v>
      </c>
      <c r="F247" s="3">
        <v>679997</v>
      </c>
      <c r="G247" s="2">
        <f t="shared" si="6"/>
        <v>4415.5649350649346</v>
      </c>
      <c r="H247" s="2">
        <f t="shared" si="7"/>
        <v>679997</v>
      </c>
      <c r="I247" t="s">
        <v>1202</v>
      </c>
      <c r="J247" t="s">
        <v>686</v>
      </c>
      <c r="K247" t="s">
        <v>2218</v>
      </c>
      <c r="L247" t="s">
        <v>687</v>
      </c>
      <c r="M247" t="s">
        <v>16</v>
      </c>
      <c r="N247" t="s">
        <v>2242</v>
      </c>
    </row>
    <row r="248" spans="1:14" hidden="1" x14ac:dyDescent="0.35">
      <c r="A248" t="s">
        <v>184</v>
      </c>
      <c r="B248" t="s">
        <v>12</v>
      </c>
      <c r="C248">
        <v>4</v>
      </c>
      <c r="D248">
        <v>4</v>
      </c>
      <c r="E248" s="1">
        <v>174</v>
      </c>
      <c r="F248" s="3">
        <v>680000</v>
      </c>
      <c r="G248" s="2">
        <f t="shared" si="6"/>
        <v>3908.0459770114944</v>
      </c>
      <c r="H248" s="2">
        <f t="shared" si="7"/>
        <v>680000</v>
      </c>
      <c r="I248" t="s">
        <v>185</v>
      </c>
      <c r="J248" t="s">
        <v>186</v>
      </c>
      <c r="K248" t="s">
        <v>2218</v>
      </c>
      <c r="L248" t="s">
        <v>187</v>
      </c>
      <c r="M248" t="s">
        <v>16</v>
      </c>
      <c r="N248" t="s">
        <v>2242</v>
      </c>
    </row>
    <row r="249" spans="1:14" hidden="1" x14ac:dyDescent="0.35">
      <c r="A249" t="s">
        <v>262</v>
      </c>
      <c r="B249" t="s">
        <v>66</v>
      </c>
      <c r="C249">
        <v>4</v>
      </c>
      <c r="D249">
        <v>3</v>
      </c>
      <c r="E249" s="1">
        <v>132</v>
      </c>
      <c r="F249" s="3">
        <v>680000</v>
      </c>
      <c r="G249" s="2">
        <f t="shared" si="6"/>
        <v>5151.515151515152</v>
      </c>
      <c r="H249" s="2">
        <f t="shared" si="7"/>
        <v>680000</v>
      </c>
      <c r="I249" t="s">
        <v>263</v>
      </c>
      <c r="J249" t="s">
        <v>264</v>
      </c>
      <c r="K249" t="s">
        <v>2217</v>
      </c>
      <c r="L249" t="s">
        <v>265</v>
      </c>
      <c r="M249" t="s">
        <v>16</v>
      </c>
      <c r="N249" t="s">
        <v>2242</v>
      </c>
    </row>
    <row r="250" spans="1:14" hidden="1" x14ac:dyDescent="0.35">
      <c r="A250" t="s">
        <v>308</v>
      </c>
      <c r="B250" t="s">
        <v>66</v>
      </c>
      <c r="C250">
        <v>3</v>
      </c>
      <c r="D250">
        <v>3</v>
      </c>
      <c r="E250" s="1">
        <v>136</v>
      </c>
      <c r="F250" s="3">
        <v>680000</v>
      </c>
      <c r="G250" s="2">
        <f t="shared" si="6"/>
        <v>5000</v>
      </c>
      <c r="H250" s="2">
        <f t="shared" si="7"/>
        <v>680000</v>
      </c>
      <c r="I250" t="s">
        <v>309</v>
      </c>
      <c r="J250" t="s">
        <v>264</v>
      </c>
      <c r="K250" t="s">
        <v>2217</v>
      </c>
      <c r="L250" t="s">
        <v>265</v>
      </c>
      <c r="M250" t="s">
        <v>16</v>
      </c>
      <c r="N250" t="s">
        <v>2242</v>
      </c>
    </row>
    <row r="251" spans="1:14" hidden="1" x14ac:dyDescent="0.35">
      <c r="A251" t="s">
        <v>375</v>
      </c>
      <c r="B251" t="s">
        <v>189</v>
      </c>
      <c r="C251">
        <v>4</v>
      </c>
      <c r="D251">
        <v>3</v>
      </c>
      <c r="E251" s="1">
        <v>137</v>
      </c>
      <c r="F251" s="3">
        <v>680000</v>
      </c>
      <c r="G251" s="2">
        <f t="shared" si="6"/>
        <v>4963.5036496350367</v>
      </c>
      <c r="H251" s="2">
        <f t="shared" si="7"/>
        <v>680000</v>
      </c>
      <c r="I251" t="s">
        <v>2240</v>
      </c>
      <c r="J251" t="s">
        <v>264</v>
      </c>
      <c r="K251" t="s">
        <v>2217</v>
      </c>
      <c r="L251" t="s">
        <v>265</v>
      </c>
      <c r="M251" t="s">
        <v>16</v>
      </c>
      <c r="N251" t="s">
        <v>376</v>
      </c>
    </row>
    <row r="252" spans="1:14" hidden="1" x14ac:dyDescent="0.35">
      <c r="A252" t="s">
        <v>424</v>
      </c>
      <c r="B252" t="s">
        <v>66</v>
      </c>
      <c r="C252">
        <v>3</v>
      </c>
      <c r="D252">
        <v>3</v>
      </c>
      <c r="E252" s="1">
        <v>132</v>
      </c>
      <c r="F252" s="3">
        <v>680000</v>
      </c>
      <c r="G252" s="2">
        <f t="shared" si="6"/>
        <v>5151.515151515152</v>
      </c>
      <c r="H252" s="2">
        <f t="shared" si="7"/>
        <v>680000</v>
      </c>
      <c r="I252" t="s">
        <v>309</v>
      </c>
      <c r="J252" t="s">
        <v>264</v>
      </c>
      <c r="K252" t="s">
        <v>2217</v>
      </c>
      <c r="L252" t="s">
        <v>265</v>
      </c>
      <c r="M252" t="s">
        <v>16</v>
      </c>
      <c r="N252" t="s">
        <v>2242</v>
      </c>
    </row>
    <row r="253" spans="1:14" hidden="1" x14ac:dyDescent="0.35">
      <c r="A253" t="s">
        <v>731</v>
      </c>
      <c r="B253" t="s">
        <v>12</v>
      </c>
      <c r="C253">
        <v>4</v>
      </c>
      <c r="D253">
        <v>3</v>
      </c>
      <c r="E253" s="1">
        <v>171</v>
      </c>
      <c r="F253" s="3">
        <v>680000</v>
      </c>
      <c r="G253" s="2">
        <f t="shared" si="6"/>
        <v>3976.6081871345027</v>
      </c>
      <c r="H253" s="2">
        <f t="shared" si="7"/>
        <v>680000</v>
      </c>
      <c r="I253" t="s">
        <v>576</v>
      </c>
      <c r="J253" t="s">
        <v>373</v>
      </c>
      <c r="K253" t="s">
        <v>2218</v>
      </c>
      <c r="L253" t="s">
        <v>374</v>
      </c>
      <c r="M253" t="s">
        <v>16</v>
      </c>
      <c r="N253" t="s">
        <v>730</v>
      </c>
    </row>
    <row r="254" spans="1:14" hidden="1" x14ac:dyDescent="0.35">
      <c r="A254" t="s">
        <v>1351</v>
      </c>
      <c r="B254" t="s">
        <v>66</v>
      </c>
      <c r="C254">
        <v>2</v>
      </c>
      <c r="D254">
        <v>3</v>
      </c>
      <c r="E254" s="1">
        <v>520</v>
      </c>
      <c r="F254" s="3">
        <v>680000</v>
      </c>
      <c r="G254" s="2">
        <f t="shared" si="6"/>
        <v>1307.6923076923076</v>
      </c>
      <c r="H254" s="2">
        <f t="shared" si="7"/>
        <v>680000</v>
      </c>
      <c r="I254" t="s">
        <v>2209</v>
      </c>
      <c r="J254" t="s">
        <v>871</v>
      </c>
      <c r="K254" t="s">
        <v>2217</v>
      </c>
      <c r="L254" t="s">
        <v>872</v>
      </c>
      <c r="M254" t="s">
        <v>16</v>
      </c>
      <c r="N254" t="s">
        <v>2242</v>
      </c>
    </row>
    <row r="255" spans="1:14" hidden="1" x14ac:dyDescent="0.35">
      <c r="A255" t="s">
        <v>1507</v>
      </c>
      <c r="B255" t="s">
        <v>66</v>
      </c>
      <c r="C255">
        <v>4</v>
      </c>
      <c r="D255">
        <v>4</v>
      </c>
      <c r="E255" s="1">
        <v>227</v>
      </c>
      <c r="F255" s="3">
        <v>680000</v>
      </c>
      <c r="G255" s="2">
        <f t="shared" si="6"/>
        <v>2995.5947136563877</v>
      </c>
      <c r="H255" s="2">
        <f t="shared" si="7"/>
        <v>680000</v>
      </c>
      <c r="I255" t="s">
        <v>138</v>
      </c>
      <c r="J255" t="s">
        <v>14</v>
      </c>
      <c r="K255" t="s">
        <v>2215</v>
      </c>
      <c r="L255" t="s">
        <v>15</v>
      </c>
      <c r="M255" t="s">
        <v>16</v>
      </c>
      <c r="N255" t="s">
        <v>624</v>
      </c>
    </row>
    <row r="256" spans="1:14" hidden="1" x14ac:dyDescent="0.35">
      <c r="A256" t="s">
        <v>1508</v>
      </c>
      <c r="B256" t="s">
        <v>66</v>
      </c>
      <c r="C256">
        <v>3</v>
      </c>
      <c r="D256">
        <v>4</v>
      </c>
      <c r="E256" s="1">
        <v>227</v>
      </c>
      <c r="F256" s="3">
        <v>680000</v>
      </c>
      <c r="G256" s="2">
        <f t="shared" si="6"/>
        <v>2995.5947136563877</v>
      </c>
      <c r="H256" s="2">
        <f t="shared" si="7"/>
        <v>680000</v>
      </c>
      <c r="I256" t="s">
        <v>138</v>
      </c>
      <c r="J256" t="s">
        <v>14</v>
      </c>
      <c r="K256" t="s">
        <v>2215</v>
      </c>
      <c r="L256" t="s">
        <v>15</v>
      </c>
      <c r="M256" t="s">
        <v>16</v>
      </c>
      <c r="N256" t="s">
        <v>624</v>
      </c>
    </row>
    <row r="257" spans="1:14" hidden="1" x14ac:dyDescent="0.35">
      <c r="A257" t="s">
        <v>1515</v>
      </c>
      <c r="B257" t="s">
        <v>66</v>
      </c>
      <c r="C257">
        <v>4</v>
      </c>
      <c r="D257">
        <v>2</v>
      </c>
      <c r="E257" s="1">
        <v>192</v>
      </c>
      <c r="F257" s="3">
        <v>680000</v>
      </c>
      <c r="G257" s="2">
        <f t="shared" si="6"/>
        <v>3541.6666666666665</v>
      </c>
      <c r="H257" s="2">
        <f t="shared" si="7"/>
        <v>680000</v>
      </c>
      <c r="I257" t="s">
        <v>1131</v>
      </c>
      <c r="J257" t="s">
        <v>14</v>
      </c>
      <c r="K257" t="s">
        <v>2215</v>
      </c>
      <c r="L257" t="s">
        <v>15</v>
      </c>
      <c r="M257" t="s">
        <v>16</v>
      </c>
      <c r="N257" t="s">
        <v>624</v>
      </c>
    </row>
    <row r="258" spans="1:14" hidden="1" x14ac:dyDescent="0.35">
      <c r="A258" t="s">
        <v>1516</v>
      </c>
      <c r="B258" t="s">
        <v>66</v>
      </c>
      <c r="C258">
        <v>6</v>
      </c>
      <c r="D258">
        <v>4</v>
      </c>
      <c r="E258" s="1">
        <v>193</v>
      </c>
      <c r="F258" s="3">
        <v>680000</v>
      </c>
      <c r="G258" s="2">
        <f t="shared" si="6"/>
        <v>3523.3160621761658</v>
      </c>
      <c r="H258" s="2">
        <f t="shared" si="7"/>
        <v>680000</v>
      </c>
      <c r="I258" t="s">
        <v>756</v>
      </c>
      <c r="J258" t="s">
        <v>14</v>
      </c>
      <c r="K258" t="s">
        <v>2215</v>
      </c>
      <c r="L258" t="s">
        <v>15</v>
      </c>
      <c r="M258" t="s">
        <v>16</v>
      </c>
      <c r="N258" t="s">
        <v>624</v>
      </c>
    </row>
    <row r="259" spans="1:14" hidden="1" x14ac:dyDescent="0.35">
      <c r="A259" t="s">
        <v>1181</v>
      </c>
      <c r="B259" t="s">
        <v>66</v>
      </c>
      <c r="C259">
        <v>3</v>
      </c>
      <c r="D259">
        <v>3</v>
      </c>
      <c r="E259" s="1">
        <v>181</v>
      </c>
      <c r="F259" s="3">
        <v>685000</v>
      </c>
      <c r="G259" s="2">
        <f t="shared" si="6"/>
        <v>3784.5303867403313</v>
      </c>
      <c r="H259" s="2">
        <f t="shared" si="7"/>
        <v>685000</v>
      </c>
      <c r="I259" t="s">
        <v>1182</v>
      </c>
      <c r="J259" t="s">
        <v>73</v>
      </c>
      <c r="K259" t="s">
        <v>2218</v>
      </c>
      <c r="L259" t="s">
        <v>74</v>
      </c>
      <c r="M259" t="s">
        <v>16</v>
      </c>
      <c r="N259" t="s">
        <v>2242</v>
      </c>
    </row>
    <row r="260" spans="1:14" hidden="1" x14ac:dyDescent="0.35">
      <c r="A260" t="s">
        <v>1299</v>
      </c>
      <c r="B260" t="s">
        <v>66</v>
      </c>
      <c r="C260">
        <v>3</v>
      </c>
      <c r="D260">
        <v>3</v>
      </c>
      <c r="E260" s="1">
        <v>180</v>
      </c>
      <c r="F260" s="3">
        <v>685000</v>
      </c>
      <c r="G260" s="2">
        <f t="shared" si="6"/>
        <v>3805.5555555555557</v>
      </c>
      <c r="H260" s="2">
        <f t="shared" si="7"/>
        <v>685000</v>
      </c>
      <c r="I260" t="s">
        <v>623</v>
      </c>
      <c r="J260" t="s">
        <v>73</v>
      </c>
      <c r="K260" t="s">
        <v>2218</v>
      </c>
      <c r="L260" t="s">
        <v>74</v>
      </c>
      <c r="M260" t="s">
        <v>16</v>
      </c>
      <c r="N260" t="s">
        <v>50</v>
      </c>
    </row>
    <row r="261" spans="1:14" hidden="1" x14ac:dyDescent="0.35">
      <c r="A261" t="s">
        <v>1722</v>
      </c>
      <c r="B261" t="s">
        <v>66</v>
      </c>
      <c r="C261">
        <v>3</v>
      </c>
      <c r="D261">
        <v>3</v>
      </c>
      <c r="E261" s="1">
        <v>180</v>
      </c>
      <c r="F261" s="3">
        <v>685000</v>
      </c>
      <c r="G261" s="2">
        <f t="shared" ref="G261:G324" si="8">IF(F261&lt;50000,F261,F261/E261)</f>
        <v>3805.5555555555557</v>
      </c>
      <c r="H261" s="2">
        <f t="shared" ref="H261:H324" si="9">IF(F261&lt;50000,E261*F261,F261)</f>
        <v>685000</v>
      </c>
      <c r="I261" t="s">
        <v>623</v>
      </c>
      <c r="J261" t="s">
        <v>73</v>
      </c>
      <c r="K261" t="s">
        <v>2218</v>
      </c>
      <c r="L261" t="s">
        <v>74</v>
      </c>
      <c r="M261" t="s">
        <v>16</v>
      </c>
      <c r="N261" t="s">
        <v>50</v>
      </c>
    </row>
    <row r="262" spans="1:14" hidden="1" x14ac:dyDescent="0.35">
      <c r="A262" t="s">
        <v>1758</v>
      </c>
      <c r="B262" t="s">
        <v>66</v>
      </c>
      <c r="C262">
        <v>3</v>
      </c>
      <c r="D262">
        <v>3</v>
      </c>
      <c r="E262" s="1">
        <v>180</v>
      </c>
      <c r="F262" s="3">
        <v>685000</v>
      </c>
      <c r="G262" s="2">
        <f t="shared" si="8"/>
        <v>3805.5555555555557</v>
      </c>
      <c r="H262" s="2">
        <f t="shared" si="9"/>
        <v>685000</v>
      </c>
      <c r="I262" t="s">
        <v>623</v>
      </c>
      <c r="J262" t="s">
        <v>73</v>
      </c>
      <c r="K262" t="s">
        <v>2218</v>
      </c>
      <c r="L262" t="s">
        <v>74</v>
      </c>
      <c r="M262" t="s">
        <v>16</v>
      </c>
      <c r="N262" t="s">
        <v>50</v>
      </c>
    </row>
    <row r="263" spans="1:14" hidden="1" x14ac:dyDescent="0.35">
      <c r="A263" t="s">
        <v>1045</v>
      </c>
      <c r="B263" t="s">
        <v>66</v>
      </c>
      <c r="C263">
        <v>3</v>
      </c>
      <c r="D263">
        <v>3</v>
      </c>
      <c r="E263" s="1">
        <v>219</v>
      </c>
      <c r="F263" s="3">
        <v>690000</v>
      </c>
      <c r="G263" s="2">
        <f t="shared" si="8"/>
        <v>3150.6849315068494</v>
      </c>
      <c r="H263" s="2">
        <f t="shared" si="9"/>
        <v>690000</v>
      </c>
      <c r="I263" t="s">
        <v>1046</v>
      </c>
      <c r="J263" t="s">
        <v>430</v>
      </c>
      <c r="K263" t="s">
        <v>2215</v>
      </c>
      <c r="L263" t="s">
        <v>431</v>
      </c>
      <c r="M263" t="s">
        <v>16</v>
      </c>
      <c r="N263" t="s">
        <v>50</v>
      </c>
    </row>
    <row r="264" spans="1:14" hidden="1" x14ac:dyDescent="0.35">
      <c r="A264" t="s">
        <v>1136</v>
      </c>
      <c r="B264" t="s">
        <v>66</v>
      </c>
      <c r="C264">
        <v>3</v>
      </c>
      <c r="D264">
        <v>3</v>
      </c>
      <c r="E264" s="1">
        <v>177</v>
      </c>
      <c r="F264" s="3">
        <v>690000</v>
      </c>
      <c r="G264" s="2">
        <f t="shared" si="8"/>
        <v>3898.3050847457625</v>
      </c>
      <c r="H264" s="2">
        <f t="shared" si="9"/>
        <v>690000</v>
      </c>
      <c r="I264" t="s">
        <v>138</v>
      </c>
      <c r="J264" t="s">
        <v>14</v>
      </c>
      <c r="K264" t="s">
        <v>2215</v>
      </c>
      <c r="L264" t="s">
        <v>15</v>
      </c>
      <c r="M264" t="s">
        <v>16</v>
      </c>
      <c r="N264" t="s">
        <v>50</v>
      </c>
    </row>
    <row r="265" spans="1:14" hidden="1" x14ac:dyDescent="0.35">
      <c r="A265" t="s">
        <v>1204</v>
      </c>
      <c r="B265" t="s">
        <v>66</v>
      </c>
      <c r="C265">
        <v>3</v>
      </c>
      <c r="D265">
        <v>3</v>
      </c>
      <c r="E265" s="1">
        <v>219</v>
      </c>
      <c r="F265" s="3">
        <v>690000</v>
      </c>
      <c r="G265" s="2">
        <f t="shared" si="8"/>
        <v>3150.6849315068494</v>
      </c>
      <c r="H265" s="2">
        <f t="shared" si="9"/>
        <v>690000</v>
      </c>
      <c r="I265" t="s">
        <v>1046</v>
      </c>
      <c r="J265" t="s">
        <v>430</v>
      </c>
      <c r="K265" t="s">
        <v>2215</v>
      </c>
      <c r="L265" t="s">
        <v>431</v>
      </c>
      <c r="M265" t="s">
        <v>16</v>
      </c>
      <c r="N265" t="s">
        <v>50</v>
      </c>
    </row>
    <row r="266" spans="1:14" hidden="1" x14ac:dyDescent="0.35">
      <c r="A266" t="s">
        <v>1272</v>
      </c>
      <c r="B266" t="s">
        <v>66</v>
      </c>
      <c r="C266">
        <v>4</v>
      </c>
      <c r="D266">
        <v>4</v>
      </c>
      <c r="E266" s="1">
        <v>177</v>
      </c>
      <c r="F266" s="3">
        <v>690000</v>
      </c>
      <c r="G266" s="2">
        <f t="shared" si="8"/>
        <v>3898.3050847457625</v>
      </c>
      <c r="H266" s="2">
        <f t="shared" si="9"/>
        <v>690000</v>
      </c>
      <c r="I266" t="s">
        <v>756</v>
      </c>
      <c r="J266" t="s">
        <v>14</v>
      </c>
      <c r="K266" t="s">
        <v>2215</v>
      </c>
      <c r="L266" t="s">
        <v>15</v>
      </c>
      <c r="M266" t="s">
        <v>16</v>
      </c>
      <c r="N266" t="s">
        <v>50</v>
      </c>
    </row>
    <row r="267" spans="1:14" hidden="1" x14ac:dyDescent="0.35">
      <c r="A267" t="s">
        <v>1277</v>
      </c>
      <c r="B267" t="s">
        <v>12</v>
      </c>
      <c r="C267">
        <v>3</v>
      </c>
      <c r="D267">
        <v>3</v>
      </c>
      <c r="E267" s="1">
        <v>639</v>
      </c>
      <c r="F267" s="3">
        <v>690000</v>
      </c>
      <c r="G267" s="2">
        <f t="shared" si="8"/>
        <v>1079.81220657277</v>
      </c>
      <c r="H267" s="2">
        <f t="shared" si="9"/>
        <v>690000</v>
      </c>
      <c r="I267" t="s">
        <v>1278</v>
      </c>
      <c r="J267" t="s">
        <v>141</v>
      </c>
      <c r="K267" t="s">
        <v>2215</v>
      </c>
      <c r="L267" t="s">
        <v>142</v>
      </c>
      <c r="M267" t="s">
        <v>16</v>
      </c>
      <c r="N267" t="s">
        <v>1279</v>
      </c>
    </row>
    <row r="268" spans="1:14" hidden="1" x14ac:dyDescent="0.35">
      <c r="A268" t="s">
        <v>1321</v>
      </c>
      <c r="B268" t="s">
        <v>12</v>
      </c>
      <c r="C268">
        <v>4</v>
      </c>
      <c r="D268">
        <v>4</v>
      </c>
      <c r="E268" s="1">
        <v>163</v>
      </c>
      <c r="F268" s="3">
        <v>690000</v>
      </c>
      <c r="G268" s="2">
        <f t="shared" si="8"/>
        <v>4233.1288343558281</v>
      </c>
      <c r="H268" s="2">
        <f t="shared" si="9"/>
        <v>690000</v>
      </c>
      <c r="I268" t="s">
        <v>1322</v>
      </c>
      <c r="J268" t="s">
        <v>413</v>
      </c>
      <c r="K268" t="s">
        <v>2215</v>
      </c>
      <c r="L268" t="s">
        <v>414</v>
      </c>
      <c r="M268" t="s">
        <v>16</v>
      </c>
      <c r="N268" t="s">
        <v>50</v>
      </c>
    </row>
    <row r="269" spans="1:14" hidden="1" x14ac:dyDescent="0.35">
      <c r="A269" t="s">
        <v>784</v>
      </c>
      <c r="B269" t="s">
        <v>12</v>
      </c>
      <c r="C269">
        <v>3</v>
      </c>
      <c r="D269">
        <v>3</v>
      </c>
      <c r="E269" s="1">
        <v>163</v>
      </c>
      <c r="F269" s="3">
        <v>695000</v>
      </c>
      <c r="G269" s="2">
        <f t="shared" si="8"/>
        <v>4263.8036809815949</v>
      </c>
      <c r="H269" s="2">
        <f t="shared" si="9"/>
        <v>695000</v>
      </c>
      <c r="I269" t="s">
        <v>785</v>
      </c>
      <c r="J269" t="s">
        <v>772</v>
      </c>
      <c r="K269" t="s">
        <v>2218</v>
      </c>
      <c r="L269" t="s">
        <v>773</v>
      </c>
      <c r="M269" t="s">
        <v>16</v>
      </c>
      <c r="N269" t="s">
        <v>2242</v>
      </c>
    </row>
    <row r="270" spans="1:14" hidden="1" x14ac:dyDescent="0.35">
      <c r="A270" t="s">
        <v>1389</v>
      </c>
      <c r="B270" t="s">
        <v>66</v>
      </c>
      <c r="C270">
        <v>3</v>
      </c>
      <c r="D270">
        <v>3</v>
      </c>
      <c r="E270" s="1">
        <v>122</v>
      </c>
      <c r="F270" s="3">
        <v>695000</v>
      </c>
      <c r="G270" s="2">
        <f t="shared" si="8"/>
        <v>5696.7213114754095</v>
      </c>
      <c r="H270" s="2">
        <f t="shared" si="9"/>
        <v>695000</v>
      </c>
      <c r="I270" t="s">
        <v>814</v>
      </c>
      <c r="J270" t="s">
        <v>405</v>
      </c>
      <c r="K270" t="s">
        <v>2217</v>
      </c>
      <c r="L270" t="s">
        <v>406</v>
      </c>
      <c r="M270" t="s">
        <v>16</v>
      </c>
      <c r="N270" t="s">
        <v>1390</v>
      </c>
    </row>
    <row r="271" spans="1:14" hidden="1" x14ac:dyDescent="0.35">
      <c r="A271" t="s">
        <v>336</v>
      </c>
      <c r="B271" t="s">
        <v>12</v>
      </c>
      <c r="C271">
        <v>4</v>
      </c>
      <c r="D271">
        <v>3</v>
      </c>
      <c r="E271" s="1">
        <v>625</v>
      </c>
      <c r="F271" s="3">
        <v>700000</v>
      </c>
      <c r="G271" s="2">
        <f t="shared" si="8"/>
        <v>1120</v>
      </c>
      <c r="H271" s="2">
        <f t="shared" si="9"/>
        <v>700000</v>
      </c>
      <c r="I271" t="s">
        <v>337</v>
      </c>
      <c r="J271" t="s">
        <v>195</v>
      </c>
      <c r="K271" t="s">
        <v>2218</v>
      </c>
      <c r="L271" t="s">
        <v>196</v>
      </c>
      <c r="M271" t="s">
        <v>16</v>
      </c>
      <c r="N271" t="s">
        <v>2242</v>
      </c>
    </row>
    <row r="272" spans="1:14" x14ac:dyDescent="0.35">
      <c r="A272" t="s">
        <v>743</v>
      </c>
      <c r="B272" t="s">
        <v>18</v>
      </c>
      <c r="C272">
        <v>8</v>
      </c>
      <c r="D272">
        <v>4</v>
      </c>
      <c r="E272" s="1">
        <v>636</v>
      </c>
      <c r="F272" s="3">
        <v>700000</v>
      </c>
      <c r="G272" s="2">
        <f t="shared" si="8"/>
        <v>1100.6289308176101</v>
      </c>
      <c r="H272" s="2">
        <f t="shared" si="9"/>
        <v>700000</v>
      </c>
      <c r="I272" t="s">
        <v>578</v>
      </c>
      <c r="J272" t="s">
        <v>14</v>
      </c>
      <c r="K272" t="s">
        <v>2215</v>
      </c>
      <c r="L272" t="s">
        <v>15</v>
      </c>
      <c r="M272" t="s">
        <v>16</v>
      </c>
      <c r="N272" t="s">
        <v>454</v>
      </c>
    </row>
    <row r="273" spans="1:14" hidden="1" x14ac:dyDescent="0.35">
      <c r="A273" t="s">
        <v>950</v>
      </c>
      <c r="B273" t="s">
        <v>66</v>
      </c>
      <c r="C273">
        <v>3</v>
      </c>
      <c r="D273">
        <v>3</v>
      </c>
      <c r="E273" s="1">
        <v>135</v>
      </c>
      <c r="F273" s="3">
        <v>700000</v>
      </c>
      <c r="G273" s="2">
        <f t="shared" si="8"/>
        <v>5185.1851851851852</v>
      </c>
      <c r="H273" s="2">
        <f t="shared" si="9"/>
        <v>700000</v>
      </c>
      <c r="I273" t="s">
        <v>128</v>
      </c>
      <c r="J273" t="s">
        <v>68</v>
      </c>
      <c r="K273" t="s">
        <v>2218</v>
      </c>
      <c r="L273" t="s">
        <v>69</v>
      </c>
      <c r="M273" t="s">
        <v>16</v>
      </c>
      <c r="N273" t="s">
        <v>426</v>
      </c>
    </row>
    <row r="274" spans="1:14" hidden="1" x14ac:dyDescent="0.35">
      <c r="A274" t="s">
        <v>1026</v>
      </c>
      <c r="B274" t="s">
        <v>66</v>
      </c>
      <c r="C274">
        <v>4</v>
      </c>
      <c r="D274">
        <v>4</v>
      </c>
      <c r="E274" s="1">
        <v>136</v>
      </c>
      <c r="F274" s="3">
        <v>700000</v>
      </c>
      <c r="G274" s="2">
        <f t="shared" si="8"/>
        <v>5147.0588235294117</v>
      </c>
      <c r="H274" s="2">
        <f t="shared" si="9"/>
        <v>700000</v>
      </c>
      <c r="I274" t="s">
        <v>128</v>
      </c>
      <c r="J274" t="s">
        <v>68</v>
      </c>
      <c r="K274" t="s">
        <v>2218</v>
      </c>
      <c r="L274" t="s">
        <v>69</v>
      </c>
      <c r="M274" t="s">
        <v>16</v>
      </c>
      <c r="N274" t="s">
        <v>426</v>
      </c>
    </row>
    <row r="275" spans="1:14" hidden="1" x14ac:dyDescent="0.35">
      <c r="A275" t="s">
        <v>1328</v>
      </c>
      <c r="B275" t="s">
        <v>66</v>
      </c>
      <c r="C275">
        <v>2</v>
      </c>
      <c r="D275">
        <v>2</v>
      </c>
      <c r="E275" s="1">
        <v>68</v>
      </c>
      <c r="F275" s="3">
        <v>700000</v>
      </c>
      <c r="G275" s="2">
        <f t="shared" si="8"/>
        <v>10294.117647058823</v>
      </c>
      <c r="H275" s="2">
        <f t="shared" si="9"/>
        <v>700000</v>
      </c>
      <c r="I275" t="s">
        <v>269</v>
      </c>
      <c r="J275" t="s">
        <v>169</v>
      </c>
      <c r="K275" t="s">
        <v>2217</v>
      </c>
      <c r="L275" t="s">
        <v>170</v>
      </c>
      <c r="M275" t="s">
        <v>16</v>
      </c>
      <c r="N275" t="s">
        <v>1294</v>
      </c>
    </row>
    <row r="276" spans="1:14" hidden="1" x14ac:dyDescent="0.35">
      <c r="A276" t="s">
        <v>1403</v>
      </c>
      <c r="B276" t="s">
        <v>12</v>
      </c>
      <c r="C276">
        <v>4</v>
      </c>
      <c r="D276">
        <v>4</v>
      </c>
      <c r="E276" s="1">
        <v>177</v>
      </c>
      <c r="F276" s="3">
        <v>700000</v>
      </c>
      <c r="G276" s="2">
        <f t="shared" si="8"/>
        <v>3954.8022598870057</v>
      </c>
      <c r="H276" s="2">
        <f t="shared" si="9"/>
        <v>700000</v>
      </c>
      <c r="I276" t="s">
        <v>317</v>
      </c>
      <c r="J276" t="s">
        <v>14</v>
      </c>
      <c r="K276" t="s">
        <v>2215</v>
      </c>
      <c r="L276" t="s">
        <v>15</v>
      </c>
      <c r="M276" t="s">
        <v>16</v>
      </c>
      <c r="N276" t="s">
        <v>50</v>
      </c>
    </row>
    <row r="277" spans="1:14" hidden="1" x14ac:dyDescent="0.35">
      <c r="A277" t="s">
        <v>1540</v>
      </c>
      <c r="B277" t="s">
        <v>12</v>
      </c>
      <c r="C277">
        <v>4</v>
      </c>
      <c r="D277">
        <v>4</v>
      </c>
      <c r="E277" s="1">
        <v>177</v>
      </c>
      <c r="F277" s="3">
        <v>700000</v>
      </c>
      <c r="G277" s="2">
        <f t="shared" si="8"/>
        <v>3954.8022598870057</v>
      </c>
      <c r="H277" s="2">
        <f t="shared" si="9"/>
        <v>700000</v>
      </c>
      <c r="I277" t="s">
        <v>136</v>
      </c>
      <c r="J277" t="s">
        <v>14</v>
      </c>
      <c r="K277" t="s">
        <v>2215</v>
      </c>
      <c r="L277" t="s">
        <v>15</v>
      </c>
      <c r="M277" t="s">
        <v>16</v>
      </c>
      <c r="N277" t="s">
        <v>50</v>
      </c>
    </row>
    <row r="278" spans="1:14" hidden="1" x14ac:dyDescent="0.35">
      <c r="A278" t="s">
        <v>1728</v>
      </c>
      <c r="B278" t="s">
        <v>12</v>
      </c>
      <c r="C278">
        <v>4</v>
      </c>
      <c r="D278">
        <v>3</v>
      </c>
      <c r="E278" s="1">
        <v>177</v>
      </c>
      <c r="F278" s="3">
        <v>700000</v>
      </c>
      <c r="G278" s="2">
        <f t="shared" si="8"/>
        <v>3954.8022598870057</v>
      </c>
      <c r="H278" s="2">
        <f t="shared" si="9"/>
        <v>700000</v>
      </c>
      <c r="I278" t="s">
        <v>317</v>
      </c>
      <c r="J278" t="s">
        <v>14</v>
      </c>
      <c r="K278" t="s">
        <v>2215</v>
      </c>
      <c r="L278" t="s">
        <v>15</v>
      </c>
      <c r="M278" t="s">
        <v>16</v>
      </c>
      <c r="N278" t="s">
        <v>50</v>
      </c>
    </row>
    <row r="279" spans="1:14" hidden="1" x14ac:dyDescent="0.35">
      <c r="A279" t="s">
        <v>1738</v>
      </c>
      <c r="B279" t="s">
        <v>12</v>
      </c>
      <c r="C279">
        <v>4</v>
      </c>
      <c r="D279">
        <v>4</v>
      </c>
      <c r="E279" s="1">
        <v>177</v>
      </c>
      <c r="F279" s="3">
        <v>700000</v>
      </c>
      <c r="G279" s="2">
        <f t="shared" si="8"/>
        <v>3954.8022598870057</v>
      </c>
      <c r="H279" s="2">
        <f t="shared" si="9"/>
        <v>700000</v>
      </c>
      <c r="I279" t="s">
        <v>317</v>
      </c>
      <c r="J279" t="s">
        <v>14</v>
      </c>
      <c r="K279" t="s">
        <v>2215</v>
      </c>
      <c r="L279" t="s">
        <v>15</v>
      </c>
      <c r="M279" t="s">
        <v>16</v>
      </c>
      <c r="N279" t="s">
        <v>2242</v>
      </c>
    </row>
    <row r="280" spans="1:14" hidden="1" x14ac:dyDescent="0.35">
      <c r="A280" t="s">
        <v>1870</v>
      </c>
      <c r="B280" t="s">
        <v>12</v>
      </c>
      <c r="C280">
        <v>3</v>
      </c>
      <c r="D280">
        <v>3</v>
      </c>
      <c r="E280" s="1">
        <v>151</v>
      </c>
      <c r="F280" s="3">
        <v>700000</v>
      </c>
      <c r="G280" s="2">
        <f t="shared" si="8"/>
        <v>4635.7615894039736</v>
      </c>
      <c r="H280" s="2">
        <f t="shared" si="9"/>
        <v>700000</v>
      </c>
      <c r="I280" t="s">
        <v>1871</v>
      </c>
      <c r="J280" t="s">
        <v>14</v>
      </c>
      <c r="K280" t="s">
        <v>2215</v>
      </c>
      <c r="L280" t="s">
        <v>15</v>
      </c>
      <c r="M280" t="s">
        <v>16</v>
      </c>
      <c r="N280" t="s">
        <v>2242</v>
      </c>
    </row>
    <row r="281" spans="1:14" hidden="1" x14ac:dyDescent="0.35">
      <c r="A281" t="s">
        <v>1913</v>
      </c>
      <c r="B281" t="s">
        <v>12</v>
      </c>
      <c r="C281">
        <v>4</v>
      </c>
      <c r="D281">
        <v>3</v>
      </c>
      <c r="E281" s="1">
        <v>163</v>
      </c>
      <c r="F281" s="3">
        <v>700000</v>
      </c>
      <c r="G281" s="2">
        <f t="shared" si="8"/>
        <v>4294.4785276073617</v>
      </c>
      <c r="H281" s="2">
        <f t="shared" si="9"/>
        <v>700000</v>
      </c>
      <c r="I281" t="s">
        <v>317</v>
      </c>
      <c r="J281" t="s">
        <v>14</v>
      </c>
      <c r="K281" t="s">
        <v>2215</v>
      </c>
      <c r="L281" t="s">
        <v>15</v>
      </c>
      <c r="M281" t="s">
        <v>16</v>
      </c>
      <c r="N281" t="s">
        <v>50</v>
      </c>
    </row>
    <row r="282" spans="1:14" hidden="1" x14ac:dyDescent="0.35">
      <c r="A282" t="s">
        <v>1951</v>
      </c>
      <c r="B282" t="s">
        <v>12</v>
      </c>
      <c r="C282">
        <v>4</v>
      </c>
      <c r="D282">
        <v>4</v>
      </c>
      <c r="E282" s="1">
        <v>177</v>
      </c>
      <c r="F282" s="3">
        <v>700000</v>
      </c>
      <c r="G282" s="2">
        <f t="shared" si="8"/>
        <v>3954.8022598870057</v>
      </c>
      <c r="H282" s="2">
        <f t="shared" si="9"/>
        <v>700000</v>
      </c>
      <c r="I282" t="s">
        <v>317</v>
      </c>
      <c r="J282" t="s">
        <v>14</v>
      </c>
      <c r="K282" t="s">
        <v>2215</v>
      </c>
      <c r="L282" t="s">
        <v>15</v>
      </c>
      <c r="M282" t="s">
        <v>16</v>
      </c>
      <c r="N282" t="s">
        <v>50</v>
      </c>
    </row>
    <row r="283" spans="1:14" hidden="1" x14ac:dyDescent="0.35">
      <c r="A283" t="s">
        <v>462</v>
      </c>
      <c r="B283" t="s">
        <v>66</v>
      </c>
      <c r="C283">
        <v>4</v>
      </c>
      <c r="D283">
        <v>3</v>
      </c>
      <c r="E283" s="1">
        <v>9100</v>
      </c>
      <c r="F283" s="3">
        <v>705536</v>
      </c>
      <c r="G283" s="2">
        <f t="shared" si="8"/>
        <v>77.531428571428577</v>
      </c>
      <c r="H283" s="2">
        <f t="shared" si="9"/>
        <v>705536</v>
      </c>
      <c r="I283" t="s">
        <v>463</v>
      </c>
      <c r="J283" t="s">
        <v>28</v>
      </c>
      <c r="K283" t="s">
        <v>2217</v>
      </c>
      <c r="L283" t="s">
        <v>29</v>
      </c>
      <c r="M283" t="s">
        <v>16</v>
      </c>
      <c r="N283" t="s">
        <v>464</v>
      </c>
    </row>
    <row r="284" spans="1:14" hidden="1" x14ac:dyDescent="0.35">
      <c r="A284" t="s">
        <v>1162</v>
      </c>
      <c r="B284" t="s">
        <v>66</v>
      </c>
      <c r="C284">
        <v>4</v>
      </c>
      <c r="D284">
        <v>3</v>
      </c>
      <c r="E284" s="1">
        <v>180</v>
      </c>
      <c r="F284" s="3">
        <v>710000</v>
      </c>
      <c r="G284" s="2">
        <f t="shared" si="8"/>
        <v>3944.4444444444443</v>
      </c>
      <c r="H284" s="2">
        <f t="shared" si="9"/>
        <v>710000</v>
      </c>
      <c r="I284" t="s">
        <v>623</v>
      </c>
      <c r="J284" t="s">
        <v>73</v>
      </c>
      <c r="K284" t="s">
        <v>2218</v>
      </c>
      <c r="L284" t="s">
        <v>74</v>
      </c>
      <c r="M284" t="s">
        <v>16</v>
      </c>
      <c r="N284" t="s">
        <v>624</v>
      </c>
    </row>
    <row r="285" spans="1:14" x14ac:dyDescent="0.35">
      <c r="A285" t="s">
        <v>1178</v>
      </c>
      <c r="B285" t="s">
        <v>18</v>
      </c>
      <c r="C285">
        <v>5</v>
      </c>
      <c r="D285">
        <v>5</v>
      </c>
      <c r="E285" s="1">
        <v>204</v>
      </c>
      <c r="F285" s="3">
        <v>715000</v>
      </c>
      <c r="G285" s="2">
        <f t="shared" si="8"/>
        <v>3504.9019607843138</v>
      </c>
      <c r="H285" s="2">
        <f t="shared" si="9"/>
        <v>715000</v>
      </c>
      <c r="I285" t="s">
        <v>1179</v>
      </c>
      <c r="J285" t="s">
        <v>413</v>
      </c>
      <c r="K285" t="s">
        <v>2215</v>
      </c>
      <c r="L285" t="s">
        <v>414</v>
      </c>
      <c r="M285" t="s">
        <v>16</v>
      </c>
      <c r="N285" t="s">
        <v>1180</v>
      </c>
    </row>
    <row r="286" spans="1:14" x14ac:dyDescent="0.35">
      <c r="A286" t="s">
        <v>1194</v>
      </c>
      <c r="B286" t="s">
        <v>18</v>
      </c>
      <c r="C286">
        <v>5</v>
      </c>
      <c r="D286">
        <v>6</v>
      </c>
      <c r="E286" s="1">
        <v>204</v>
      </c>
      <c r="F286" s="3">
        <v>715000</v>
      </c>
      <c r="G286" s="2">
        <f t="shared" si="8"/>
        <v>3504.9019607843138</v>
      </c>
      <c r="H286" s="2">
        <f t="shared" si="9"/>
        <v>715000</v>
      </c>
      <c r="I286" t="s">
        <v>1179</v>
      </c>
      <c r="J286" t="s">
        <v>413</v>
      </c>
      <c r="K286" t="s">
        <v>2215</v>
      </c>
      <c r="L286" t="s">
        <v>414</v>
      </c>
      <c r="M286" t="s">
        <v>16</v>
      </c>
      <c r="N286" t="s">
        <v>1180</v>
      </c>
    </row>
    <row r="287" spans="1:14" hidden="1" x14ac:dyDescent="0.35">
      <c r="A287" t="s">
        <v>837</v>
      </c>
      <c r="B287" t="s">
        <v>66</v>
      </c>
      <c r="C287">
        <v>5</v>
      </c>
      <c r="D287">
        <v>3</v>
      </c>
      <c r="E287" s="1">
        <v>130</v>
      </c>
      <c r="F287" s="3">
        <v>720000</v>
      </c>
      <c r="G287" s="2">
        <f t="shared" si="8"/>
        <v>5538.4615384615381</v>
      </c>
      <c r="H287" s="2">
        <f t="shared" si="9"/>
        <v>720000</v>
      </c>
      <c r="I287" t="s">
        <v>838</v>
      </c>
      <c r="J287" t="s">
        <v>68</v>
      </c>
      <c r="K287" t="s">
        <v>2218</v>
      </c>
      <c r="L287" t="s">
        <v>69</v>
      </c>
      <c r="M287" t="s">
        <v>16</v>
      </c>
      <c r="N287" t="s">
        <v>426</v>
      </c>
    </row>
    <row r="288" spans="1:14" hidden="1" x14ac:dyDescent="0.35">
      <c r="A288" t="s">
        <v>982</v>
      </c>
      <c r="B288" t="s">
        <v>66</v>
      </c>
      <c r="C288">
        <v>3</v>
      </c>
      <c r="D288">
        <v>3</v>
      </c>
      <c r="E288" s="1">
        <v>101</v>
      </c>
      <c r="F288" s="3">
        <v>720000</v>
      </c>
      <c r="G288" s="2">
        <f t="shared" si="8"/>
        <v>7128.712871287129</v>
      </c>
      <c r="H288" s="2">
        <f t="shared" si="9"/>
        <v>720000</v>
      </c>
      <c r="I288" t="s">
        <v>983</v>
      </c>
      <c r="J288" t="s">
        <v>570</v>
      </c>
      <c r="K288" t="s">
        <v>2217</v>
      </c>
      <c r="L288" t="s">
        <v>571</v>
      </c>
      <c r="M288" t="s">
        <v>16</v>
      </c>
      <c r="N288" t="s">
        <v>407</v>
      </c>
    </row>
    <row r="289" spans="1:14" x14ac:dyDescent="0.35">
      <c r="A289" t="s">
        <v>1959</v>
      </c>
      <c r="B289" t="s">
        <v>18</v>
      </c>
      <c r="C289">
        <v>4</v>
      </c>
      <c r="D289">
        <v>6</v>
      </c>
      <c r="E289" s="1">
        <v>212</v>
      </c>
      <c r="F289" s="3">
        <v>720000</v>
      </c>
      <c r="G289" s="2">
        <f t="shared" si="8"/>
        <v>3396.2264150943397</v>
      </c>
      <c r="H289" s="2">
        <f t="shared" si="9"/>
        <v>720000</v>
      </c>
      <c r="I289" t="s">
        <v>1960</v>
      </c>
      <c r="J289" t="s">
        <v>109</v>
      </c>
      <c r="K289" t="s">
        <v>2215</v>
      </c>
      <c r="L289" t="s">
        <v>110</v>
      </c>
      <c r="M289" t="s">
        <v>16</v>
      </c>
      <c r="N289" t="s">
        <v>948</v>
      </c>
    </row>
    <row r="290" spans="1:14" hidden="1" x14ac:dyDescent="0.35">
      <c r="A290" t="s">
        <v>11</v>
      </c>
      <c r="B290" t="s">
        <v>12</v>
      </c>
      <c r="C290">
        <v>6</v>
      </c>
      <c r="D290">
        <v>5</v>
      </c>
      <c r="E290" s="1">
        <v>214</v>
      </c>
      <c r="F290" s="3">
        <v>730000</v>
      </c>
      <c r="G290" s="2">
        <f t="shared" si="8"/>
        <v>3411.2149532710282</v>
      </c>
      <c r="H290" s="2">
        <f t="shared" si="9"/>
        <v>730000</v>
      </c>
      <c r="I290" t="s">
        <v>13</v>
      </c>
      <c r="J290" t="s">
        <v>14</v>
      </c>
      <c r="K290" t="s">
        <v>2215</v>
      </c>
      <c r="L290" t="s">
        <v>15</v>
      </c>
      <c r="M290" t="s">
        <v>16</v>
      </c>
      <c r="N290" t="s">
        <v>2242</v>
      </c>
    </row>
    <row r="291" spans="1:14" hidden="1" x14ac:dyDescent="0.35">
      <c r="A291" t="s">
        <v>622</v>
      </c>
      <c r="B291" t="s">
        <v>66</v>
      </c>
      <c r="C291">
        <v>5</v>
      </c>
      <c r="D291">
        <v>3</v>
      </c>
      <c r="E291" s="1">
        <v>194</v>
      </c>
      <c r="F291" s="3">
        <v>730000</v>
      </c>
      <c r="G291" s="2">
        <f t="shared" si="8"/>
        <v>3762.8865979381444</v>
      </c>
      <c r="H291" s="2">
        <f t="shared" si="9"/>
        <v>730000</v>
      </c>
      <c r="I291" t="s">
        <v>623</v>
      </c>
      <c r="J291" t="s">
        <v>73</v>
      </c>
      <c r="K291" t="s">
        <v>2218</v>
      </c>
      <c r="L291" t="s">
        <v>74</v>
      </c>
      <c r="M291" t="s">
        <v>16</v>
      </c>
      <c r="N291" t="s">
        <v>624</v>
      </c>
    </row>
    <row r="292" spans="1:14" hidden="1" x14ac:dyDescent="0.35">
      <c r="A292" t="s">
        <v>625</v>
      </c>
      <c r="B292" t="s">
        <v>66</v>
      </c>
      <c r="C292">
        <v>4</v>
      </c>
      <c r="D292">
        <v>4</v>
      </c>
      <c r="E292" s="1">
        <v>206</v>
      </c>
      <c r="F292" s="3">
        <v>730000</v>
      </c>
      <c r="G292" s="2">
        <f t="shared" si="8"/>
        <v>3543.6893203883496</v>
      </c>
      <c r="H292" s="2">
        <f t="shared" si="9"/>
        <v>730000</v>
      </c>
      <c r="I292" t="s">
        <v>626</v>
      </c>
      <c r="J292" t="s">
        <v>218</v>
      </c>
      <c r="K292" t="s">
        <v>2215</v>
      </c>
      <c r="L292" t="s">
        <v>219</v>
      </c>
      <c r="M292" t="s">
        <v>16</v>
      </c>
      <c r="N292" t="s">
        <v>624</v>
      </c>
    </row>
    <row r="293" spans="1:14" hidden="1" x14ac:dyDescent="0.35">
      <c r="A293" t="s">
        <v>866</v>
      </c>
      <c r="B293" t="s">
        <v>12</v>
      </c>
      <c r="C293">
        <v>3</v>
      </c>
      <c r="D293">
        <v>4</v>
      </c>
      <c r="E293" s="1">
        <v>145</v>
      </c>
      <c r="F293" s="3">
        <v>730000</v>
      </c>
      <c r="G293" s="2">
        <f t="shared" si="8"/>
        <v>5034.4827586206893</v>
      </c>
      <c r="H293" s="2">
        <f t="shared" si="9"/>
        <v>730000</v>
      </c>
      <c r="I293" t="s">
        <v>580</v>
      </c>
      <c r="J293" t="s">
        <v>373</v>
      </c>
      <c r="K293" t="s">
        <v>2218</v>
      </c>
      <c r="L293" t="s">
        <v>374</v>
      </c>
      <c r="M293" t="s">
        <v>16</v>
      </c>
      <c r="N293" t="s">
        <v>2242</v>
      </c>
    </row>
    <row r="294" spans="1:14" hidden="1" x14ac:dyDescent="0.35">
      <c r="A294" t="s">
        <v>1012</v>
      </c>
      <c r="B294" t="s">
        <v>12</v>
      </c>
      <c r="C294">
        <v>4</v>
      </c>
      <c r="D294">
        <v>3</v>
      </c>
      <c r="E294" s="1">
        <v>134</v>
      </c>
      <c r="F294" s="3">
        <v>730000</v>
      </c>
      <c r="G294" s="2">
        <f t="shared" si="8"/>
        <v>5447.7611940298511</v>
      </c>
      <c r="H294" s="2">
        <f t="shared" si="9"/>
        <v>730000</v>
      </c>
      <c r="I294" t="s">
        <v>1013</v>
      </c>
      <c r="J294" t="s">
        <v>264</v>
      </c>
      <c r="K294" t="s">
        <v>2217</v>
      </c>
      <c r="L294" t="s">
        <v>265</v>
      </c>
      <c r="M294" t="s">
        <v>16</v>
      </c>
      <c r="N294" t="s">
        <v>392</v>
      </c>
    </row>
    <row r="295" spans="1:14" hidden="1" x14ac:dyDescent="0.35">
      <c r="A295" t="s">
        <v>1029</v>
      </c>
      <c r="B295" t="s">
        <v>66</v>
      </c>
      <c r="C295">
        <v>3</v>
      </c>
      <c r="D295">
        <v>3</v>
      </c>
      <c r="E295" s="1">
        <v>176</v>
      </c>
      <c r="F295" s="3">
        <v>730000</v>
      </c>
      <c r="G295" s="2">
        <f t="shared" si="8"/>
        <v>4147.727272727273</v>
      </c>
      <c r="H295" s="2">
        <f t="shared" si="9"/>
        <v>730000</v>
      </c>
      <c r="I295" t="s">
        <v>1030</v>
      </c>
      <c r="J295" t="s">
        <v>264</v>
      </c>
      <c r="K295" t="s">
        <v>2217</v>
      </c>
      <c r="L295" t="s">
        <v>265</v>
      </c>
      <c r="M295" t="s">
        <v>16</v>
      </c>
      <c r="N295" t="s">
        <v>624</v>
      </c>
    </row>
    <row r="296" spans="1:14" hidden="1" x14ac:dyDescent="0.35">
      <c r="A296" t="s">
        <v>1702</v>
      </c>
      <c r="B296" t="s">
        <v>66</v>
      </c>
      <c r="C296">
        <v>5</v>
      </c>
      <c r="D296">
        <v>3</v>
      </c>
      <c r="E296" s="1">
        <v>190</v>
      </c>
      <c r="F296" s="3">
        <v>730000</v>
      </c>
      <c r="G296" s="2">
        <f t="shared" si="8"/>
        <v>3842.1052631578946</v>
      </c>
      <c r="H296" s="2">
        <f t="shared" si="9"/>
        <v>730000</v>
      </c>
      <c r="I296" t="s">
        <v>1182</v>
      </c>
      <c r="J296" t="s">
        <v>73</v>
      </c>
      <c r="K296" t="s">
        <v>2218</v>
      </c>
      <c r="L296" t="s">
        <v>74</v>
      </c>
      <c r="M296" t="s">
        <v>16</v>
      </c>
      <c r="N296" t="s">
        <v>624</v>
      </c>
    </row>
    <row r="297" spans="1:14" hidden="1" x14ac:dyDescent="0.35">
      <c r="A297" t="s">
        <v>1703</v>
      </c>
      <c r="B297" t="s">
        <v>66</v>
      </c>
      <c r="C297">
        <v>5</v>
      </c>
      <c r="D297">
        <v>3</v>
      </c>
      <c r="E297" s="1">
        <v>194</v>
      </c>
      <c r="F297" s="3">
        <v>730000</v>
      </c>
      <c r="G297" s="2">
        <f t="shared" si="8"/>
        <v>3762.8865979381444</v>
      </c>
      <c r="H297" s="2">
        <f t="shared" si="9"/>
        <v>730000</v>
      </c>
      <c r="I297" t="s">
        <v>1182</v>
      </c>
      <c r="J297" t="s">
        <v>73</v>
      </c>
      <c r="K297" t="s">
        <v>2218</v>
      </c>
      <c r="L297" t="s">
        <v>74</v>
      </c>
      <c r="M297" t="s">
        <v>16</v>
      </c>
      <c r="N297" t="s">
        <v>624</v>
      </c>
    </row>
    <row r="298" spans="1:14" hidden="1" x14ac:dyDescent="0.35">
      <c r="A298" t="s">
        <v>1704</v>
      </c>
      <c r="B298" t="s">
        <v>66</v>
      </c>
      <c r="C298">
        <v>5</v>
      </c>
      <c r="D298">
        <v>3</v>
      </c>
      <c r="E298" s="1">
        <v>190</v>
      </c>
      <c r="F298" s="3">
        <v>730000</v>
      </c>
      <c r="G298" s="2">
        <f t="shared" si="8"/>
        <v>3842.1052631578946</v>
      </c>
      <c r="H298" s="2">
        <f t="shared" si="9"/>
        <v>730000</v>
      </c>
      <c r="I298" t="s">
        <v>1705</v>
      </c>
      <c r="J298" t="s">
        <v>73</v>
      </c>
      <c r="K298" t="s">
        <v>2218</v>
      </c>
      <c r="L298" t="s">
        <v>74</v>
      </c>
      <c r="M298" t="s">
        <v>16</v>
      </c>
      <c r="N298" t="s">
        <v>624</v>
      </c>
    </row>
    <row r="299" spans="1:14" hidden="1" x14ac:dyDescent="0.35">
      <c r="A299" t="s">
        <v>1773</v>
      </c>
      <c r="B299" t="s">
        <v>12</v>
      </c>
      <c r="C299">
        <v>5</v>
      </c>
      <c r="D299">
        <v>3</v>
      </c>
      <c r="E299" s="1">
        <v>145</v>
      </c>
      <c r="F299" s="3">
        <v>730000</v>
      </c>
      <c r="G299" s="2">
        <f t="shared" si="8"/>
        <v>5034.4827586206893</v>
      </c>
      <c r="H299" s="2">
        <f t="shared" si="9"/>
        <v>730000</v>
      </c>
      <c r="I299" t="s">
        <v>1774</v>
      </c>
      <c r="J299" t="s">
        <v>373</v>
      </c>
      <c r="K299" t="s">
        <v>2218</v>
      </c>
      <c r="L299" t="s">
        <v>374</v>
      </c>
      <c r="M299" t="s">
        <v>16</v>
      </c>
      <c r="N299" t="s">
        <v>2242</v>
      </c>
    </row>
    <row r="300" spans="1:14" hidden="1" x14ac:dyDescent="0.35">
      <c r="A300" t="s">
        <v>1776</v>
      </c>
      <c r="B300" t="s">
        <v>12</v>
      </c>
      <c r="C300">
        <v>3</v>
      </c>
      <c r="D300">
        <v>3</v>
      </c>
      <c r="E300" s="1">
        <v>145</v>
      </c>
      <c r="F300" s="3">
        <v>730000</v>
      </c>
      <c r="G300" s="2">
        <f t="shared" si="8"/>
        <v>5034.4827586206893</v>
      </c>
      <c r="H300" s="2">
        <f t="shared" si="9"/>
        <v>730000</v>
      </c>
      <c r="I300" t="s">
        <v>1774</v>
      </c>
      <c r="J300" t="s">
        <v>373</v>
      </c>
      <c r="K300" t="s">
        <v>2218</v>
      </c>
      <c r="L300" t="s">
        <v>374</v>
      </c>
      <c r="M300" t="s">
        <v>16</v>
      </c>
      <c r="N300" t="s">
        <v>624</v>
      </c>
    </row>
    <row r="301" spans="1:14" hidden="1" x14ac:dyDescent="0.35">
      <c r="A301" t="s">
        <v>1910</v>
      </c>
      <c r="B301" t="s">
        <v>66</v>
      </c>
      <c r="C301">
        <v>5</v>
      </c>
      <c r="D301">
        <v>4</v>
      </c>
      <c r="E301" s="1">
        <v>209</v>
      </c>
      <c r="F301" s="3">
        <v>730000</v>
      </c>
      <c r="G301" s="2">
        <f t="shared" si="8"/>
        <v>3492.8229665071772</v>
      </c>
      <c r="H301" s="2">
        <f t="shared" si="9"/>
        <v>730000</v>
      </c>
      <c r="I301" t="s">
        <v>217</v>
      </c>
      <c r="J301" t="s">
        <v>218</v>
      </c>
      <c r="K301" t="s">
        <v>2215</v>
      </c>
      <c r="L301" t="s">
        <v>219</v>
      </c>
      <c r="M301" t="s">
        <v>16</v>
      </c>
      <c r="N301" t="s">
        <v>2242</v>
      </c>
    </row>
    <row r="302" spans="1:14" hidden="1" x14ac:dyDescent="0.35">
      <c r="A302" t="s">
        <v>1970</v>
      </c>
      <c r="B302" t="s">
        <v>66</v>
      </c>
      <c r="C302">
        <v>5</v>
      </c>
      <c r="D302">
        <v>4</v>
      </c>
      <c r="E302" s="1">
        <v>209</v>
      </c>
      <c r="F302" s="3">
        <v>730000</v>
      </c>
      <c r="G302" s="2">
        <f t="shared" si="8"/>
        <v>3492.8229665071772</v>
      </c>
      <c r="H302" s="2">
        <f t="shared" si="9"/>
        <v>730000</v>
      </c>
      <c r="I302" t="s">
        <v>626</v>
      </c>
      <c r="J302" t="s">
        <v>218</v>
      </c>
      <c r="K302" t="s">
        <v>2215</v>
      </c>
      <c r="L302" t="s">
        <v>219</v>
      </c>
      <c r="M302" t="s">
        <v>16</v>
      </c>
      <c r="N302" t="s">
        <v>624</v>
      </c>
    </row>
    <row r="303" spans="1:14" hidden="1" x14ac:dyDescent="0.35">
      <c r="A303" t="s">
        <v>1796</v>
      </c>
      <c r="B303" t="s">
        <v>12</v>
      </c>
      <c r="C303">
        <v>4</v>
      </c>
      <c r="D303">
        <v>3</v>
      </c>
      <c r="E303" s="1">
        <v>176</v>
      </c>
      <c r="F303" s="3">
        <v>740000</v>
      </c>
      <c r="G303" s="2">
        <f t="shared" si="8"/>
        <v>4204.545454545455</v>
      </c>
      <c r="H303" s="2">
        <f t="shared" si="9"/>
        <v>740000</v>
      </c>
      <c r="I303" t="s">
        <v>317</v>
      </c>
      <c r="J303" t="s">
        <v>14</v>
      </c>
      <c r="K303" t="s">
        <v>2215</v>
      </c>
      <c r="L303" t="s">
        <v>15</v>
      </c>
      <c r="M303" t="s">
        <v>16</v>
      </c>
      <c r="N303" t="s">
        <v>50</v>
      </c>
    </row>
    <row r="304" spans="1:14" hidden="1" x14ac:dyDescent="0.35">
      <c r="A304" t="s">
        <v>1944</v>
      </c>
      <c r="B304" t="s">
        <v>12</v>
      </c>
      <c r="C304">
        <v>3</v>
      </c>
      <c r="D304">
        <v>3</v>
      </c>
      <c r="E304" s="1">
        <v>176</v>
      </c>
      <c r="F304" s="3">
        <v>740000</v>
      </c>
      <c r="G304" s="2">
        <f t="shared" si="8"/>
        <v>4204.545454545455</v>
      </c>
      <c r="H304" s="2">
        <f t="shared" si="9"/>
        <v>740000</v>
      </c>
      <c r="I304" t="s">
        <v>136</v>
      </c>
      <c r="J304" t="s">
        <v>14</v>
      </c>
      <c r="K304" t="s">
        <v>2215</v>
      </c>
      <c r="L304" t="s">
        <v>15</v>
      </c>
      <c r="M304" t="s">
        <v>16</v>
      </c>
      <c r="N304" t="s">
        <v>2242</v>
      </c>
    </row>
    <row r="305" spans="1:14" hidden="1" x14ac:dyDescent="0.35">
      <c r="A305" t="s">
        <v>2051</v>
      </c>
      <c r="B305" t="s">
        <v>1033</v>
      </c>
      <c r="C305">
        <v>0</v>
      </c>
      <c r="D305">
        <v>0</v>
      </c>
      <c r="E305" s="1">
        <v>300</v>
      </c>
      <c r="F305" s="3">
        <v>740000</v>
      </c>
      <c r="G305" s="2">
        <f t="shared" si="8"/>
        <v>2466.6666666666665</v>
      </c>
      <c r="H305" s="2">
        <f t="shared" si="9"/>
        <v>740000</v>
      </c>
      <c r="I305" t="s">
        <v>1281</v>
      </c>
      <c r="J305" t="s">
        <v>58</v>
      </c>
      <c r="K305" t="s">
        <v>2216</v>
      </c>
      <c r="L305" t="s">
        <v>59</v>
      </c>
      <c r="M305" t="s">
        <v>16</v>
      </c>
      <c r="N305" t="s">
        <v>2242</v>
      </c>
    </row>
    <row r="306" spans="1:14" hidden="1" x14ac:dyDescent="0.35">
      <c r="A306" t="s">
        <v>2198</v>
      </c>
      <c r="B306" t="s">
        <v>12</v>
      </c>
      <c r="C306">
        <v>4</v>
      </c>
      <c r="D306">
        <v>3</v>
      </c>
      <c r="E306" s="1">
        <v>214</v>
      </c>
      <c r="F306" s="3">
        <v>740000</v>
      </c>
      <c r="G306" s="2">
        <f t="shared" si="8"/>
        <v>3457.9439252336447</v>
      </c>
      <c r="H306" s="2">
        <f t="shared" si="9"/>
        <v>740000</v>
      </c>
      <c r="I306" t="s">
        <v>317</v>
      </c>
      <c r="J306" t="s">
        <v>14</v>
      </c>
      <c r="K306" t="s">
        <v>2215</v>
      </c>
      <c r="L306" t="s">
        <v>15</v>
      </c>
      <c r="M306" t="s">
        <v>16</v>
      </c>
      <c r="N306" t="s">
        <v>50</v>
      </c>
    </row>
    <row r="307" spans="1:14" hidden="1" x14ac:dyDescent="0.35">
      <c r="A307" t="s">
        <v>693</v>
      </c>
      <c r="B307" t="s">
        <v>1033</v>
      </c>
      <c r="C307">
        <v>0</v>
      </c>
      <c r="D307">
        <v>0</v>
      </c>
      <c r="E307" s="1">
        <v>900</v>
      </c>
      <c r="F307" s="3">
        <v>833</v>
      </c>
      <c r="G307" s="2">
        <f t="shared" si="8"/>
        <v>833</v>
      </c>
      <c r="H307" s="2">
        <f t="shared" si="9"/>
        <v>749700</v>
      </c>
      <c r="I307" t="s">
        <v>694</v>
      </c>
      <c r="J307" t="s">
        <v>695</v>
      </c>
      <c r="K307" t="s">
        <v>2218</v>
      </c>
      <c r="L307" t="s">
        <v>696</v>
      </c>
      <c r="M307" t="s">
        <v>16</v>
      </c>
      <c r="N307" t="s">
        <v>2242</v>
      </c>
    </row>
    <row r="308" spans="1:14" hidden="1" x14ac:dyDescent="0.35">
      <c r="A308" t="s">
        <v>519</v>
      </c>
      <c r="B308" t="s">
        <v>12</v>
      </c>
      <c r="C308">
        <v>5</v>
      </c>
      <c r="D308">
        <v>4</v>
      </c>
      <c r="E308" s="1">
        <v>205</v>
      </c>
      <c r="F308" s="3">
        <v>750000</v>
      </c>
      <c r="G308" s="2">
        <f t="shared" si="8"/>
        <v>3658.5365853658536</v>
      </c>
      <c r="H308" s="2">
        <f t="shared" si="9"/>
        <v>750000</v>
      </c>
      <c r="I308" t="s">
        <v>2233</v>
      </c>
      <c r="J308" t="s">
        <v>97</v>
      </c>
      <c r="K308" t="s">
        <v>2217</v>
      </c>
      <c r="L308" t="s">
        <v>98</v>
      </c>
      <c r="M308" t="s">
        <v>16</v>
      </c>
      <c r="N308" t="s">
        <v>407</v>
      </c>
    </row>
    <row r="309" spans="1:14" hidden="1" x14ac:dyDescent="0.35">
      <c r="A309" t="s">
        <v>660</v>
      </c>
      <c r="B309" t="s">
        <v>66</v>
      </c>
      <c r="C309">
        <v>3</v>
      </c>
      <c r="D309">
        <v>3</v>
      </c>
      <c r="E309" s="1">
        <v>182</v>
      </c>
      <c r="F309" s="3">
        <v>750000</v>
      </c>
      <c r="G309" s="2">
        <f t="shared" si="8"/>
        <v>4120.8791208791208</v>
      </c>
      <c r="H309" s="2">
        <f t="shared" si="9"/>
        <v>750000</v>
      </c>
      <c r="I309" t="s">
        <v>661</v>
      </c>
      <c r="J309" t="s">
        <v>662</v>
      </c>
      <c r="K309" t="s">
        <v>2218</v>
      </c>
      <c r="L309" t="s">
        <v>663</v>
      </c>
      <c r="M309" t="s">
        <v>16</v>
      </c>
      <c r="N309" t="s">
        <v>257</v>
      </c>
    </row>
    <row r="310" spans="1:14" hidden="1" x14ac:dyDescent="0.35">
      <c r="A310" t="s">
        <v>774</v>
      </c>
      <c r="B310" t="s">
        <v>12</v>
      </c>
      <c r="C310">
        <v>3</v>
      </c>
      <c r="D310">
        <v>3</v>
      </c>
      <c r="E310" s="1">
        <v>249</v>
      </c>
      <c r="F310" s="3">
        <v>750000</v>
      </c>
      <c r="G310" s="2">
        <f t="shared" si="8"/>
        <v>3012.0481927710844</v>
      </c>
      <c r="H310" s="2">
        <f t="shared" si="9"/>
        <v>750000</v>
      </c>
      <c r="I310" t="s">
        <v>775</v>
      </c>
      <c r="J310" t="s">
        <v>154</v>
      </c>
      <c r="K310" t="s">
        <v>2218</v>
      </c>
      <c r="L310" t="s">
        <v>155</v>
      </c>
      <c r="M310" t="s">
        <v>16</v>
      </c>
      <c r="N310" t="s">
        <v>50</v>
      </c>
    </row>
    <row r="311" spans="1:14" hidden="1" x14ac:dyDescent="0.35">
      <c r="A311" t="s">
        <v>906</v>
      </c>
      <c r="B311" t="s">
        <v>12</v>
      </c>
      <c r="C311">
        <v>5</v>
      </c>
      <c r="D311">
        <v>4</v>
      </c>
      <c r="E311" s="1">
        <v>171</v>
      </c>
      <c r="F311" s="3">
        <v>750000</v>
      </c>
      <c r="G311" s="2">
        <f t="shared" si="8"/>
        <v>4385.9649122807014</v>
      </c>
      <c r="H311" s="2">
        <f t="shared" si="9"/>
        <v>750000</v>
      </c>
      <c r="I311" t="s">
        <v>907</v>
      </c>
      <c r="J311" t="s">
        <v>772</v>
      </c>
      <c r="K311" t="s">
        <v>2218</v>
      </c>
      <c r="L311" t="s">
        <v>773</v>
      </c>
      <c r="M311" t="s">
        <v>16</v>
      </c>
      <c r="N311" t="s">
        <v>2242</v>
      </c>
    </row>
    <row r="312" spans="1:14" hidden="1" x14ac:dyDescent="0.35">
      <c r="A312" t="s">
        <v>1038</v>
      </c>
      <c r="B312" t="s">
        <v>251</v>
      </c>
      <c r="C312">
        <v>2</v>
      </c>
      <c r="D312">
        <v>2</v>
      </c>
      <c r="E312" s="1">
        <v>840</v>
      </c>
      <c r="F312" s="3">
        <v>750000</v>
      </c>
      <c r="G312" s="2">
        <f t="shared" si="8"/>
        <v>892.85714285714289</v>
      </c>
      <c r="H312" s="2">
        <f t="shared" si="9"/>
        <v>750000</v>
      </c>
      <c r="I312" t="s">
        <v>1039</v>
      </c>
      <c r="J312" t="s">
        <v>695</v>
      </c>
      <c r="K312" t="s">
        <v>2218</v>
      </c>
      <c r="L312" t="s">
        <v>696</v>
      </c>
      <c r="M312" t="s">
        <v>16</v>
      </c>
      <c r="N312" t="s">
        <v>2242</v>
      </c>
    </row>
    <row r="313" spans="1:14" hidden="1" x14ac:dyDescent="0.35">
      <c r="A313" t="s">
        <v>1241</v>
      </c>
      <c r="B313" t="s">
        <v>66</v>
      </c>
      <c r="C313">
        <v>3</v>
      </c>
      <c r="D313">
        <v>2</v>
      </c>
      <c r="E313" s="1">
        <v>70</v>
      </c>
      <c r="F313" s="3">
        <v>750000</v>
      </c>
      <c r="G313" s="2">
        <f t="shared" si="8"/>
        <v>10714.285714285714</v>
      </c>
      <c r="H313" s="2">
        <f t="shared" si="9"/>
        <v>750000</v>
      </c>
      <c r="I313" t="s">
        <v>1030</v>
      </c>
      <c r="J313" t="s">
        <v>264</v>
      </c>
      <c r="K313" t="s">
        <v>2217</v>
      </c>
      <c r="L313" t="s">
        <v>265</v>
      </c>
      <c r="M313" t="s">
        <v>16</v>
      </c>
      <c r="N313" t="s">
        <v>45</v>
      </c>
    </row>
    <row r="314" spans="1:14" x14ac:dyDescent="0.35">
      <c r="A314" t="s">
        <v>1369</v>
      </c>
      <c r="B314" t="s">
        <v>18</v>
      </c>
      <c r="C314">
        <v>4</v>
      </c>
      <c r="D314">
        <v>4</v>
      </c>
      <c r="E314" s="1">
        <v>200</v>
      </c>
      <c r="F314" s="3">
        <v>750000</v>
      </c>
      <c r="G314" s="2">
        <f t="shared" si="8"/>
        <v>3750</v>
      </c>
      <c r="H314" s="2">
        <f t="shared" si="9"/>
        <v>750000</v>
      </c>
      <c r="I314" t="s">
        <v>578</v>
      </c>
      <c r="J314" t="s">
        <v>14</v>
      </c>
      <c r="K314" t="s">
        <v>2215</v>
      </c>
      <c r="L314" t="s">
        <v>15</v>
      </c>
      <c r="M314" t="s">
        <v>16</v>
      </c>
      <c r="N314" t="s">
        <v>1370</v>
      </c>
    </row>
    <row r="315" spans="1:14" hidden="1" x14ac:dyDescent="0.35">
      <c r="A315" t="s">
        <v>1380</v>
      </c>
      <c r="B315" t="s">
        <v>66</v>
      </c>
      <c r="C315">
        <v>4</v>
      </c>
      <c r="D315">
        <v>3</v>
      </c>
      <c r="E315" s="1">
        <v>133</v>
      </c>
      <c r="F315" s="3">
        <v>750000</v>
      </c>
      <c r="G315" s="2">
        <f t="shared" si="8"/>
        <v>5639.0977443609027</v>
      </c>
      <c r="H315" s="2">
        <f t="shared" si="9"/>
        <v>750000</v>
      </c>
      <c r="I315" t="s">
        <v>1381</v>
      </c>
      <c r="J315" t="s">
        <v>68</v>
      </c>
      <c r="K315" t="s">
        <v>2218</v>
      </c>
      <c r="L315" t="s">
        <v>69</v>
      </c>
      <c r="M315" t="s">
        <v>16</v>
      </c>
      <c r="N315" t="s">
        <v>426</v>
      </c>
    </row>
    <row r="316" spans="1:14" hidden="1" x14ac:dyDescent="0.35">
      <c r="A316" t="s">
        <v>1391</v>
      </c>
      <c r="B316" t="s">
        <v>12</v>
      </c>
      <c r="C316">
        <v>3</v>
      </c>
      <c r="D316">
        <v>3</v>
      </c>
      <c r="E316" s="1">
        <v>171</v>
      </c>
      <c r="F316" s="3">
        <v>750000</v>
      </c>
      <c r="G316" s="2">
        <f t="shared" si="8"/>
        <v>4385.9649122807014</v>
      </c>
      <c r="H316" s="2">
        <f t="shared" si="9"/>
        <v>750000</v>
      </c>
      <c r="I316" t="s">
        <v>857</v>
      </c>
      <c r="J316" t="s">
        <v>154</v>
      </c>
      <c r="K316" t="s">
        <v>2218</v>
      </c>
      <c r="L316" t="s">
        <v>155</v>
      </c>
      <c r="M316" t="s">
        <v>16</v>
      </c>
      <c r="N316" t="s">
        <v>1390</v>
      </c>
    </row>
    <row r="317" spans="1:14" hidden="1" x14ac:dyDescent="0.35">
      <c r="A317" t="s">
        <v>1439</v>
      </c>
      <c r="B317" t="s">
        <v>66</v>
      </c>
      <c r="C317">
        <v>3</v>
      </c>
      <c r="D317">
        <v>3</v>
      </c>
      <c r="E317" s="1">
        <v>107</v>
      </c>
      <c r="F317" s="3">
        <v>750000</v>
      </c>
      <c r="G317" s="2">
        <f t="shared" si="8"/>
        <v>7009.3457943925232</v>
      </c>
      <c r="H317" s="2">
        <f t="shared" si="9"/>
        <v>750000</v>
      </c>
      <c r="I317" t="s">
        <v>712</v>
      </c>
      <c r="J317" t="s">
        <v>125</v>
      </c>
      <c r="K317" t="s">
        <v>2217</v>
      </c>
      <c r="L317" t="s">
        <v>126</v>
      </c>
      <c r="M317" t="s">
        <v>16</v>
      </c>
      <c r="N317" t="s">
        <v>2242</v>
      </c>
    </row>
    <row r="318" spans="1:14" hidden="1" x14ac:dyDescent="0.35">
      <c r="A318" t="s">
        <v>1626</v>
      </c>
      <c r="B318" t="s">
        <v>12</v>
      </c>
      <c r="C318">
        <v>4</v>
      </c>
      <c r="D318">
        <v>4</v>
      </c>
      <c r="E318" s="1">
        <v>172</v>
      </c>
      <c r="F318" s="3">
        <v>750000</v>
      </c>
      <c r="G318" s="2">
        <f t="shared" si="8"/>
        <v>4360.4651162790697</v>
      </c>
      <c r="H318" s="2">
        <f t="shared" si="9"/>
        <v>750000</v>
      </c>
      <c r="I318" t="s">
        <v>2213</v>
      </c>
      <c r="J318" t="s">
        <v>218</v>
      </c>
      <c r="K318" t="s">
        <v>2215</v>
      </c>
      <c r="L318" t="s">
        <v>219</v>
      </c>
      <c r="M318" t="s">
        <v>16</v>
      </c>
      <c r="N318" t="s">
        <v>171</v>
      </c>
    </row>
    <row r="319" spans="1:14" hidden="1" x14ac:dyDescent="0.35">
      <c r="A319" t="s">
        <v>1676</v>
      </c>
      <c r="B319" t="s">
        <v>12</v>
      </c>
      <c r="C319">
        <v>3</v>
      </c>
      <c r="D319">
        <v>4</v>
      </c>
      <c r="E319" s="1">
        <v>185</v>
      </c>
      <c r="F319" s="3">
        <v>750000</v>
      </c>
      <c r="G319" s="2">
        <f t="shared" si="8"/>
        <v>4054.0540540540542</v>
      </c>
      <c r="H319" s="2">
        <f t="shared" si="9"/>
        <v>750000</v>
      </c>
      <c r="I319" t="s">
        <v>1677</v>
      </c>
      <c r="J319" t="s">
        <v>97</v>
      </c>
      <c r="K319" t="s">
        <v>2217</v>
      </c>
      <c r="L319" t="s">
        <v>98</v>
      </c>
      <c r="M319" t="s">
        <v>16</v>
      </c>
      <c r="N319" t="s">
        <v>407</v>
      </c>
    </row>
    <row r="320" spans="1:14" hidden="1" x14ac:dyDescent="0.35">
      <c r="A320" t="s">
        <v>1878</v>
      </c>
      <c r="B320" t="s">
        <v>12</v>
      </c>
      <c r="C320">
        <v>3</v>
      </c>
      <c r="D320">
        <v>4</v>
      </c>
      <c r="E320" s="1">
        <v>300</v>
      </c>
      <c r="F320" s="3">
        <v>750000</v>
      </c>
      <c r="G320" s="2">
        <f t="shared" si="8"/>
        <v>2500</v>
      </c>
      <c r="H320" s="2">
        <f t="shared" si="9"/>
        <v>750000</v>
      </c>
      <c r="I320" t="s">
        <v>1879</v>
      </c>
      <c r="J320" t="s">
        <v>97</v>
      </c>
      <c r="K320" t="s">
        <v>2217</v>
      </c>
      <c r="L320" t="s">
        <v>98</v>
      </c>
      <c r="M320" t="s">
        <v>16</v>
      </c>
      <c r="N320" t="s">
        <v>407</v>
      </c>
    </row>
    <row r="321" spans="1:14" hidden="1" x14ac:dyDescent="0.35">
      <c r="A321" t="s">
        <v>2000</v>
      </c>
      <c r="B321" t="s">
        <v>12</v>
      </c>
      <c r="C321">
        <v>4</v>
      </c>
      <c r="D321">
        <v>3</v>
      </c>
      <c r="E321" s="1">
        <v>205</v>
      </c>
      <c r="F321" s="3">
        <v>750000</v>
      </c>
      <c r="G321" s="2">
        <f t="shared" si="8"/>
        <v>3658.5365853658536</v>
      </c>
      <c r="H321" s="2">
        <f t="shared" si="9"/>
        <v>750000</v>
      </c>
      <c r="I321" t="s">
        <v>2001</v>
      </c>
      <c r="J321" t="s">
        <v>97</v>
      </c>
      <c r="K321" t="s">
        <v>2217</v>
      </c>
      <c r="L321" t="s">
        <v>98</v>
      </c>
      <c r="M321" t="s">
        <v>16</v>
      </c>
      <c r="N321" t="s">
        <v>407</v>
      </c>
    </row>
    <row r="322" spans="1:14" hidden="1" x14ac:dyDescent="0.35">
      <c r="A322" t="s">
        <v>2077</v>
      </c>
      <c r="B322" t="s">
        <v>66</v>
      </c>
      <c r="C322">
        <v>3</v>
      </c>
      <c r="D322">
        <v>3</v>
      </c>
      <c r="E322" s="1">
        <v>127</v>
      </c>
      <c r="F322" s="3">
        <v>750000</v>
      </c>
      <c r="G322" s="2">
        <f t="shared" si="8"/>
        <v>5905.5118110236217</v>
      </c>
      <c r="H322" s="2">
        <f t="shared" si="9"/>
        <v>750000</v>
      </c>
      <c r="I322" t="s">
        <v>2078</v>
      </c>
      <c r="J322" t="s">
        <v>1571</v>
      </c>
      <c r="K322" t="s">
        <v>2217</v>
      </c>
      <c r="L322" t="s">
        <v>1572</v>
      </c>
      <c r="M322" t="s">
        <v>16</v>
      </c>
      <c r="N322" t="s">
        <v>2079</v>
      </c>
    </row>
    <row r="323" spans="1:14" hidden="1" x14ac:dyDescent="0.35">
      <c r="A323" t="s">
        <v>2083</v>
      </c>
      <c r="B323" t="s">
        <v>66</v>
      </c>
      <c r="C323">
        <v>3</v>
      </c>
      <c r="D323">
        <v>4</v>
      </c>
      <c r="E323" s="1">
        <v>600</v>
      </c>
      <c r="F323" s="3">
        <v>750000</v>
      </c>
      <c r="G323" s="2">
        <f t="shared" si="8"/>
        <v>1250</v>
      </c>
      <c r="H323" s="2">
        <f t="shared" si="9"/>
        <v>750000</v>
      </c>
      <c r="I323" t="s">
        <v>2043</v>
      </c>
      <c r="J323" t="s">
        <v>97</v>
      </c>
      <c r="K323" t="s">
        <v>2217</v>
      </c>
      <c r="L323" t="s">
        <v>98</v>
      </c>
      <c r="M323" t="s">
        <v>16</v>
      </c>
      <c r="N323" t="s">
        <v>2242</v>
      </c>
    </row>
    <row r="324" spans="1:14" hidden="1" x14ac:dyDescent="0.35">
      <c r="A324" t="s">
        <v>2149</v>
      </c>
      <c r="B324" t="s">
        <v>12</v>
      </c>
      <c r="C324">
        <v>3</v>
      </c>
      <c r="D324">
        <v>3</v>
      </c>
      <c r="E324" s="1">
        <v>205</v>
      </c>
      <c r="F324" s="3">
        <v>750000</v>
      </c>
      <c r="G324" s="2">
        <f t="shared" si="8"/>
        <v>3658.5365853658536</v>
      </c>
      <c r="H324" s="2">
        <f t="shared" si="9"/>
        <v>750000</v>
      </c>
      <c r="I324" t="s">
        <v>2150</v>
      </c>
      <c r="J324" t="s">
        <v>97</v>
      </c>
      <c r="K324" t="s">
        <v>2217</v>
      </c>
      <c r="L324" t="s">
        <v>98</v>
      </c>
      <c r="M324" t="s">
        <v>16</v>
      </c>
      <c r="N324" t="s">
        <v>407</v>
      </c>
    </row>
    <row r="325" spans="1:14" hidden="1" x14ac:dyDescent="0.35">
      <c r="A325" t="s">
        <v>95</v>
      </c>
      <c r="B325" t="s">
        <v>1033</v>
      </c>
      <c r="C325">
        <v>0</v>
      </c>
      <c r="D325">
        <v>0</v>
      </c>
      <c r="E325" s="1">
        <v>418</v>
      </c>
      <c r="F325" s="3">
        <v>1800</v>
      </c>
      <c r="G325" s="2">
        <f t="shared" ref="G325:G388" si="10">IF(F325&lt;50000,F325,F325/E325)</f>
        <v>1800</v>
      </c>
      <c r="H325" s="2">
        <f t="shared" ref="H325:H388" si="11">IF(F325&lt;50000,E325*F325,F325)</f>
        <v>752400</v>
      </c>
      <c r="I325" t="s">
        <v>96</v>
      </c>
      <c r="J325" t="s">
        <v>97</v>
      </c>
      <c r="K325" t="s">
        <v>2217</v>
      </c>
      <c r="L325" t="s">
        <v>98</v>
      </c>
      <c r="M325" t="s">
        <v>16</v>
      </c>
      <c r="N325" t="s">
        <v>2242</v>
      </c>
    </row>
    <row r="326" spans="1:14" hidden="1" x14ac:dyDescent="0.35">
      <c r="A326" t="s">
        <v>1346</v>
      </c>
      <c r="B326" t="s">
        <v>66</v>
      </c>
      <c r="C326">
        <v>3</v>
      </c>
      <c r="D326">
        <v>3</v>
      </c>
      <c r="E326" s="1">
        <v>122</v>
      </c>
      <c r="F326" s="3">
        <v>753000</v>
      </c>
      <c r="G326" s="2">
        <f t="shared" si="10"/>
        <v>6172.1311475409839</v>
      </c>
      <c r="H326" s="2">
        <f t="shared" si="11"/>
        <v>753000</v>
      </c>
      <c r="I326" t="s">
        <v>814</v>
      </c>
      <c r="J326" t="s">
        <v>405</v>
      </c>
      <c r="K326" t="s">
        <v>2217</v>
      </c>
      <c r="L326" t="s">
        <v>406</v>
      </c>
      <c r="M326" t="s">
        <v>16</v>
      </c>
      <c r="N326" t="s">
        <v>1074</v>
      </c>
    </row>
    <row r="327" spans="1:14" hidden="1" x14ac:dyDescent="0.35">
      <c r="A327" t="s">
        <v>2005</v>
      </c>
      <c r="B327" t="s">
        <v>66</v>
      </c>
      <c r="C327">
        <v>3</v>
      </c>
      <c r="D327">
        <v>3</v>
      </c>
      <c r="E327" s="1">
        <v>122</v>
      </c>
      <c r="F327" s="3">
        <v>753000</v>
      </c>
      <c r="G327" s="2">
        <f t="shared" si="10"/>
        <v>6172.1311475409839</v>
      </c>
      <c r="H327" s="2">
        <f t="shared" si="11"/>
        <v>753000</v>
      </c>
      <c r="I327" t="s">
        <v>763</v>
      </c>
      <c r="J327" t="s">
        <v>405</v>
      </c>
      <c r="K327" t="s">
        <v>2217</v>
      </c>
      <c r="L327" t="s">
        <v>406</v>
      </c>
      <c r="M327" t="s">
        <v>16</v>
      </c>
      <c r="N327" t="s">
        <v>1074</v>
      </c>
    </row>
    <row r="328" spans="1:14" hidden="1" x14ac:dyDescent="0.35">
      <c r="A328" t="s">
        <v>135</v>
      </c>
      <c r="B328" t="s">
        <v>12</v>
      </c>
      <c r="C328">
        <v>4</v>
      </c>
      <c r="D328">
        <v>4</v>
      </c>
      <c r="E328" s="1">
        <v>214</v>
      </c>
      <c r="F328" s="3">
        <v>760000</v>
      </c>
      <c r="G328" s="2">
        <f t="shared" si="10"/>
        <v>3551.4018691588785</v>
      </c>
      <c r="H328" s="2">
        <f t="shared" si="11"/>
        <v>760000</v>
      </c>
      <c r="I328" t="s">
        <v>136</v>
      </c>
      <c r="J328" t="s">
        <v>14</v>
      </c>
      <c r="K328" t="s">
        <v>2215</v>
      </c>
      <c r="L328" t="s">
        <v>15</v>
      </c>
      <c r="M328" t="s">
        <v>16</v>
      </c>
      <c r="N328" t="s">
        <v>50</v>
      </c>
    </row>
    <row r="329" spans="1:14" hidden="1" x14ac:dyDescent="0.35">
      <c r="A329" t="s">
        <v>316</v>
      </c>
      <c r="B329" t="s">
        <v>12</v>
      </c>
      <c r="C329">
        <v>4</v>
      </c>
      <c r="D329">
        <v>4</v>
      </c>
      <c r="E329" s="1">
        <v>214</v>
      </c>
      <c r="F329" s="3">
        <v>760000</v>
      </c>
      <c r="G329" s="2">
        <f t="shared" si="10"/>
        <v>3551.4018691588785</v>
      </c>
      <c r="H329" s="2">
        <f t="shared" si="11"/>
        <v>760000</v>
      </c>
      <c r="I329" t="s">
        <v>317</v>
      </c>
      <c r="J329" t="s">
        <v>14</v>
      </c>
      <c r="K329" t="s">
        <v>2215</v>
      </c>
      <c r="L329" t="s">
        <v>15</v>
      </c>
      <c r="M329" t="s">
        <v>16</v>
      </c>
      <c r="N329" t="s">
        <v>2242</v>
      </c>
    </row>
    <row r="330" spans="1:14" hidden="1" x14ac:dyDescent="0.35">
      <c r="A330" t="s">
        <v>319</v>
      </c>
      <c r="B330" t="s">
        <v>12</v>
      </c>
      <c r="C330">
        <v>3</v>
      </c>
      <c r="D330">
        <v>3</v>
      </c>
      <c r="E330" s="1">
        <v>214</v>
      </c>
      <c r="F330" s="3">
        <v>760000</v>
      </c>
      <c r="G330" s="2">
        <f t="shared" si="10"/>
        <v>3551.4018691588785</v>
      </c>
      <c r="H330" s="2">
        <f t="shared" si="11"/>
        <v>760000</v>
      </c>
      <c r="I330" t="s">
        <v>317</v>
      </c>
      <c r="J330" t="s">
        <v>14</v>
      </c>
      <c r="K330" t="s">
        <v>2215</v>
      </c>
      <c r="L330" t="s">
        <v>15</v>
      </c>
      <c r="M330" t="s">
        <v>16</v>
      </c>
      <c r="N330" t="s">
        <v>50</v>
      </c>
    </row>
    <row r="331" spans="1:14" hidden="1" x14ac:dyDescent="0.35">
      <c r="A331" t="s">
        <v>320</v>
      </c>
      <c r="B331" t="s">
        <v>12</v>
      </c>
      <c r="C331">
        <v>4</v>
      </c>
      <c r="D331">
        <v>4</v>
      </c>
      <c r="E331" s="1">
        <v>214</v>
      </c>
      <c r="F331" s="3">
        <v>760000</v>
      </c>
      <c r="G331" s="2">
        <f t="shared" si="10"/>
        <v>3551.4018691588785</v>
      </c>
      <c r="H331" s="2">
        <f t="shared" si="11"/>
        <v>760000</v>
      </c>
      <c r="I331" t="s">
        <v>321</v>
      </c>
      <c r="J331" t="s">
        <v>14</v>
      </c>
      <c r="K331" t="s">
        <v>2215</v>
      </c>
      <c r="L331" t="s">
        <v>15</v>
      </c>
      <c r="M331" t="s">
        <v>16</v>
      </c>
      <c r="N331" t="s">
        <v>50</v>
      </c>
    </row>
    <row r="332" spans="1:14" hidden="1" x14ac:dyDescent="0.35">
      <c r="A332" t="s">
        <v>433</v>
      </c>
      <c r="B332" t="s">
        <v>12</v>
      </c>
      <c r="C332">
        <v>4</v>
      </c>
      <c r="D332">
        <v>4</v>
      </c>
      <c r="E332" s="1">
        <v>214</v>
      </c>
      <c r="F332" s="3">
        <v>760000</v>
      </c>
      <c r="G332" s="2">
        <f t="shared" si="10"/>
        <v>3551.4018691588785</v>
      </c>
      <c r="H332" s="2">
        <f t="shared" si="11"/>
        <v>760000</v>
      </c>
      <c r="I332" t="s">
        <v>317</v>
      </c>
      <c r="J332" t="s">
        <v>14</v>
      </c>
      <c r="K332" t="s">
        <v>2215</v>
      </c>
      <c r="L332" t="s">
        <v>15</v>
      </c>
      <c r="M332" t="s">
        <v>16</v>
      </c>
      <c r="N332" t="s">
        <v>50</v>
      </c>
    </row>
    <row r="333" spans="1:14" hidden="1" x14ac:dyDescent="0.35">
      <c r="A333" t="s">
        <v>470</v>
      </c>
      <c r="B333" t="s">
        <v>12</v>
      </c>
      <c r="C333">
        <v>4</v>
      </c>
      <c r="D333">
        <v>4</v>
      </c>
      <c r="E333" s="1">
        <v>214</v>
      </c>
      <c r="F333" s="3">
        <v>760000</v>
      </c>
      <c r="G333" s="2">
        <f t="shared" si="10"/>
        <v>3551.4018691588785</v>
      </c>
      <c r="H333" s="2">
        <f t="shared" si="11"/>
        <v>760000</v>
      </c>
      <c r="I333" t="s">
        <v>471</v>
      </c>
      <c r="J333" t="s">
        <v>14</v>
      </c>
      <c r="K333" t="s">
        <v>2215</v>
      </c>
      <c r="L333" t="s">
        <v>15</v>
      </c>
      <c r="M333" t="s">
        <v>16</v>
      </c>
      <c r="N333" t="s">
        <v>2242</v>
      </c>
    </row>
    <row r="334" spans="1:14" hidden="1" x14ac:dyDescent="0.35">
      <c r="A334" t="s">
        <v>525</v>
      </c>
      <c r="B334" t="s">
        <v>12</v>
      </c>
      <c r="C334">
        <v>4</v>
      </c>
      <c r="D334">
        <v>4</v>
      </c>
      <c r="E334" s="1">
        <v>214</v>
      </c>
      <c r="F334" s="3">
        <v>760000</v>
      </c>
      <c r="G334" s="2">
        <f t="shared" si="10"/>
        <v>3551.4018691588785</v>
      </c>
      <c r="H334" s="2">
        <f t="shared" si="11"/>
        <v>760000</v>
      </c>
      <c r="I334" t="s">
        <v>317</v>
      </c>
      <c r="J334" t="s">
        <v>14</v>
      </c>
      <c r="K334" t="s">
        <v>2215</v>
      </c>
      <c r="L334" t="s">
        <v>15</v>
      </c>
      <c r="M334" t="s">
        <v>16</v>
      </c>
      <c r="N334" t="s">
        <v>2242</v>
      </c>
    </row>
    <row r="335" spans="1:14" hidden="1" x14ac:dyDescent="0.35">
      <c r="A335" t="s">
        <v>637</v>
      </c>
      <c r="B335" t="s">
        <v>12</v>
      </c>
      <c r="C335">
        <v>4</v>
      </c>
      <c r="D335">
        <v>4</v>
      </c>
      <c r="E335" s="1">
        <v>300</v>
      </c>
      <c r="F335" s="3">
        <v>760000</v>
      </c>
      <c r="G335" s="2">
        <f t="shared" si="10"/>
        <v>2533.3333333333335</v>
      </c>
      <c r="H335" s="2">
        <f t="shared" si="11"/>
        <v>760000</v>
      </c>
      <c r="I335" t="s">
        <v>471</v>
      </c>
      <c r="J335" t="s">
        <v>14</v>
      </c>
      <c r="K335" t="s">
        <v>2215</v>
      </c>
      <c r="L335" t="s">
        <v>15</v>
      </c>
      <c r="M335" t="s">
        <v>16</v>
      </c>
      <c r="N335" t="s">
        <v>50</v>
      </c>
    </row>
    <row r="336" spans="1:14" hidden="1" x14ac:dyDescent="0.35">
      <c r="A336" t="s">
        <v>638</v>
      </c>
      <c r="B336" t="s">
        <v>12</v>
      </c>
      <c r="C336">
        <v>3</v>
      </c>
      <c r="D336">
        <v>3</v>
      </c>
      <c r="E336" s="1">
        <v>214</v>
      </c>
      <c r="F336" s="3">
        <v>760000</v>
      </c>
      <c r="G336" s="2">
        <f t="shared" si="10"/>
        <v>3551.4018691588785</v>
      </c>
      <c r="H336" s="2">
        <f t="shared" si="11"/>
        <v>760000</v>
      </c>
      <c r="I336" t="s">
        <v>471</v>
      </c>
      <c r="J336" t="s">
        <v>14</v>
      </c>
      <c r="K336" t="s">
        <v>2215</v>
      </c>
      <c r="L336" t="s">
        <v>15</v>
      </c>
      <c r="M336" t="s">
        <v>16</v>
      </c>
      <c r="N336" t="s">
        <v>50</v>
      </c>
    </row>
    <row r="337" spans="1:14" hidden="1" x14ac:dyDescent="0.35">
      <c r="A337" t="s">
        <v>643</v>
      </c>
      <c r="B337" t="s">
        <v>12</v>
      </c>
      <c r="C337">
        <v>4</v>
      </c>
      <c r="D337">
        <v>4</v>
      </c>
      <c r="E337" s="1">
        <v>214</v>
      </c>
      <c r="F337" s="3">
        <v>760000</v>
      </c>
      <c r="G337" s="2">
        <f t="shared" si="10"/>
        <v>3551.4018691588785</v>
      </c>
      <c r="H337" s="2">
        <f t="shared" si="11"/>
        <v>760000</v>
      </c>
      <c r="I337" t="s">
        <v>644</v>
      </c>
      <c r="J337" t="s">
        <v>14</v>
      </c>
      <c r="K337" t="s">
        <v>2215</v>
      </c>
      <c r="L337" t="s">
        <v>15</v>
      </c>
      <c r="M337" t="s">
        <v>16</v>
      </c>
      <c r="N337" t="s">
        <v>50</v>
      </c>
    </row>
    <row r="338" spans="1:14" hidden="1" x14ac:dyDescent="0.35">
      <c r="A338" t="s">
        <v>671</v>
      </c>
      <c r="B338" t="s">
        <v>12</v>
      </c>
      <c r="C338">
        <v>3</v>
      </c>
      <c r="D338">
        <v>3</v>
      </c>
      <c r="E338" s="1">
        <v>214</v>
      </c>
      <c r="F338" s="3">
        <v>760000</v>
      </c>
      <c r="G338" s="2">
        <f t="shared" si="10"/>
        <v>3551.4018691588785</v>
      </c>
      <c r="H338" s="2">
        <f t="shared" si="11"/>
        <v>760000</v>
      </c>
      <c r="I338" t="s">
        <v>13</v>
      </c>
      <c r="J338" t="s">
        <v>14</v>
      </c>
      <c r="K338" t="s">
        <v>2215</v>
      </c>
      <c r="L338" t="s">
        <v>15</v>
      </c>
      <c r="M338" t="s">
        <v>16</v>
      </c>
      <c r="N338" t="s">
        <v>50</v>
      </c>
    </row>
    <row r="339" spans="1:14" hidden="1" x14ac:dyDescent="0.35">
      <c r="A339" t="s">
        <v>786</v>
      </c>
      <c r="B339" t="s">
        <v>12</v>
      </c>
      <c r="C339">
        <v>4</v>
      </c>
      <c r="D339">
        <v>3</v>
      </c>
      <c r="E339" s="1">
        <v>214</v>
      </c>
      <c r="F339" s="3">
        <v>760000</v>
      </c>
      <c r="G339" s="2">
        <f t="shared" si="10"/>
        <v>3551.4018691588785</v>
      </c>
      <c r="H339" s="2">
        <f t="shared" si="11"/>
        <v>760000</v>
      </c>
      <c r="I339" t="s">
        <v>317</v>
      </c>
      <c r="J339" t="s">
        <v>14</v>
      </c>
      <c r="K339" t="s">
        <v>2215</v>
      </c>
      <c r="L339" t="s">
        <v>15</v>
      </c>
      <c r="M339" t="s">
        <v>16</v>
      </c>
      <c r="N339" t="s">
        <v>2242</v>
      </c>
    </row>
    <row r="340" spans="1:14" hidden="1" x14ac:dyDescent="0.35">
      <c r="A340" t="s">
        <v>793</v>
      </c>
      <c r="B340" t="s">
        <v>12</v>
      </c>
      <c r="C340">
        <v>4</v>
      </c>
      <c r="D340">
        <v>4</v>
      </c>
      <c r="E340" s="1">
        <v>214</v>
      </c>
      <c r="F340" s="3">
        <v>760000</v>
      </c>
      <c r="G340" s="2">
        <f t="shared" si="10"/>
        <v>3551.4018691588785</v>
      </c>
      <c r="H340" s="2">
        <f t="shared" si="11"/>
        <v>760000</v>
      </c>
      <c r="I340" t="s">
        <v>317</v>
      </c>
      <c r="J340" t="s">
        <v>14</v>
      </c>
      <c r="K340" t="s">
        <v>2215</v>
      </c>
      <c r="L340" t="s">
        <v>15</v>
      </c>
      <c r="M340" t="s">
        <v>16</v>
      </c>
      <c r="N340" t="s">
        <v>50</v>
      </c>
    </row>
    <row r="341" spans="1:14" hidden="1" x14ac:dyDescent="0.35">
      <c r="A341" t="s">
        <v>840</v>
      </c>
      <c r="B341" t="s">
        <v>12</v>
      </c>
      <c r="C341">
        <v>4</v>
      </c>
      <c r="D341">
        <v>4</v>
      </c>
      <c r="E341" s="1">
        <v>214</v>
      </c>
      <c r="F341" s="3">
        <v>760000</v>
      </c>
      <c r="G341" s="2">
        <f t="shared" si="10"/>
        <v>3551.4018691588785</v>
      </c>
      <c r="H341" s="2">
        <f t="shared" si="11"/>
        <v>760000</v>
      </c>
      <c r="I341" t="s">
        <v>317</v>
      </c>
      <c r="J341" t="s">
        <v>14</v>
      </c>
      <c r="K341" t="s">
        <v>2215</v>
      </c>
      <c r="L341" t="s">
        <v>15</v>
      </c>
      <c r="M341" t="s">
        <v>16</v>
      </c>
      <c r="N341" t="s">
        <v>50</v>
      </c>
    </row>
    <row r="342" spans="1:14" hidden="1" x14ac:dyDescent="0.35">
      <c r="A342" t="s">
        <v>868</v>
      </c>
      <c r="B342" t="s">
        <v>12</v>
      </c>
      <c r="C342">
        <v>4</v>
      </c>
      <c r="D342">
        <v>4</v>
      </c>
      <c r="E342" s="1">
        <v>214</v>
      </c>
      <c r="F342" s="3">
        <v>760000</v>
      </c>
      <c r="G342" s="2">
        <f t="shared" si="10"/>
        <v>3551.4018691588785</v>
      </c>
      <c r="H342" s="2">
        <f t="shared" si="11"/>
        <v>760000</v>
      </c>
      <c r="I342" t="s">
        <v>317</v>
      </c>
      <c r="J342" t="s">
        <v>14</v>
      </c>
      <c r="K342" t="s">
        <v>2215</v>
      </c>
      <c r="L342" t="s">
        <v>15</v>
      </c>
      <c r="M342" t="s">
        <v>16</v>
      </c>
      <c r="N342" t="s">
        <v>2242</v>
      </c>
    </row>
    <row r="343" spans="1:14" hidden="1" x14ac:dyDescent="0.35">
      <c r="A343" t="s">
        <v>1095</v>
      </c>
      <c r="B343" t="s">
        <v>12</v>
      </c>
      <c r="C343">
        <v>4</v>
      </c>
      <c r="D343">
        <v>4</v>
      </c>
      <c r="E343" s="1">
        <v>214</v>
      </c>
      <c r="F343" s="3">
        <v>760000</v>
      </c>
      <c r="G343" s="2">
        <f t="shared" si="10"/>
        <v>3551.4018691588785</v>
      </c>
      <c r="H343" s="2">
        <f t="shared" si="11"/>
        <v>760000</v>
      </c>
      <c r="I343" t="s">
        <v>317</v>
      </c>
      <c r="J343" t="s">
        <v>14</v>
      </c>
      <c r="K343" t="s">
        <v>2215</v>
      </c>
      <c r="L343" t="s">
        <v>15</v>
      </c>
      <c r="M343" t="s">
        <v>16</v>
      </c>
      <c r="N343" t="s">
        <v>50</v>
      </c>
    </row>
    <row r="344" spans="1:14" hidden="1" x14ac:dyDescent="0.35">
      <c r="A344" t="s">
        <v>1138</v>
      </c>
      <c r="B344" t="s">
        <v>12</v>
      </c>
      <c r="C344">
        <v>4</v>
      </c>
      <c r="D344">
        <v>4</v>
      </c>
      <c r="E344" s="1">
        <v>214</v>
      </c>
      <c r="F344" s="3">
        <v>760000</v>
      </c>
      <c r="G344" s="2">
        <f t="shared" si="10"/>
        <v>3551.4018691588785</v>
      </c>
      <c r="H344" s="2">
        <f t="shared" si="11"/>
        <v>760000</v>
      </c>
      <c r="I344" t="s">
        <v>138</v>
      </c>
      <c r="J344" t="s">
        <v>14</v>
      </c>
      <c r="K344" t="s">
        <v>2215</v>
      </c>
      <c r="L344" t="s">
        <v>15</v>
      </c>
      <c r="M344" t="s">
        <v>16</v>
      </c>
      <c r="N344" t="s">
        <v>50</v>
      </c>
    </row>
    <row r="345" spans="1:14" hidden="1" x14ac:dyDescent="0.35">
      <c r="A345" t="s">
        <v>840</v>
      </c>
      <c r="B345" t="s">
        <v>12</v>
      </c>
      <c r="C345">
        <v>4</v>
      </c>
      <c r="D345">
        <v>4</v>
      </c>
      <c r="E345" s="1">
        <v>214</v>
      </c>
      <c r="F345" s="3">
        <v>760000</v>
      </c>
      <c r="G345" s="2">
        <f t="shared" si="10"/>
        <v>3551.4018691588785</v>
      </c>
      <c r="H345" s="2">
        <f t="shared" si="11"/>
        <v>760000</v>
      </c>
      <c r="I345" t="s">
        <v>317</v>
      </c>
      <c r="J345" t="s">
        <v>14</v>
      </c>
      <c r="K345" t="s">
        <v>2215</v>
      </c>
      <c r="L345" t="s">
        <v>15</v>
      </c>
      <c r="M345" t="s">
        <v>16</v>
      </c>
      <c r="N345" t="s">
        <v>50</v>
      </c>
    </row>
    <row r="346" spans="1:14" hidden="1" x14ac:dyDescent="0.35">
      <c r="A346" t="s">
        <v>1228</v>
      </c>
      <c r="B346" t="s">
        <v>12</v>
      </c>
      <c r="C346">
        <v>4</v>
      </c>
      <c r="D346">
        <v>4</v>
      </c>
      <c r="E346" s="1">
        <v>214</v>
      </c>
      <c r="F346" s="3">
        <v>760000</v>
      </c>
      <c r="G346" s="2">
        <f t="shared" si="10"/>
        <v>3551.4018691588785</v>
      </c>
      <c r="H346" s="2">
        <f t="shared" si="11"/>
        <v>760000</v>
      </c>
      <c r="I346" t="s">
        <v>13</v>
      </c>
      <c r="J346" t="s">
        <v>14</v>
      </c>
      <c r="K346" t="s">
        <v>2215</v>
      </c>
      <c r="L346" t="s">
        <v>15</v>
      </c>
      <c r="M346" t="s">
        <v>16</v>
      </c>
      <c r="N346" t="s">
        <v>50</v>
      </c>
    </row>
    <row r="347" spans="1:14" hidden="1" x14ac:dyDescent="0.35">
      <c r="A347" t="s">
        <v>1233</v>
      </c>
      <c r="B347" t="s">
        <v>12</v>
      </c>
      <c r="C347">
        <v>4</v>
      </c>
      <c r="D347">
        <v>4</v>
      </c>
      <c r="E347" s="1">
        <v>214</v>
      </c>
      <c r="F347" s="3">
        <v>760000</v>
      </c>
      <c r="G347" s="2">
        <f t="shared" si="10"/>
        <v>3551.4018691588785</v>
      </c>
      <c r="H347" s="2">
        <f t="shared" si="11"/>
        <v>760000</v>
      </c>
      <c r="I347" t="s">
        <v>1234</v>
      </c>
      <c r="J347" t="s">
        <v>14</v>
      </c>
      <c r="K347" t="s">
        <v>2215</v>
      </c>
      <c r="L347" t="s">
        <v>15</v>
      </c>
      <c r="M347" t="s">
        <v>16</v>
      </c>
      <c r="N347" t="s">
        <v>50</v>
      </c>
    </row>
    <row r="348" spans="1:14" hidden="1" x14ac:dyDescent="0.35">
      <c r="A348" t="s">
        <v>1263</v>
      </c>
      <c r="B348" t="s">
        <v>12</v>
      </c>
      <c r="C348">
        <v>4</v>
      </c>
      <c r="D348">
        <v>4</v>
      </c>
      <c r="E348" s="1">
        <v>214</v>
      </c>
      <c r="F348" s="3">
        <v>760000</v>
      </c>
      <c r="G348" s="2">
        <f t="shared" si="10"/>
        <v>3551.4018691588785</v>
      </c>
      <c r="H348" s="2">
        <f t="shared" si="11"/>
        <v>760000</v>
      </c>
      <c r="I348" t="s">
        <v>317</v>
      </c>
      <c r="J348" t="s">
        <v>14</v>
      </c>
      <c r="K348" t="s">
        <v>2215</v>
      </c>
      <c r="L348" t="s">
        <v>15</v>
      </c>
      <c r="M348" t="s">
        <v>16</v>
      </c>
      <c r="N348" t="s">
        <v>2242</v>
      </c>
    </row>
    <row r="349" spans="1:14" hidden="1" x14ac:dyDescent="0.35">
      <c r="A349" t="s">
        <v>1268</v>
      </c>
      <c r="B349" t="s">
        <v>12</v>
      </c>
      <c r="C349">
        <v>4</v>
      </c>
      <c r="D349">
        <v>4</v>
      </c>
      <c r="E349" s="1">
        <v>214</v>
      </c>
      <c r="F349" s="3">
        <v>760000</v>
      </c>
      <c r="G349" s="2">
        <f t="shared" si="10"/>
        <v>3551.4018691588785</v>
      </c>
      <c r="H349" s="2">
        <f t="shared" si="11"/>
        <v>760000</v>
      </c>
      <c r="I349" t="s">
        <v>317</v>
      </c>
      <c r="J349" t="s">
        <v>14</v>
      </c>
      <c r="K349" t="s">
        <v>2215</v>
      </c>
      <c r="L349" t="s">
        <v>15</v>
      </c>
      <c r="M349" t="s">
        <v>16</v>
      </c>
      <c r="N349" t="s">
        <v>50</v>
      </c>
    </row>
    <row r="350" spans="1:14" hidden="1" x14ac:dyDescent="0.35">
      <c r="A350" t="s">
        <v>1269</v>
      </c>
      <c r="B350" t="s">
        <v>12</v>
      </c>
      <c r="C350">
        <v>4</v>
      </c>
      <c r="D350">
        <v>4</v>
      </c>
      <c r="E350" s="1">
        <v>214</v>
      </c>
      <c r="F350" s="3">
        <v>760000</v>
      </c>
      <c r="G350" s="2">
        <f t="shared" si="10"/>
        <v>3551.4018691588785</v>
      </c>
      <c r="H350" s="2">
        <f t="shared" si="11"/>
        <v>760000</v>
      </c>
      <c r="I350" t="s">
        <v>317</v>
      </c>
      <c r="J350" t="s">
        <v>14</v>
      </c>
      <c r="K350" t="s">
        <v>2215</v>
      </c>
      <c r="L350" t="s">
        <v>15</v>
      </c>
      <c r="M350" t="s">
        <v>16</v>
      </c>
      <c r="N350" t="s">
        <v>50</v>
      </c>
    </row>
    <row r="351" spans="1:14" hidden="1" x14ac:dyDescent="0.35">
      <c r="A351" t="s">
        <v>1270</v>
      </c>
      <c r="B351" t="s">
        <v>12</v>
      </c>
      <c r="C351">
        <v>4</v>
      </c>
      <c r="D351">
        <v>4</v>
      </c>
      <c r="E351" s="1">
        <v>214</v>
      </c>
      <c r="F351" s="3">
        <v>760000</v>
      </c>
      <c r="G351" s="2">
        <f t="shared" si="10"/>
        <v>3551.4018691588785</v>
      </c>
      <c r="H351" s="2">
        <f t="shared" si="11"/>
        <v>760000</v>
      </c>
      <c r="I351" t="s">
        <v>1271</v>
      </c>
      <c r="J351" t="s">
        <v>14</v>
      </c>
      <c r="K351" t="s">
        <v>2215</v>
      </c>
      <c r="L351" t="s">
        <v>15</v>
      </c>
      <c r="M351" t="s">
        <v>16</v>
      </c>
      <c r="N351" t="s">
        <v>50</v>
      </c>
    </row>
    <row r="352" spans="1:14" hidden="1" x14ac:dyDescent="0.35">
      <c r="A352" t="s">
        <v>1305</v>
      </c>
      <c r="B352" t="s">
        <v>12</v>
      </c>
      <c r="C352">
        <v>4</v>
      </c>
      <c r="D352">
        <v>4</v>
      </c>
      <c r="E352" s="1">
        <v>214</v>
      </c>
      <c r="F352" s="3">
        <v>760000</v>
      </c>
      <c r="G352" s="2">
        <f t="shared" si="10"/>
        <v>3551.4018691588785</v>
      </c>
      <c r="H352" s="2">
        <f t="shared" si="11"/>
        <v>760000</v>
      </c>
      <c r="I352" t="s">
        <v>13</v>
      </c>
      <c r="J352" t="s">
        <v>14</v>
      </c>
      <c r="K352" t="s">
        <v>2215</v>
      </c>
      <c r="L352" t="s">
        <v>15</v>
      </c>
      <c r="M352" t="s">
        <v>16</v>
      </c>
      <c r="N352" t="s">
        <v>2242</v>
      </c>
    </row>
    <row r="353" spans="1:14" hidden="1" x14ac:dyDescent="0.35">
      <c r="A353" t="s">
        <v>1306</v>
      </c>
      <c r="B353" t="s">
        <v>12</v>
      </c>
      <c r="C353">
        <v>4</v>
      </c>
      <c r="D353">
        <v>4</v>
      </c>
      <c r="E353" s="1">
        <v>214</v>
      </c>
      <c r="F353" s="3">
        <v>760000</v>
      </c>
      <c r="G353" s="2">
        <f t="shared" si="10"/>
        <v>3551.4018691588785</v>
      </c>
      <c r="H353" s="2">
        <f t="shared" si="11"/>
        <v>760000</v>
      </c>
      <c r="I353" t="s">
        <v>321</v>
      </c>
      <c r="J353" t="s">
        <v>14</v>
      </c>
      <c r="K353" t="s">
        <v>2215</v>
      </c>
      <c r="L353" t="s">
        <v>15</v>
      </c>
      <c r="M353" t="s">
        <v>16</v>
      </c>
      <c r="N353" t="s">
        <v>2242</v>
      </c>
    </row>
    <row r="354" spans="1:14" hidden="1" x14ac:dyDescent="0.35">
      <c r="A354" t="s">
        <v>1307</v>
      </c>
      <c r="B354" t="s">
        <v>12</v>
      </c>
      <c r="C354">
        <v>3</v>
      </c>
      <c r="D354">
        <v>3</v>
      </c>
      <c r="E354" s="1">
        <v>214</v>
      </c>
      <c r="F354" s="3">
        <v>760000</v>
      </c>
      <c r="G354" s="2">
        <f t="shared" si="10"/>
        <v>3551.4018691588785</v>
      </c>
      <c r="H354" s="2">
        <f t="shared" si="11"/>
        <v>760000</v>
      </c>
      <c r="I354" t="s">
        <v>136</v>
      </c>
      <c r="J354" t="s">
        <v>14</v>
      </c>
      <c r="K354" t="s">
        <v>2215</v>
      </c>
      <c r="L354" t="s">
        <v>15</v>
      </c>
      <c r="M354" t="s">
        <v>16</v>
      </c>
      <c r="N354" t="s">
        <v>2242</v>
      </c>
    </row>
    <row r="355" spans="1:14" hidden="1" x14ac:dyDescent="0.35">
      <c r="A355" t="s">
        <v>1308</v>
      </c>
      <c r="B355" t="s">
        <v>12</v>
      </c>
      <c r="C355">
        <v>4</v>
      </c>
      <c r="D355">
        <v>4</v>
      </c>
      <c r="E355" s="1">
        <v>214</v>
      </c>
      <c r="F355" s="3">
        <v>760000</v>
      </c>
      <c r="G355" s="2">
        <f t="shared" si="10"/>
        <v>3551.4018691588785</v>
      </c>
      <c r="H355" s="2">
        <f t="shared" si="11"/>
        <v>760000</v>
      </c>
      <c r="I355" t="s">
        <v>321</v>
      </c>
      <c r="J355" t="s">
        <v>14</v>
      </c>
      <c r="K355" t="s">
        <v>2215</v>
      </c>
      <c r="L355" t="s">
        <v>15</v>
      </c>
      <c r="M355" t="s">
        <v>16</v>
      </c>
      <c r="N355" t="s">
        <v>50</v>
      </c>
    </row>
    <row r="356" spans="1:14" hidden="1" x14ac:dyDescent="0.35">
      <c r="A356" t="s">
        <v>1310</v>
      </c>
      <c r="B356" t="s">
        <v>12</v>
      </c>
      <c r="C356">
        <v>4</v>
      </c>
      <c r="D356">
        <v>4</v>
      </c>
      <c r="E356" s="1">
        <v>214</v>
      </c>
      <c r="F356" s="3">
        <v>760000</v>
      </c>
      <c r="G356" s="2">
        <f t="shared" si="10"/>
        <v>3551.4018691588785</v>
      </c>
      <c r="H356" s="2">
        <f t="shared" si="11"/>
        <v>760000</v>
      </c>
      <c r="I356" t="s">
        <v>1210</v>
      </c>
      <c r="J356" t="s">
        <v>14</v>
      </c>
      <c r="K356" t="s">
        <v>2215</v>
      </c>
      <c r="L356" t="s">
        <v>15</v>
      </c>
      <c r="M356" t="s">
        <v>16</v>
      </c>
      <c r="N356" t="s">
        <v>50</v>
      </c>
    </row>
    <row r="357" spans="1:14" hidden="1" x14ac:dyDescent="0.35">
      <c r="A357" t="s">
        <v>1339</v>
      </c>
      <c r="B357" t="s">
        <v>12</v>
      </c>
      <c r="C357">
        <v>4</v>
      </c>
      <c r="D357">
        <v>4</v>
      </c>
      <c r="E357" s="1">
        <v>214</v>
      </c>
      <c r="F357" s="3">
        <v>760000</v>
      </c>
      <c r="G357" s="2">
        <f t="shared" si="10"/>
        <v>3551.4018691588785</v>
      </c>
      <c r="H357" s="2">
        <f t="shared" si="11"/>
        <v>760000</v>
      </c>
      <c r="I357" t="s">
        <v>1210</v>
      </c>
      <c r="J357" t="s">
        <v>14</v>
      </c>
      <c r="K357" t="s">
        <v>2215</v>
      </c>
      <c r="L357" t="s">
        <v>15</v>
      </c>
      <c r="M357" t="s">
        <v>16</v>
      </c>
      <c r="N357" t="s">
        <v>2242</v>
      </c>
    </row>
    <row r="358" spans="1:14" hidden="1" x14ac:dyDescent="0.35">
      <c r="A358" t="s">
        <v>1522</v>
      </c>
      <c r="B358" t="s">
        <v>12</v>
      </c>
      <c r="C358">
        <v>4</v>
      </c>
      <c r="D358">
        <v>4</v>
      </c>
      <c r="E358" s="1">
        <v>214</v>
      </c>
      <c r="F358" s="3">
        <v>760000</v>
      </c>
      <c r="G358" s="2">
        <f t="shared" si="10"/>
        <v>3551.4018691588785</v>
      </c>
      <c r="H358" s="2">
        <f t="shared" si="11"/>
        <v>760000</v>
      </c>
      <c r="I358" t="s">
        <v>317</v>
      </c>
      <c r="J358" t="s">
        <v>14</v>
      </c>
      <c r="K358" t="s">
        <v>2215</v>
      </c>
      <c r="L358" t="s">
        <v>15</v>
      </c>
      <c r="M358" t="s">
        <v>16</v>
      </c>
      <c r="N358" t="s">
        <v>2242</v>
      </c>
    </row>
    <row r="359" spans="1:14" hidden="1" x14ac:dyDescent="0.35">
      <c r="A359" t="s">
        <v>1537</v>
      </c>
      <c r="B359" t="s">
        <v>12</v>
      </c>
      <c r="C359">
        <v>4</v>
      </c>
      <c r="D359">
        <v>4</v>
      </c>
      <c r="E359" s="1">
        <v>214</v>
      </c>
      <c r="F359" s="3">
        <v>760000</v>
      </c>
      <c r="G359" s="2">
        <f t="shared" si="10"/>
        <v>3551.4018691588785</v>
      </c>
      <c r="H359" s="2">
        <f t="shared" si="11"/>
        <v>760000</v>
      </c>
      <c r="I359" t="s">
        <v>317</v>
      </c>
      <c r="J359" t="s">
        <v>14</v>
      </c>
      <c r="K359" t="s">
        <v>2215</v>
      </c>
      <c r="L359" t="s">
        <v>15</v>
      </c>
      <c r="M359" t="s">
        <v>16</v>
      </c>
      <c r="N359" t="s">
        <v>50</v>
      </c>
    </row>
    <row r="360" spans="1:14" hidden="1" x14ac:dyDescent="0.35">
      <c r="A360" t="s">
        <v>1308</v>
      </c>
      <c r="B360" t="s">
        <v>12</v>
      </c>
      <c r="C360">
        <v>4</v>
      </c>
      <c r="D360">
        <v>4</v>
      </c>
      <c r="E360" s="1">
        <v>214</v>
      </c>
      <c r="F360" s="3">
        <v>760000</v>
      </c>
      <c r="G360" s="2">
        <f t="shared" si="10"/>
        <v>3551.4018691588785</v>
      </c>
      <c r="H360" s="2">
        <f t="shared" si="11"/>
        <v>760000</v>
      </c>
      <c r="I360" t="s">
        <v>321</v>
      </c>
      <c r="J360" t="s">
        <v>14</v>
      </c>
      <c r="K360" t="s">
        <v>2215</v>
      </c>
      <c r="L360" t="s">
        <v>15</v>
      </c>
      <c r="M360" t="s">
        <v>16</v>
      </c>
      <c r="N360" t="s">
        <v>50</v>
      </c>
    </row>
    <row r="361" spans="1:14" hidden="1" x14ac:dyDescent="0.35">
      <c r="A361" t="s">
        <v>1973</v>
      </c>
      <c r="B361" t="s">
        <v>12</v>
      </c>
      <c r="C361">
        <v>4</v>
      </c>
      <c r="D361">
        <v>4</v>
      </c>
      <c r="E361" s="1">
        <v>214</v>
      </c>
      <c r="F361" s="3">
        <v>760000</v>
      </c>
      <c r="G361" s="2">
        <f t="shared" si="10"/>
        <v>3551.4018691588785</v>
      </c>
      <c r="H361" s="2">
        <f t="shared" si="11"/>
        <v>760000</v>
      </c>
      <c r="I361" t="s">
        <v>317</v>
      </c>
      <c r="J361" t="s">
        <v>14</v>
      </c>
      <c r="K361" t="s">
        <v>2215</v>
      </c>
      <c r="L361" t="s">
        <v>15</v>
      </c>
      <c r="M361" t="s">
        <v>16</v>
      </c>
      <c r="N361" t="s">
        <v>50</v>
      </c>
    </row>
    <row r="362" spans="1:14" hidden="1" x14ac:dyDescent="0.35">
      <c r="A362" t="s">
        <v>1977</v>
      </c>
      <c r="B362" t="s">
        <v>66</v>
      </c>
      <c r="C362">
        <v>5</v>
      </c>
      <c r="D362">
        <v>3</v>
      </c>
      <c r="E362" s="1">
        <v>138</v>
      </c>
      <c r="F362" s="3">
        <v>760000</v>
      </c>
      <c r="G362" s="2">
        <f t="shared" si="10"/>
        <v>5507.246376811594</v>
      </c>
      <c r="H362" s="2">
        <f t="shared" si="11"/>
        <v>760000</v>
      </c>
      <c r="I362" t="s">
        <v>1978</v>
      </c>
      <c r="J362" t="s">
        <v>125</v>
      </c>
      <c r="K362" t="s">
        <v>2217</v>
      </c>
      <c r="L362" t="s">
        <v>126</v>
      </c>
      <c r="M362" t="s">
        <v>16</v>
      </c>
      <c r="N362" t="s">
        <v>464</v>
      </c>
    </row>
    <row r="363" spans="1:14" hidden="1" x14ac:dyDescent="0.35">
      <c r="A363" t="s">
        <v>404</v>
      </c>
      <c r="B363" t="s">
        <v>66</v>
      </c>
      <c r="C363">
        <v>3</v>
      </c>
      <c r="D363">
        <v>4</v>
      </c>
      <c r="E363" s="1">
        <v>124</v>
      </c>
      <c r="F363" s="3">
        <v>765000</v>
      </c>
      <c r="G363" s="2">
        <f t="shared" si="10"/>
        <v>6169.3548387096771</v>
      </c>
      <c r="H363" s="2">
        <f t="shared" si="11"/>
        <v>765000</v>
      </c>
      <c r="I363" t="s">
        <v>2235</v>
      </c>
      <c r="J363" t="s">
        <v>405</v>
      </c>
      <c r="K363" t="s">
        <v>2217</v>
      </c>
      <c r="L363" t="s">
        <v>406</v>
      </c>
      <c r="M363" t="s">
        <v>16</v>
      </c>
      <c r="N363" t="s">
        <v>407</v>
      </c>
    </row>
    <row r="364" spans="1:14" hidden="1" x14ac:dyDescent="0.35">
      <c r="A364" t="s">
        <v>411</v>
      </c>
      <c r="B364" t="s">
        <v>12</v>
      </c>
      <c r="C364">
        <v>2</v>
      </c>
      <c r="D364">
        <v>2</v>
      </c>
      <c r="E364" s="1">
        <v>193</v>
      </c>
      <c r="F364" s="3">
        <v>769999</v>
      </c>
      <c r="G364" s="2">
        <f t="shared" si="10"/>
        <v>3989.6321243523316</v>
      </c>
      <c r="H364" s="2">
        <f t="shared" si="11"/>
        <v>769999</v>
      </c>
      <c r="I364" t="s">
        <v>412</v>
      </c>
      <c r="J364" t="s">
        <v>413</v>
      </c>
      <c r="K364" t="s">
        <v>2215</v>
      </c>
      <c r="L364" t="s">
        <v>414</v>
      </c>
      <c r="M364" t="s">
        <v>16</v>
      </c>
      <c r="N364" t="s">
        <v>415</v>
      </c>
    </row>
    <row r="365" spans="1:14" hidden="1" x14ac:dyDescent="0.35">
      <c r="A365" t="s">
        <v>522</v>
      </c>
      <c r="B365" t="s">
        <v>66</v>
      </c>
      <c r="C365">
        <v>4</v>
      </c>
      <c r="D365">
        <v>3</v>
      </c>
      <c r="E365" s="1">
        <v>140</v>
      </c>
      <c r="F365" s="3">
        <v>770000</v>
      </c>
      <c r="G365" s="2">
        <f t="shared" si="10"/>
        <v>5500</v>
      </c>
      <c r="H365" s="2">
        <f t="shared" si="11"/>
        <v>770000</v>
      </c>
      <c r="I365" t="s">
        <v>523</v>
      </c>
      <c r="J365" t="s">
        <v>405</v>
      </c>
      <c r="K365" t="s">
        <v>2217</v>
      </c>
      <c r="L365" t="s">
        <v>406</v>
      </c>
      <c r="M365" t="s">
        <v>16</v>
      </c>
      <c r="N365" t="s">
        <v>407</v>
      </c>
    </row>
    <row r="366" spans="1:14" hidden="1" x14ac:dyDescent="0.35">
      <c r="A366" t="s">
        <v>762</v>
      </c>
      <c r="B366" t="s">
        <v>66</v>
      </c>
      <c r="C366">
        <v>3</v>
      </c>
      <c r="D366">
        <v>3</v>
      </c>
      <c r="E366" s="1">
        <v>3001</v>
      </c>
      <c r="F366" s="3">
        <v>770000</v>
      </c>
      <c r="G366" s="2">
        <f t="shared" si="10"/>
        <v>256.58113962012663</v>
      </c>
      <c r="H366" s="2">
        <f t="shared" si="11"/>
        <v>770000</v>
      </c>
      <c r="I366" t="s">
        <v>763</v>
      </c>
      <c r="J366" t="s">
        <v>405</v>
      </c>
      <c r="K366" t="s">
        <v>2217</v>
      </c>
      <c r="L366" t="s">
        <v>406</v>
      </c>
      <c r="M366" t="s">
        <v>16</v>
      </c>
      <c r="N366" t="s">
        <v>764</v>
      </c>
    </row>
    <row r="367" spans="1:14" hidden="1" x14ac:dyDescent="0.35">
      <c r="A367" t="s">
        <v>1356</v>
      </c>
      <c r="B367" t="s">
        <v>66</v>
      </c>
      <c r="C367">
        <v>3</v>
      </c>
      <c r="D367">
        <v>3</v>
      </c>
      <c r="E367" s="1">
        <v>140</v>
      </c>
      <c r="F367" s="3">
        <v>770000</v>
      </c>
      <c r="G367" s="2">
        <f t="shared" si="10"/>
        <v>5500</v>
      </c>
      <c r="H367" s="2">
        <f t="shared" si="11"/>
        <v>770000</v>
      </c>
      <c r="I367" t="s">
        <v>1357</v>
      </c>
      <c r="J367" t="s">
        <v>405</v>
      </c>
      <c r="K367" t="s">
        <v>2217</v>
      </c>
      <c r="L367" t="s">
        <v>406</v>
      </c>
      <c r="M367" t="s">
        <v>16</v>
      </c>
      <c r="N367" t="s">
        <v>407</v>
      </c>
    </row>
    <row r="368" spans="1:14" hidden="1" x14ac:dyDescent="0.35">
      <c r="A368" t="s">
        <v>1359</v>
      </c>
      <c r="B368" t="s">
        <v>66</v>
      </c>
      <c r="C368">
        <v>4</v>
      </c>
      <c r="D368">
        <v>3</v>
      </c>
      <c r="E368" s="1">
        <v>140</v>
      </c>
      <c r="F368" s="3">
        <v>770000</v>
      </c>
      <c r="G368" s="2">
        <f t="shared" si="10"/>
        <v>5500</v>
      </c>
      <c r="H368" s="2">
        <f t="shared" si="11"/>
        <v>770000</v>
      </c>
      <c r="I368" t="s">
        <v>1360</v>
      </c>
      <c r="J368" t="s">
        <v>405</v>
      </c>
      <c r="K368" t="s">
        <v>2217</v>
      </c>
      <c r="L368" t="s">
        <v>406</v>
      </c>
      <c r="M368" t="s">
        <v>16</v>
      </c>
      <c r="N368" t="s">
        <v>407</v>
      </c>
    </row>
    <row r="369" spans="1:14" hidden="1" x14ac:dyDescent="0.35">
      <c r="A369" t="s">
        <v>2187</v>
      </c>
      <c r="B369" t="s">
        <v>66</v>
      </c>
      <c r="C369">
        <v>4</v>
      </c>
      <c r="D369">
        <v>2</v>
      </c>
      <c r="E369" s="1">
        <v>1001</v>
      </c>
      <c r="F369" s="3">
        <v>770000</v>
      </c>
      <c r="G369" s="2">
        <f t="shared" si="10"/>
        <v>769.23076923076928</v>
      </c>
      <c r="H369" s="2">
        <f t="shared" si="11"/>
        <v>770000</v>
      </c>
      <c r="I369" t="s">
        <v>2142</v>
      </c>
      <c r="J369" t="s">
        <v>443</v>
      </c>
      <c r="K369" t="s">
        <v>2217</v>
      </c>
      <c r="L369" t="s">
        <v>444</v>
      </c>
      <c r="M369" t="s">
        <v>16</v>
      </c>
      <c r="N369" t="s">
        <v>2242</v>
      </c>
    </row>
    <row r="370" spans="1:14" hidden="1" x14ac:dyDescent="0.35">
      <c r="A370" t="s">
        <v>222</v>
      </c>
      <c r="B370" t="s">
        <v>1033</v>
      </c>
      <c r="C370">
        <v>0</v>
      </c>
      <c r="D370">
        <v>0</v>
      </c>
      <c r="E370" s="1">
        <v>375</v>
      </c>
      <c r="F370" s="3">
        <v>780000</v>
      </c>
      <c r="G370" s="2">
        <f t="shared" si="10"/>
        <v>2080</v>
      </c>
      <c r="H370" s="2">
        <f t="shared" si="11"/>
        <v>780000</v>
      </c>
      <c r="I370" t="s">
        <v>223</v>
      </c>
      <c r="J370" t="s">
        <v>16</v>
      </c>
      <c r="K370" t="s">
        <v>2216</v>
      </c>
      <c r="L370" t="s">
        <v>224</v>
      </c>
      <c r="M370" t="s">
        <v>16</v>
      </c>
      <c r="N370" t="s">
        <v>225</v>
      </c>
    </row>
    <row r="371" spans="1:14" hidden="1" x14ac:dyDescent="0.35">
      <c r="A371" t="s">
        <v>428</v>
      </c>
      <c r="B371" t="s">
        <v>12</v>
      </c>
      <c r="C371">
        <v>7</v>
      </c>
      <c r="D371">
        <v>3</v>
      </c>
      <c r="E371" s="1">
        <v>227</v>
      </c>
      <c r="F371" s="3">
        <v>780000</v>
      </c>
      <c r="G371" s="2">
        <f t="shared" si="10"/>
        <v>3436.1233480176211</v>
      </c>
      <c r="H371" s="2">
        <f t="shared" si="11"/>
        <v>780000</v>
      </c>
      <c r="I371" t="s">
        <v>429</v>
      </c>
      <c r="J371" t="s">
        <v>430</v>
      </c>
      <c r="K371" t="s">
        <v>2215</v>
      </c>
      <c r="L371" t="s">
        <v>431</v>
      </c>
      <c r="M371" t="s">
        <v>16</v>
      </c>
      <c r="N371" t="s">
        <v>2242</v>
      </c>
    </row>
    <row r="372" spans="1:14" hidden="1" x14ac:dyDescent="0.35">
      <c r="A372" t="s">
        <v>627</v>
      </c>
      <c r="B372" t="s">
        <v>12</v>
      </c>
      <c r="C372">
        <v>6</v>
      </c>
      <c r="D372">
        <v>4</v>
      </c>
      <c r="E372" s="1">
        <v>227</v>
      </c>
      <c r="F372" s="3">
        <v>780000</v>
      </c>
      <c r="G372" s="2">
        <f t="shared" si="10"/>
        <v>3436.1233480176211</v>
      </c>
      <c r="H372" s="2">
        <f t="shared" si="11"/>
        <v>780000</v>
      </c>
      <c r="I372" t="s">
        <v>628</v>
      </c>
      <c r="J372" t="s">
        <v>430</v>
      </c>
      <c r="K372" t="s">
        <v>2215</v>
      </c>
      <c r="L372" t="s">
        <v>431</v>
      </c>
      <c r="M372" t="s">
        <v>16</v>
      </c>
      <c r="N372" t="s">
        <v>624</v>
      </c>
    </row>
    <row r="373" spans="1:14" hidden="1" x14ac:dyDescent="0.35">
      <c r="A373" t="s">
        <v>1280</v>
      </c>
      <c r="B373" t="s">
        <v>1033</v>
      </c>
      <c r="C373">
        <v>0</v>
      </c>
      <c r="D373">
        <v>0</v>
      </c>
      <c r="E373" s="1">
        <v>298</v>
      </c>
      <c r="F373" s="3">
        <v>780000</v>
      </c>
      <c r="G373" s="2">
        <f t="shared" si="10"/>
        <v>2617.44966442953</v>
      </c>
      <c r="H373" s="2">
        <f t="shared" si="11"/>
        <v>780000</v>
      </c>
      <c r="I373" t="s">
        <v>1281</v>
      </c>
      <c r="J373" t="s">
        <v>58</v>
      </c>
      <c r="K373" t="s">
        <v>2216</v>
      </c>
      <c r="L373" t="s">
        <v>59</v>
      </c>
      <c r="M373" t="s">
        <v>16</v>
      </c>
      <c r="N373" t="s">
        <v>1282</v>
      </c>
    </row>
    <row r="374" spans="1:14" hidden="1" x14ac:dyDescent="0.35">
      <c r="A374" t="s">
        <v>1770</v>
      </c>
      <c r="B374" t="s">
        <v>12</v>
      </c>
      <c r="C374">
        <v>3</v>
      </c>
      <c r="D374">
        <v>3</v>
      </c>
      <c r="E374" s="1">
        <v>227</v>
      </c>
      <c r="F374" s="3">
        <v>780000</v>
      </c>
      <c r="G374" s="2">
        <f t="shared" si="10"/>
        <v>3436.1233480176211</v>
      </c>
      <c r="H374" s="2">
        <f t="shared" si="11"/>
        <v>780000</v>
      </c>
      <c r="I374" t="s">
        <v>1771</v>
      </c>
      <c r="J374" t="s">
        <v>430</v>
      </c>
      <c r="K374" t="s">
        <v>2215</v>
      </c>
      <c r="L374" t="s">
        <v>431</v>
      </c>
      <c r="M374" t="s">
        <v>16</v>
      </c>
      <c r="N374" t="s">
        <v>2242</v>
      </c>
    </row>
    <row r="375" spans="1:14" hidden="1" x14ac:dyDescent="0.35">
      <c r="A375" t="s">
        <v>1971</v>
      </c>
      <c r="B375" t="s">
        <v>12</v>
      </c>
      <c r="C375">
        <v>6</v>
      </c>
      <c r="D375">
        <v>4</v>
      </c>
      <c r="E375" s="1">
        <v>227</v>
      </c>
      <c r="F375" s="3">
        <v>780000</v>
      </c>
      <c r="G375" s="2">
        <f t="shared" si="10"/>
        <v>3436.1233480176211</v>
      </c>
      <c r="H375" s="2">
        <f t="shared" si="11"/>
        <v>780000</v>
      </c>
      <c r="I375" t="s">
        <v>1972</v>
      </c>
      <c r="J375" t="s">
        <v>430</v>
      </c>
      <c r="K375" t="s">
        <v>2215</v>
      </c>
      <c r="L375" t="s">
        <v>431</v>
      </c>
      <c r="M375" t="s">
        <v>16</v>
      </c>
      <c r="N375" t="s">
        <v>624</v>
      </c>
    </row>
    <row r="376" spans="1:14" hidden="1" x14ac:dyDescent="0.35">
      <c r="A376" t="s">
        <v>2060</v>
      </c>
      <c r="B376" t="s">
        <v>1033</v>
      </c>
      <c r="C376">
        <v>0</v>
      </c>
      <c r="D376">
        <v>0</v>
      </c>
      <c r="E376" s="1">
        <v>300</v>
      </c>
      <c r="F376" s="3">
        <v>780000</v>
      </c>
      <c r="G376" s="2">
        <f t="shared" si="10"/>
        <v>2600</v>
      </c>
      <c r="H376" s="2">
        <f t="shared" si="11"/>
        <v>780000</v>
      </c>
      <c r="I376" t="s">
        <v>1298</v>
      </c>
      <c r="J376" t="s">
        <v>16</v>
      </c>
      <c r="K376" t="s">
        <v>2236</v>
      </c>
      <c r="L376" t="s">
        <v>224</v>
      </c>
      <c r="M376" t="s">
        <v>16</v>
      </c>
      <c r="N376" t="s">
        <v>1282</v>
      </c>
    </row>
    <row r="377" spans="1:14" hidden="1" x14ac:dyDescent="0.35">
      <c r="A377" t="s">
        <v>2171</v>
      </c>
      <c r="B377" t="s">
        <v>12</v>
      </c>
      <c r="C377">
        <v>6</v>
      </c>
      <c r="D377">
        <v>4</v>
      </c>
      <c r="E377" s="1">
        <v>227</v>
      </c>
      <c r="F377" s="3">
        <v>780000</v>
      </c>
      <c r="G377" s="2">
        <f t="shared" si="10"/>
        <v>3436.1233480176211</v>
      </c>
      <c r="H377" s="2">
        <f t="shared" si="11"/>
        <v>780000</v>
      </c>
      <c r="I377" t="s">
        <v>1831</v>
      </c>
      <c r="J377" t="s">
        <v>430</v>
      </c>
      <c r="K377" t="s">
        <v>2215</v>
      </c>
      <c r="L377" t="s">
        <v>431</v>
      </c>
      <c r="M377" t="s">
        <v>16</v>
      </c>
      <c r="N377" t="s">
        <v>2242</v>
      </c>
    </row>
    <row r="378" spans="1:14" hidden="1" x14ac:dyDescent="0.35">
      <c r="A378" t="s">
        <v>2173</v>
      </c>
      <c r="B378" t="s">
        <v>12</v>
      </c>
      <c r="C378">
        <v>6</v>
      </c>
      <c r="D378">
        <v>4</v>
      </c>
      <c r="E378" s="1">
        <v>227</v>
      </c>
      <c r="F378" s="3">
        <v>780000</v>
      </c>
      <c r="G378" s="2">
        <f t="shared" si="10"/>
        <v>3436.1233480176211</v>
      </c>
      <c r="H378" s="2">
        <f t="shared" si="11"/>
        <v>780000</v>
      </c>
      <c r="I378" t="s">
        <v>1831</v>
      </c>
      <c r="J378" t="s">
        <v>430</v>
      </c>
      <c r="K378" t="s">
        <v>2215</v>
      </c>
      <c r="L378" t="s">
        <v>431</v>
      </c>
      <c r="M378" t="s">
        <v>16</v>
      </c>
      <c r="N378" t="s">
        <v>2242</v>
      </c>
    </row>
    <row r="379" spans="1:14" hidden="1" x14ac:dyDescent="0.35">
      <c r="A379" t="s">
        <v>478</v>
      </c>
      <c r="B379" t="s">
        <v>66</v>
      </c>
      <c r="C379">
        <v>3</v>
      </c>
      <c r="D379">
        <v>3</v>
      </c>
      <c r="E379" s="1">
        <v>136</v>
      </c>
      <c r="F379" s="3">
        <v>790000</v>
      </c>
      <c r="G379" s="2">
        <f t="shared" si="10"/>
        <v>5808.8235294117649</v>
      </c>
      <c r="H379" s="2">
        <f t="shared" si="11"/>
        <v>790000</v>
      </c>
      <c r="I379" t="s">
        <v>479</v>
      </c>
      <c r="J379" t="s">
        <v>164</v>
      </c>
      <c r="K379" t="s">
        <v>2218</v>
      </c>
      <c r="L379" t="s">
        <v>165</v>
      </c>
      <c r="M379" t="s">
        <v>16</v>
      </c>
      <c r="N379" t="s">
        <v>426</v>
      </c>
    </row>
    <row r="380" spans="1:14" hidden="1" x14ac:dyDescent="0.35">
      <c r="A380" t="s">
        <v>515</v>
      </c>
      <c r="B380" t="s">
        <v>66</v>
      </c>
      <c r="C380">
        <v>3</v>
      </c>
      <c r="D380">
        <v>4</v>
      </c>
      <c r="E380" s="1">
        <v>159</v>
      </c>
      <c r="F380" s="3">
        <v>790000</v>
      </c>
      <c r="G380" s="2">
        <f t="shared" si="10"/>
        <v>4968.5534591194964</v>
      </c>
      <c r="H380" s="2">
        <f t="shared" si="11"/>
        <v>790000</v>
      </c>
      <c r="I380" t="s">
        <v>516</v>
      </c>
      <c r="J380" t="s">
        <v>405</v>
      </c>
      <c r="K380" t="s">
        <v>2217</v>
      </c>
      <c r="L380" t="s">
        <v>406</v>
      </c>
      <c r="M380" t="s">
        <v>16</v>
      </c>
      <c r="N380" t="s">
        <v>407</v>
      </c>
    </row>
    <row r="381" spans="1:14" hidden="1" x14ac:dyDescent="0.35">
      <c r="A381" t="s">
        <v>976</v>
      </c>
      <c r="B381" t="s">
        <v>66</v>
      </c>
      <c r="C381">
        <v>4</v>
      </c>
      <c r="D381">
        <v>3</v>
      </c>
      <c r="E381" s="1">
        <v>136</v>
      </c>
      <c r="F381" s="3">
        <v>790000</v>
      </c>
      <c r="G381" s="2">
        <f t="shared" si="10"/>
        <v>5808.8235294117649</v>
      </c>
      <c r="H381" s="2">
        <f t="shared" si="11"/>
        <v>790000</v>
      </c>
      <c r="I381" t="s">
        <v>977</v>
      </c>
      <c r="J381" t="s">
        <v>164</v>
      </c>
      <c r="K381" t="s">
        <v>2218</v>
      </c>
      <c r="L381" t="s">
        <v>165</v>
      </c>
      <c r="M381" t="s">
        <v>16</v>
      </c>
      <c r="N381" t="s">
        <v>426</v>
      </c>
    </row>
    <row r="382" spans="1:14" hidden="1" x14ac:dyDescent="0.35">
      <c r="A382" t="s">
        <v>1089</v>
      </c>
      <c r="B382" t="s">
        <v>66</v>
      </c>
      <c r="C382">
        <v>3</v>
      </c>
      <c r="D382">
        <v>4</v>
      </c>
      <c r="E382" s="1">
        <v>140</v>
      </c>
      <c r="F382" s="3">
        <v>790000</v>
      </c>
      <c r="G382" s="2">
        <f t="shared" si="10"/>
        <v>5642.8571428571431</v>
      </c>
      <c r="H382" s="2">
        <f t="shared" si="11"/>
        <v>790000</v>
      </c>
      <c r="I382" t="s">
        <v>273</v>
      </c>
      <c r="J382" t="s">
        <v>169</v>
      </c>
      <c r="K382" t="s">
        <v>2217</v>
      </c>
      <c r="L382" t="s">
        <v>170</v>
      </c>
      <c r="M382" t="s">
        <v>16</v>
      </c>
      <c r="N382" t="s">
        <v>624</v>
      </c>
    </row>
    <row r="383" spans="1:14" hidden="1" x14ac:dyDescent="0.35">
      <c r="A383" t="s">
        <v>1090</v>
      </c>
      <c r="B383" t="s">
        <v>66</v>
      </c>
      <c r="C383">
        <v>4</v>
      </c>
      <c r="D383">
        <v>4</v>
      </c>
      <c r="E383" s="1">
        <v>140</v>
      </c>
      <c r="F383" s="3">
        <v>790000</v>
      </c>
      <c r="G383" s="2">
        <f t="shared" si="10"/>
        <v>5642.8571428571431</v>
      </c>
      <c r="H383" s="2">
        <f t="shared" si="11"/>
        <v>790000</v>
      </c>
      <c r="I383" t="s">
        <v>1091</v>
      </c>
      <c r="J383" t="s">
        <v>169</v>
      </c>
      <c r="K383" t="s">
        <v>2217</v>
      </c>
      <c r="L383" t="s">
        <v>170</v>
      </c>
      <c r="M383" t="s">
        <v>16</v>
      </c>
      <c r="N383" t="s">
        <v>624</v>
      </c>
    </row>
    <row r="384" spans="1:14" hidden="1" x14ac:dyDescent="0.35">
      <c r="A384" t="s">
        <v>1345</v>
      </c>
      <c r="B384" t="s">
        <v>66</v>
      </c>
      <c r="C384">
        <v>3</v>
      </c>
      <c r="D384">
        <v>3</v>
      </c>
      <c r="E384" s="1">
        <v>182</v>
      </c>
      <c r="F384" s="3">
        <v>790000</v>
      </c>
      <c r="G384" s="2">
        <f t="shared" si="10"/>
        <v>4340.6593406593411</v>
      </c>
      <c r="H384" s="2">
        <f t="shared" si="11"/>
        <v>790000</v>
      </c>
      <c r="I384" t="s">
        <v>273</v>
      </c>
      <c r="J384" t="s">
        <v>169</v>
      </c>
      <c r="K384" t="s">
        <v>2217</v>
      </c>
      <c r="L384" t="s">
        <v>170</v>
      </c>
      <c r="M384" t="s">
        <v>16</v>
      </c>
      <c r="N384" t="s">
        <v>1074</v>
      </c>
    </row>
    <row r="385" spans="1:14" hidden="1" x14ac:dyDescent="0.35">
      <c r="A385" t="s">
        <v>1680</v>
      </c>
      <c r="B385" t="s">
        <v>66</v>
      </c>
      <c r="C385">
        <v>3</v>
      </c>
      <c r="D385">
        <v>4</v>
      </c>
      <c r="E385" s="1">
        <v>140</v>
      </c>
      <c r="F385" s="3">
        <v>790000</v>
      </c>
      <c r="G385" s="2">
        <f t="shared" si="10"/>
        <v>5642.8571428571431</v>
      </c>
      <c r="H385" s="2">
        <f t="shared" si="11"/>
        <v>790000</v>
      </c>
      <c r="I385" t="s">
        <v>1681</v>
      </c>
      <c r="J385" t="s">
        <v>405</v>
      </c>
      <c r="K385" t="s">
        <v>2217</v>
      </c>
      <c r="L385" t="s">
        <v>406</v>
      </c>
      <c r="M385" t="s">
        <v>16</v>
      </c>
      <c r="N385" t="s">
        <v>407</v>
      </c>
    </row>
    <row r="386" spans="1:14" hidden="1" x14ac:dyDescent="0.35">
      <c r="A386" t="s">
        <v>1690</v>
      </c>
      <c r="B386" t="s">
        <v>66</v>
      </c>
      <c r="C386">
        <v>4</v>
      </c>
      <c r="D386">
        <v>3</v>
      </c>
      <c r="E386" s="1">
        <v>140</v>
      </c>
      <c r="F386" s="3">
        <v>790000</v>
      </c>
      <c r="G386" s="2">
        <f t="shared" si="10"/>
        <v>5642.8571428571431</v>
      </c>
      <c r="H386" s="2">
        <f t="shared" si="11"/>
        <v>790000</v>
      </c>
      <c r="I386" t="s">
        <v>763</v>
      </c>
      <c r="J386" t="s">
        <v>405</v>
      </c>
      <c r="K386" t="s">
        <v>2217</v>
      </c>
      <c r="L386" t="s">
        <v>406</v>
      </c>
      <c r="M386" t="s">
        <v>16</v>
      </c>
      <c r="N386" t="s">
        <v>407</v>
      </c>
    </row>
    <row r="387" spans="1:14" hidden="1" x14ac:dyDescent="0.35">
      <c r="A387" t="s">
        <v>1975</v>
      </c>
      <c r="B387" t="s">
        <v>66</v>
      </c>
      <c r="C387">
        <v>3</v>
      </c>
      <c r="D387">
        <v>3</v>
      </c>
      <c r="E387" s="1">
        <v>182</v>
      </c>
      <c r="F387" s="3">
        <v>790000</v>
      </c>
      <c r="G387" s="2">
        <f t="shared" si="10"/>
        <v>4340.6593406593411</v>
      </c>
      <c r="H387" s="2">
        <f t="shared" si="11"/>
        <v>790000</v>
      </c>
      <c r="I387" t="s">
        <v>1976</v>
      </c>
      <c r="J387" t="s">
        <v>169</v>
      </c>
      <c r="K387" t="s">
        <v>2217</v>
      </c>
      <c r="L387" t="s">
        <v>170</v>
      </c>
      <c r="M387" t="s">
        <v>16</v>
      </c>
      <c r="N387" t="s">
        <v>1074</v>
      </c>
    </row>
    <row r="388" spans="1:14" hidden="1" x14ac:dyDescent="0.35">
      <c r="A388" t="s">
        <v>2017</v>
      </c>
      <c r="B388" t="s">
        <v>66</v>
      </c>
      <c r="C388">
        <v>3</v>
      </c>
      <c r="D388">
        <v>3</v>
      </c>
      <c r="E388" s="1">
        <v>182</v>
      </c>
      <c r="F388" s="3">
        <v>790000</v>
      </c>
      <c r="G388" s="2">
        <f t="shared" si="10"/>
        <v>4340.6593406593411</v>
      </c>
      <c r="H388" s="2">
        <f t="shared" si="11"/>
        <v>790000</v>
      </c>
      <c r="I388" t="s">
        <v>1976</v>
      </c>
      <c r="J388" t="s">
        <v>169</v>
      </c>
      <c r="K388" t="s">
        <v>2217</v>
      </c>
      <c r="L388" t="s">
        <v>170</v>
      </c>
      <c r="M388" t="s">
        <v>16</v>
      </c>
      <c r="N388" t="s">
        <v>1074</v>
      </c>
    </row>
    <row r="389" spans="1:14" hidden="1" x14ac:dyDescent="0.35">
      <c r="A389" t="s">
        <v>1331</v>
      </c>
      <c r="B389" t="s">
        <v>66</v>
      </c>
      <c r="C389">
        <v>4</v>
      </c>
      <c r="D389">
        <v>3</v>
      </c>
      <c r="E389" s="1">
        <v>88</v>
      </c>
      <c r="F389" s="3">
        <v>797000</v>
      </c>
      <c r="G389" s="2">
        <f t="shared" ref="G389:G452" si="12">IF(F389&lt;50000,F389,F389/E389)</f>
        <v>9056.818181818182</v>
      </c>
      <c r="H389" s="2">
        <f t="shared" ref="H389:H452" si="13">IF(F389&lt;50000,E389*F389,F389)</f>
        <v>797000</v>
      </c>
      <c r="I389" t="s">
        <v>1332</v>
      </c>
      <c r="J389" t="s">
        <v>405</v>
      </c>
      <c r="K389" t="s">
        <v>2217</v>
      </c>
      <c r="L389" t="s">
        <v>406</v>
      </c>
      <c r="M389" t="s">
        <v>16</v>
      </c>
      <c r="N389" t="s">
        <v>407</v>
      </c>
    </row>
    <row r="390" spans="1:14" hidden="1" x14ac:dyDescent="0.35">
      <c r="A390" t="s">
        <v>1333</v>
      </c>
      <c r="B390" t="s">
        <v>66</v>
      </c>
      <c r="C390">
        <v>3</v>
      </c>
      <c r="D390">
        <v>3</v>
      </c>
      <c r="E390" s="1">
        <v>88</v>
      </c>
      <c r="F390" s="3">
        <v>797000</v>
      </c>
      <c r="G390" s="2">
        <f t="shared" si="12"/>
        <v>9056.818181818182</v>
      </c>
      <c r="H390" s="2">
        <f t="shared" si="13"/>
        <v>797000</v>
      </c>
      <c r="I390" t="s">
        <v>1334</v>
      </c>
      <c r="J390" t="s">
        <v>405</v>
      </c>
      <c r="K390" t="s">
        <v>2217</v>
      </c>
      <c r="L390" t="s">
        <v>406</v>
      </c>
      <c r="M390" t="s">
        <v>16</v>
      </c>
      <c r="N390" t="s">
        <v>407</v>
      </c>
    </row>
    <row r="391" spans="1:14" hidden="1" x14ac:dyDescent="0.35">
      <c r="A391" t="s">
        <v>1650</v>
      </c>
      <c r="B391" t="s">
        <v>66</v>
      </c>
      <c r="C391">
        <v>4</v>
      </c>
      <c r="D391">
        <v>3</v>
      </c>
      <c r="E391" s="1">
        <v>88</v>
      </c>
      <c r="F391" s="3">
        <v>797000</v>
      </c>
      <c r="G391" s="2">
        <f t="shared" si="12"/>
        <v>9056.818181818182</v>
      </c>
      <c r="H391" s="2">
        <f t="shared" si="13"/>
        <v>797000</v>
      </c>
      <c r="I391" t="s">
        <v>763</v>
      </c>
      <c r="J391" t="s">
        <v>405</v>
      </c>
      <c r="K391" t="s">
        <v>2217</v>
      </c>
      <c r="L391" t="s">
        <v>406</v>
      </c>
      <c r="M391" t="s">
        <v>16</v>
      </c>
      <c r="N391" t="s">
        <v>407</v>
      </c>
    </row>
    <row r="392" spans="1:14" hidden="1" x14ac:dyDescent="0.35">
      <c r="A392" t="s">
        <v>1667</v>
      </c>
      <c r="B392" t="s">
        <v>66</v>
      </c>
      <c r="C392">
        <v>4</v>
      </c>
      <c r="D392">
        <v>4</v>
      </c>
      <c r="E392" s="1">
        <v>88</v>
      </c>
      <c r="F392" s="3">
        <v>797000</v>
      </c>
      <c r="G392" s="2">
        <f t="shared" si="12"/>
        <v>9056.818181818182</v>
      </c>
      <c r="H392" s="2">
        <f t="shared" si="13"/>
        <v>797000</v>
      </c>
      <c r="I392" t="s">
        <v>1360</v>
      </c>
      <c r="J392" t="s">
        <v>405</v>
      </c>
      <c r="K392" t="s">
        <v>2217</v>
      </c>
      <c r="L392" t="s">
        <v>406</v>
      </c>
      <c r="M392" t="s">
        <v>16</v>
      </c>
      <c r="N392" t="s">
        <v>407</v>
      </c>
    </row>
    <row r="393" spans="1:14" hidden="1" x14ac:dyDescent="0.35">
      <c r="A393" t="s">
        <v>1743</v>
      </c>
      <c r="B393" t="s">
        <v>66</v>
      </c>
      <c r="C393">
        <v>3</v>
      </c>
      <c r="D393">
        <v>3</v>
      </c>
      <c r="E393" s="1">
        <v>88</v>
      </c>
      <c r="F393" s="3">
        <v>797000</v>
      </c>
      <c r="G393" s="2">
        <f t="shared" si="12"/>
        <v>9056.818181818182</v>
      </c>
      <c r="H393" s="2">
        <f t="shared" si="13"/>
        <v>797000</v>
      </c>
      <c r="I393" t="s">
        <v>1744</v>
      </c>
      <c r="J393" t="s">
        <v>405</v>
      </c>
      <c r="K393" t="s">
        <v>2217</v>
      </c>
      <c r="L393" t="s">
        <v>406</v>
      </c>
      <c r="M393" t="s">
        <v>16</v>
      </c>
      <c r="N393" t="s">
        <v>407</v>
      </c>
    </row>
    <row r="394" spans="1:14" hidden="1" x14ac:dyDescent="0.35">
      <c r="A394" t="s">
        <v>1777</v>
      </c>
      <c r="B394" t="s">
        <v>66</v>
      </c>
      <c r="C394">
        <v>4</v>
      </c>
      <c r="D394">
        <v>3</v>
      </c>
      <c r="E394" s="1">
        <v>88</v>
      </c>
      <c r="F394" s="3">
        <v>797000</v>
      </c>
      <c r="G394" s="2">
        <f t="shared" si="12"/>
        <v>9056.818181818182</v>
      </c>
      <c r="H394" s="2">
        <f t="shared" si="13"/>
        <v>797000</v>
      </c>
      <c r="I394" t="s">
        <v>1778</v>
      </c>
      <c r="J394" t="s">
        <v>405</v>
      </c>
      <c r="K394" t="s">
        <v>2217</v>
      </c>
      <c r="L394" t="s">
        <v>406</v>
      </c>
      <c r="M394" t="s">
        <v>16</v>
      </c>
      <c r="N394" t="s">
        <v>407</v>
      </c>
    </row>
    <row r="395" spans="1:14" hidden="1" x14ac:dyDescent="0.35">
      <c r="A395" t="s">
        <v>46</v>
      </c>
      <c r="B395" t="s">
        <v>12</v>
      </c>
      <c r="C395">
        <v>3</v>
      </c>
      <c r="D395">
        <v>3</v>
      </c>
      <c r="E395" s="1">
        <v>500</v>
      </c>
      <c r="F395" s="3">
        <v>800000</v>
      </c>
      <c r="G395" s="2">
        <f t="shared" si="12"/>
        <v>1600</v>
      </c>
      <c r="H395" s="2">
        <f t="shared" si="13"/>
        <v>800000</v>
      </c>
      <c r="I395" t="s">
        <v>47</v>
      </c>
      <c r="J395" t="s">
        <v>48</v>
      </c>
      <c r="K395" t="s">
        <v>2218</v>
      </c>
      <c r="L395" t="s">
        <v>49</v>
      </c>
      <c r="M395" t="s">
        <v>16</v>
      </c>
      <c r="N395" t="s">
        <v>50</v>
      </c>
    </row>
    <row r="396" spans="1:14" hidden="1" x14ac:dyDescent="0.35">
      <c r="A396" t="s">
        <v>121</v>
      </c>
      <c r="B396" t="s">
        <v>12</v>
      </c>
      <c r="C396">
        <v>3</v>
      </c>
      <c r="D396">
        <v>3</v>
      </c>
      <c r="E396" s="1">
        <v>500</v>
      </c>
      <c r="F396" s="3">
        <v>800000</v>
      </c>
      <c r="G396" s="2">
        <f t="shared" si="12"/>
        <v>1600</v>
      </c>
      <c r="H396" s="2">
        <f t="shared" si="13"/>
        <v>800000</v>
      </c>
      <c r="I396" t="s">
        <v>122</v>
      </c>
      <c r="J396" t="s">
        <v>48</v>
      </c>
      <c r="K396" t="s">
        <v>2218</v>
      </c>
      <c r="L396" t="s">
        <v>49</v>
      </c>
      <c r="M396" t="s">
        <v>16</v>
      </c>
      <c r="N396" t="s">
        <v>2242</v>
      </c>
    </row>
    <row r="397" spans="1:14" hidden="1" x14ac:dyDescent="0.35">
      <c r="A397" t="s">
        <v>197</v>
      </c>
      <c r="B397" t="s">
        <v>12</v>
      </c>
      <c r="C397">
        <v>3</v>
      </c>
      <c r="D397">
        <v>3</v>
      </c>
      <c r="E397" s="1">
        <v>500</v>
      </c>
      <c r="F397" s="3">
        <v>800000</v>
      </c>
      <c r="G397" s="2">
        <f t="shared" si="12"/>
        <v>1600</v>
      </c>
      <c r="H397" s="2">
        <f t="shared" si="13"/>
        <v>800000</v>
      </c>
      <c r="I397" t="s">
        <v>198</v>
      </c>
      <c r="J397" t="s">
        <v>48</v>
      </c>
      <c r="K397" t="s">
        <v>2218</v>
      </c>
      <c r="L397" t="s">
        <v>49</v>
      </c>
      <c r="M397" t="s">
        <v>16</v>
      </c>
      <c r="N397" t="s">
        <v>2242</v>
      </c>
    </row>
    <row r="398" spans="1:14" hidden="1" x14ac:dyDescent="0.35">
      <c r="A398" t="s">
        <v>318</v>
      </c>
      <c r="B398" t="s">
        <v>12</v>
      </c>
      <c r="C398">
        <v>3</v>
      </c>
      <c r="D398">
        <v>3</v>
      </c>
      <c r="E398" s="1">
        <v>500</v>
      </c>
      <c r="F398" s="3">
        <v>800000</v>
      </c>
      <c r="G398" s="2">
        <f t="shared" si="12"/>
        <v>1600</v>
      </c>
      <c r="H398" s="2">
        <f t="shared" si="13"/>
        <v>800000</v>
      </c>
      <c r="I398" t="s">
        <v>161</v>
      </c>
      <c r="J398" t="s">
        <v>48</v>
      </c>
      <c r="K398" t="s">
        <v>2218</v>
      </c>
      <c r="L398" t="s">
        <v>49</v>
      </c>
      <c r="M398" t="s">
        <v>16</v>
      </c>
      <c r="N398" t="s">
        <v>50</v>
      </c>
    </row>
    <row r="399" spans="1:14" hidden="1" x14ac:dyDescent="0.35">
      <c r="A399" t="s">
        <v>432</v>
      </c>
      <c r="B399" t="s">
        <v>12</v>
      </c>
      <c r="C399">
        <v>3</v>
      </c>
      <c r="D399">
        <v>3</v>
      </c>
      <c r="E399" s="1">
        <v>500</v>
      </c>
      <c r="F399" s="3">
        <v>800000</v>
      </c>
      <c r="G399" s="2">
        <f t="shared" si="12"/>
        <v>1600</v>
      </c>
      <c r="H399" s="2">
        <f t="shared" si="13"/>
        <v>800000</v>
      </c>
      <c r="I399" t="s">
        <v>280</v>
      </c>
      <c r="J399" t="s">
        <v>48</v>
      </c>
      <c r="K399" t="s">
        <v>2218</v>
      </c>
      <c r="L399" t="s">
        <v>49</v>
      </c>
      <c r="M399" t="s">
        <v>16</v>
      </c>
      <c r="N399" t="s">
        <v>50</v>
      </c>
    </row>
    <row r="400" spans="1:14" hidden="1" x14ac:dyDescent="0.35">
      <c r="A400" t="s">
        <v>434</v>
      </c>
      <c r="B400" t="s">
        <v>12</v>
      </c>
      <c r="C400">
        <v>3</v>
      </c>
      <c r="D400">
        <v>3</v>
      </c>
      <c r="E400" s="1">
        <v>500</v>
      </c>
      <c r="F400" s="3">
        <v>800000</v>
      </c>
      <c r="G400" s="2">
        <f t="shared" si="12"/>
        <v>1600</v>
      </c>
      <c r="H400" s="2">
        <f t="shared" si="13"/>
        <v>800000</v>
      </c>
      <c r="I400" t="s">
        <v>161</v>
      </c>
      <c r="J400" t="s">
        <v>48</v>
      </c>
      <c r="K400" t="s">
        <v>2218</v>
      </c>
      <c r="L400" t="s">
        <v>49</v>
      </c>
      <c r="M400" t="s">
        <v>16</v>
      </c>
      <c r="N400" t="s">
        <v>50</v>
      </c>
    </row>
    <row r="401" spans="1:14" hidden="1" x14ac:dyDescent="0.35">
      <c r="A401" t="s">
        <v>834</v>
      </c>
      <c r="B401" t="s">
        <v>12</v>
      </c>
      <c r="C401">
        <v>4</v>
      </c>
      <c r="D401">
        <v>5</v>
      </c>
      <c r="E401" s="1">
        <v>193</v>
      </c>
      <c r="F401" s="3">
        <v>800000</v>
      </c>
      <c r="G401" s="2">
        <f t="shared" si="12"/>
        <v>4145.0777202072541</v>
      </c>
      <c r="H401" s="2">
        <f t="shared" si="13"/>
        <v>800000</v>
      </c>
      <c r="I401" t="s">
        <v>775</v>
      </c>
      <c r="J401" t="s">
        <v>154</v>
      </c>
      <c r="K401" t="s">
        <v>2218</v>
      </c>
      <c r="L401" t="s">
        <v>155</v>
      </c>
      <c r="M401" t="s">
        <v>16</v>
      </c>
      <c r="N401" t="s">
        <v>50</v>
      </c>
    </row>
    <row r="402" spans="1:14" hidden="1" x14ac:dyDescent="0.35">
      <c r="A402" t="s">
        <v>876</v>
      </c>
      <c r="B402" t="s">
        <v>12</v>
      </c>
      <c r="C402">
        <v>3</v>
      </c>
      <c r="D402">
        <v>3</v>
      </c>
      <c r="E402" s="1">
        <v>500</v>
      </c>
      <c r="F402" s="3">
        <v>800000</v>
      </c>
      <c r="G402" s="2">
        <f t="shared" si="12"/>
        <v>1600</v>
      </c>
      <c r="H402" s="2">
        <f t="shared" si="13"/>
        <v>800000</v>
      </c>
      <c r="I402" t="s">
        <v>877</v>
      </c>
      <c r="J402" t="s">
        <v>48</v>
      </c>
      <c r="K402" t="s">
        <v>2218</v>
      </c>
      <c r="L402" t="s">
        <v>49</v>
      </c>
      <c r="M402" t="s">
        <v>16</v>
      </c>
      <c r="N402" t="s">
        <v>50</v>
      </c>
    </row>
    <row r="403" spans="1:14" hidden="1" x14ac:dyDescent="0.35">
      <c r="A403" t="s">
        <v>887</v>
      </c>
      <c r="B403" t="s">
        <v>12</v>
      </c>
      <c r="C403">
        <v>3</v>
      </c>
      <c r="D403">
        <v>3</v>
      </c>
      <c r="E403" s="1">
        <v>500</v>
      </c>
      <c r="F403" s="3">
        <v>800000</v>
      </c>
      <c r="G403" s="2">
        <f t="shared" si="12"/>
        <v>1600</v>
      </c>
      <c r="H403" s="2">
        <f t="shared" si="13"/>
        <v>800000</v>
      </c>
      <c r="I403" t="s">
        <v>161</v>
      </c>
      <c r="J403" t="s">
        <v>48</v>
      </c>
      <c r="K403" t="s">
        <v>2218</v>
      </c>
      <c r="L403" t="s">
        <v>49</v>
      </c>
      <c r="M403" t="s">
        <v>16</v>
      </c>
      <c r="N403" t="s">
        <v>50</v>
      </c>
    </row>
    <row r="404" spans="1:14" hidden="1" x14ac:dyDescent="0.35">
      <c r="A404" t="s">
        <v>888</v>
      </c>
      <c r="B404" t="s">
        <v>12</v>
      </c>
      <c r="C404">
        <v>3</v>
      </c>
      <c r="D404">
        <v>3</v>
      </c>
      <c r="E404" s="1">
        <v>194</v>
      </c>
      <c r="F404" s="3">
        <v>800000</v>
      </c>
      <c r="G404" s="2">
        <f t="shared" si="12"/>
        <v>4123.7113402061859</v>
      </c>
      <c r="H404" s="2">
        <f t="shared" si="13"/>
        <v>800000</v>
      </c>
      <c r="I404" t="s">
        <v>889</v>
      </c>
      <c r="J404" t="s">
        <v>154</v>
      </c>
      <c r="K404" t="s">
        <v>2218</v>
      </c>
      <c r="L404" t="s">
        <v>155</v>
      </c>
      <c r="M404" t="s">
        <v>16</v>
      </c>
      <c r="N404" t="s">
        <v>50</v>
      </c>
    </row>
    <row r="405" spans="1:14" hidden="1" x14ac:dyDescent="0.35">
      <c r="A405" t="s">
        <v>973</v>
      </c>
      <c r="B405" t="s">
        <v>12</v>
      </c>
      <c r="C405">
        <v>3</v>
      </c>
      <c r="D405">
        <v>3</v>
      </c>
      <c r="E405" s="1">
        <v>500</v>
      </c>
      <c r="F405" s="3">
        <v>800000</v>
      </c>
      <c r="G405" s="2">
        <f t="shared" si="12"/>
        <v>1600</v>
      </c>
      <c r="H405" s="2">
        <f t="shared" si="13"/>
        <v>800000</v>
      </c>
      <c r="I405" t="s">
        <v>280</v>
      </c>
      <c r="J405" t="s">
        <v>48</v>
      </c>
      <c r="K405" t="s">
        <v>2218</v>
      </c>
      <c r="L405" t="s">
        <v>49</v>
      </c>
      <c r="M405" t="s">
        <v>16</v>
      </c>
      <c r="N405" t="s">
        <v>50</v>
      </c>
    </row>
    <row r="406" spans="1:14" hidden="1" x14ac:dyDescent="0.35">
      <c r="A406" t="s">
        <v>1050</v>
      </c>
      <c r="B406" t="s">
        <v>12</v>
      </c>
      <c r="C406">
        <v>6</v>
      </c>
      <c r="D406">
        <v>3</v>
      </c>
      <c r="E406" s="1">
        <v>169</v>
      </c>
      <c r="F406" s="3">
        <v>800000</v>
      </c>
      <c r="G406" s="2">
        <f t="shared" si="12"/>
        <v>4733.7278106508875</v>
      </c>
      <c r="H406" s="2">
        <f t="shared" si="13"/>
        <v>800000</v>
      </c>
      <c r="I406" t="s">
        <v>1051</v>
      </c>
      <c r="J406" t="s">
        <v>169</v>
      </c>
      <c r="K406" t="s">
        <v>2217</v>
      </c>
      <c r="L406" t="s">
        <v>170</v>
      </c>
      <c r="M406" t="s">
        <v>16</v>
      </c>
      <c r="N406" t="s">
        <v>624</v>
      </c>
    </row>
    <row r="407" spans="1:14" hidden="1" x14ac:dyDescent="0.35">
      <c r="A407" t="s">
        <v>1100</v>
      </c>
      <c r="B407" t="s">
        <v>12</v>
      </c>
      <c r="C407">
        <v>3</v>
      </c>
      <c r="D407">
        <v>3</v>
      </c>
      <c r="E407" s="1">
        <v>500</v>
      </c>
      <c r="F407" s="3">
        <v>800000</v>
      </c>
      <c r="G407" s="2">
        <f t="shared" si="12"/>
        <v>1600</v>
      </c>
      <c r="H407" s="2">
        <f t="shared" si="13"/>
        <v>800000</v>
      </c>
      <c r="I407" t="s">
        <v>161</v>
      </c>
      <c r="J407" t="s">
        <v>48</v>
      </c>
      <c r="K407" t="s">
        <v>2218</v>
      </c>
      <c r="L407" t="s">
        <v>49</v>
      </c>
      <c r="M407" t="s">
        <v>16</v>
      </c>
      <c r="N407" t="s">
        <v>2242</v>
      </c>
    </row>
    <row r="408" spans="1:14" hidden="1" x14ac:dyDescent="0.35">
      <c r="A408" t="s">
        <v>1103</v>
      </c>
      <c r="B408" t="s">
        <v>12</v>
      </c>
      <c r="C408">
        <v>3</v>
      </c>
      <c r="D408">
        <v>3</v>
      </c>
      <c r="E408" s="1">
        <v>250</v>
      </c>
      <c r="F408" s="3">
        <v>800000</v>
      </c>
      <c r="G408" s="2">
        <f t="shared" si="12"/>
        <v>3200</v>
      </c>
      <c r="H408" s="2">
        <f t="shared" si="13"/>
        <v>800000</v>
      </c>
      <c r="I408" t="s">
        <v>47</v>
      </c>
      <c r="J408" t="s">
        <v>48</v>
      </c>
      <c r="K408" t="s">
        <v>2218</v>
      </c>
      <c r="L408" t="s">
        <v>49</v>
      </c>
      <c r="M408" t="s">
        <v>16</v>
      </c>
      <c r="N408" t="s">
        <v>2242</v>
      </c>
    </row>
    <row r="409" spans="1:14" hidden="1" x14ac:dyDescent="0.35">
      <c r="A409" t="s">
        <v>1225</v>
      </c>
      <c r="B409" t="s">
        <v>12</v>
      </c>
      <c r="C409">
        <v>3</v>
      </c>
      <c r="D409">
        <v>3</v>
      </c>
      <c r="E409" s="1">
        <v>500</v>
      </c>
      <c r="F409" s="3">
        <v>800000</v>
      </c>
      <c r="G409" s="2">
        <f t="shared" si="12"/>
        <v>1600</v>
      </c>
      <c r="H409" s="2">
        <f t="shared" si="13"/>
        <v>800000</v>
      </c>
      <c r="I409" t="s">
        <v>161</v>
      </c>
      <c r="J409" t="s">
        <v>48</v>
      </c>
      <c r="K409" t="s">
        <v>2218</v>
      </c>
      <c r="L409" t="s">
        <v>49</v>
      </c>
      <c r="M409" t="s">
        <v>16</v>
      </c>
      <c r="N409" t="s">
        <v>2242</v>
      </c>
    </row>
    <row r="410" spans="1:14" hidden="1" x14ac:dyDescent="0.35">
      <c r="A410" t="s">
        <v>1229</v>
      </c>
      <c r="B410" t="s">
        <v>12</v>
      </c>
      <c r="C410">
        <v>3</v>
      </c>
      <c r="D410">
        <v>3</v>
      </c>
      <c r="E410" s="1">
        <v>500</v>
      </c>
      <c r="F410" s="3">
        <v>800000</v>
      </c>
      <c r="G410" s="2">
        <f t="shared" si="12"/>
        <v>1600</v>
      </c>
      <c r="H410" s="2">
        <f t="shared" si="13"/>
        <v>800000</v>
      </c>
      <c r="I410" t="s">
        <v>877</v>
      </c>
      <c r="J410" t="s">
        <v>48</v>
      </c>
      <c r="K410" t="s">
        <v>2218</v>
      </c>
      <c r="L410" t="s">
        <v>49</v>
      </c>
      <c r="M410" t="s">
        <v>16</v>
      </c>
      <c r="N410" t="s">
        <v>50</v>
      </c>
    </row>
    <row r="411" spans="1:14" hidden="1" x14ac:dyDescent="0.35">
      <c r="A411" t="s">
        <v>1235</v>
      </c>
      <c r="B411" t="s">
        <v>12</v>
      </c>
      <c r="C411">
        <v>3</v>
      </c>
      <c r="D411">
        <v>3</v>
      </c>
      <c r="E411" s="1">
        <v>500</v>
      </c>
      <c r="F411" s="3">
        <v>800000</v>
      </c>
      <c r="G411" s="2">
        <f t="shared" si="12"/>
        <v>1600</v>
      </c>
      <c r="H411" s="2">
        <f t="shared" si="13"/>
        <v>800000</v>
      </c>
      <c r="I411" t="s">
        <v>161</v>
      </c>
      <c r="J411" t="s">
        <v>48</v>
      </c>
      <c r="K411" t="s">
        <v>2218</v>
      </c>
      <c r="L411" t="s">
        <v>49</v>
      </c>
      <c r="M411" t="s">
        <v>16</v>
      </c>
      <c r="N411" t="s">
        <v>50</v>
      </c>
    </row>
    <row r="412" spans="1:14" hidden="1" x14ac:dyDescent="0.35">
      <c r="A412" t="s">
        <v>1236</v>
      </c>
      <c r="B412" t="s">
        <v>12</v>
      </c>
      <c r="C412">
        <v>4</v>
      </c>
      <c r="D412">
        <v>4</v>
      </c>
      <c r="E412" s="1">
        <v>500</v>
      </c>
      <c r="F412" s="3">
        <v>800000</v>
      </c>
      <c r="G412" s="2">
        <f t="shared" si="12"/>
        <v>1600</v>
      </c>
      <c r="H412" s="2">
        <f t="shared" si="13"/>
        <v>800000</v>
      </c>
      <c r="I412" t="s">
        <v>280</v>
      </c>
      <c r="J412" t="s">
        <v>48</v>
      </c>
      <c r="K412" t="s">
        <v>2218</v>
      </c>
      <c r="L412" t="s">
        <v>49</v>
      </c>
      <c r="M412" t="s">
        <v>16</v>
      </c>
      <c r="N412" t="s">
        <v>50</v>
      </c>
    </row>
    <row r="413" spans="1:14" hidden="1" x14ac:dyDescent="0.35">
      <c r="A413" t="s">
        <v>1240</v>
      </c>
      <c r="B413" t="s">
        <v>12</v>
      </c>
      <c r="C413">
        <v>4</v>
      </c>
      <c r="D413">
        <v>3</v>
      </c>
      <c r="E413" s="1">
        <v>158</v>
      </c>
      <c r="F413" s="3">
        <v>800000</v>
      </c>
      <c r="G413" s="2">
        <f t="shared" si="12"/>
        <v>5063.2911392405067</v>
      </c>
      <c r="H413" s="2">
        <f t="shared" si="13"/>
        <v>800000</v>
      </c>
      <c r="I413" t="s">
        <v>1013</v>
      </c>
      <c r="J413" t="s">
        <v>264</v>
      </c>
      <c r="K413" t="s">
        <v>2217</v>
      </c>
      <c r="L413" t="s">
        <v>265</v>
      </c>
      <c r="M413" t="s">
        <v>16</v>
      </c>
      <c r="N413" t="s">
        <v>45</v>
      </c>
    </row>
    <row r="414" spans="1:14" hidden="1" x14ac:dyDescent="0.35">
      <c r="A414" t="s">
        <v>1250</v>
      </c>
      <c r="B414" t="s">
        <v>66</v>
      </c>
      <c r="C414">
        <v>4</v>
      </c>
      <c r="D414">
        <v>3</v>
      </c>
      <c r="E414" s="1">
        <v>89</v>
      </c>
      <c r="F414" s="3">
        <v>800000</v>
      </c>
      <c r="G414" s="2">
        <f t="shared" si="12"/>
        <v>8988.7640449438204</v>
      </c>
      <c r="H414" s="2">
        <f t="shared" si="13"/>
        <v>800000</v>
      </c>
      <c r="I414" t="s">
        <v>1251</v>
      </c>
      <c r="J414" t="s">
        <v>405</v>
      </c>
      <c r="K414" t="s">
        <v>2217</v>
      </c>
      <c r="L414" t="s">
        <v>406</v>
      </c>
      <c r="M414" t="s">
        <v>16</v>
      </c>
      <c r="N414" t="s">
        <v>407</v>
      </c>
    </row>
    <row r="415" spans="1:14" hidden="1" x14ac:dyDescent="0.35">
      <c r="A415" t="s">
        <v>1297</v>
      </c>
      <c r="B415" t="s">
        <v>1033</v>
      </c>
      <c r="C415">
        <v>0</v>
      </c>
      <c r="D415">
        <v>0</v>
      </c>
      <c r="E415" s="1">
        <v>375</v>
      </c>
      <c r="F415" s="3">
        <v>800000</v>
      </c>
      <c r="G415" s="2">
        <f t="shared" si="12"/>
        <v>2133.3333333333335</v>
      </c>
      <c r="H415" s="2">
        <f t="shared" si="13"/>
        <v>800000</v>
      </c>
      <c r="I415" t="s">
        <v>1298</v>
      </c>
      <c r="J415" t="s">
        <v>16</v>
      </c>
      <c r="K415" t="s">
        <v>2236</v>
      </c>
      <c r="L415" t="s">
        <v>224</v>
      </c>
      <c r="M415" t="s">
        <v>16</v>
      </c>
      <c r="N415" t="s">
        <v>948</v>
      </c>
    </row>
    <row r="416" spans="1:14" hidden="1" x14ac:dyDescent="0.35">
      <c r="A416" t="s">
        <v>1301</v>
      </c>
      <c r="B416" t="s">
        <v>12</v>
      </c>
      <c r="C416">
        <v>3</v>
      </c>
      <c r="D416">
        <v>3</v>
      </c>
      <c r="E416" s="1">
        <v>250</v>
      </c>
      <c r="F416" s="3">
        <v>800000</v>
      </c>
      <c r="G416" s="2">
        <f t="shared" si="12"/>
        <v>3200</v>
      </c>
      <c r="H416" s="2">
        <f t="shared" si="13"/>
        <v>800000</v>
      </c>
      <c r="I416" t="s">
        <v>47</v>
      </c>
      <c r="J416" t="s">
        <v>48</v>
      </c>
      <c r="K416" t="s">
        <v>2218</v>
      </c>
      <c r="L416" t="s">
        <v>49</v>
      </c>
      <c r="M416" t="s">
        <v>16</v>
      </c>
      <c r="N416" t="s">
        <v>50</v>
      </c>
    </row>
    <row r="417" spans="1:14" hidden="1" x14ac:dyDescent="0.35">
      <c r="A417" t="s">
        <v>1414</v>
      </c>
      <c r="B417" t="s">
        <v>12</v>
      </c>
      <c r="C417">
        <v>3</v>
      </c>
      <c r="D417">
        <v>3</v>
      </c>
      <c r="E417" s="1">
        <v>420</v>
      </c>
      <c r="F417" s="3">
        <v>800000</v>
      </c>
      <c r="G417" s="2">
        <f t="shared" si="12"/>
        <v>1904.7619047619048</v>
      </c>
      <c r="H417" s="2">
        <f t="shared" si="13"/>
        <v>800000</v>
      </c>
      <c r="I417" t="s">
        <v>857</v>
      </c>
      <c r="J417" t="s">
        <v>154</v>
      </c>
      <c r="K417" t="s">
        <v>2218</v>
      </c>
      <c r="L417" t="s">
        <v>155</v>
      </c>
      <c r="M417" t="s">
        <v>16</v>
      </c>
      <c r="N417" t="s">
        <v>2242</v>
      </c>
    </row>
    <row r="418" spans="1:14" hidden="1" x14ac:dyDescent="0.35">
      <c r="A418" t="s">
        <v>1415</v>
      </c>
      <c r="B418" t="s">
        <v>12</v>
      </c>
      <c r="C418">
        <v>3</v>
      </c>
      <c r="D418">
        <v>3</v>
      </c>
      <c r="E418" s="1">
        <v>500</v>
      </c>
      <c r="F418" s="3">
        <v>800000</v>
      </c>
      <c r="G418" s="2">
        <f t="shared" si="12"/>
        <v>1600</v>
      </c>
      <c r="H418" s="2">
        <f t="shared" si="13"/>
        <v>800000</v>
      </c>
      <c r="I418" t="s">
        <v>161</v>
      </c>
      <c r="J418" t="s">
        <v>48</v>
      </c>
      <c r="K418" t="s">
        <v>2218</v>
      </c>
      <c r="L418" t="s">
        <v>49</v>
      </c>
      <c r="M418" t="s">
        <v>16</v>
      </c>
      <c r="N418" t="s">
        <v>2242</v>
      </c>
    </row>
    <row r="419" spans="1:14" hidden="1" x14ac:dyDescent="0.35">
      <c r="A419" t="s">
        <v>1530</v>
      </c>
      <c r="B419" t="s">
        <v>12</v>
      </c>
      <c r="C419">
        <v>5</v>
      </c>
      <c r="D419">
        <v>4</v>
      </c>
      <c r="E419" s="1">
        <v>172</v>
      </c>
      <c r="F419" s="3">
        <v>800000</v>
      </c>
      <c r="G419" s="2">
        <f t="shared" si="12"/>
        <v>4651.1627906976746</v>
      </c>
      <c r="H419" s="2">
        <f t="shared" si="13"/>
        <v>800000</v>
      </c>
      <c r="I419" t="s">
        <v>1531</v>
      </c>
      <c r="J419" t="s">
        <v>154</v>
      </c>
      <c r="K419" t="s">
        <v>2218</v>
      </c>
      <c r="L419" t="s">
        <v>155</v>
      </c>
      <c r="M419" t="s">
        <v>16</v>
      </c>
      <c r="N419" t="s">
        <v>624</v>
      </c>
    </row>
    <row r="420" spans="1:14" hidden="1" x14ac:dyDescent="0.35">
      <c r="A420" t="s">
        <v>1554</v>
      </c>
      <c r="B420" t="s">
        <v>66</v>
      </c>
      <c r="C420">
        <v>4</v>
      </c>
      <c r="D420">
        <v>4</v>
      </c>
      <c r="E420" s="1">
        <v>181</v>
      </c>
      <c r="F420" s="3">
        <v>800000</v>
      </c>
      <c r="G420" s="2">
        <f t="shared" si="12"/>
        <v>4419.8895027624312</v>
      </c>
      <c r="H420" s="2">
        <f t="shared" si="13"/>
        <v>800000</v>
      </c>
      <c r="I420" t="s">
        <v>128</v>
      </c>
      <c r="J420" t="s">
        <v>68</v>
      </c>
      <c r="K420" t="s">
        <v>2218</v>
      </c>
      <c r="L420" t="s">
        <v>69</v>
      </c>
      <c r="M420" t="s">
        <v>16</v>
      </c>
      <c r="N420" t="s">
        <v>1555</v>
      </c>
    </row>
    <row r="421" spans="1:14" hidden="1" x14ac:dyDescent="0.35">
      <c r="A421" t="s">
        <v>1862</v>
      </c>
      <c r="B421" t="s">
        <v>189</v>
      </c>
      <c r="C421">
        <v>3</v>
      </c>
      <c r="D421">
        <v>4</v>
      </c>
      <c r="E421" s="1">
        <v>172</v>
      </c>
      <c r="F421" s="3">
        <v>800000</v>
      </c>
      <c r="G421" s="2">
        <f t="shared" si="12"/>
        <v>4651.1627906976746</v>
      </c>
      <c r="H421" s="2">
        <f t="shared" si="13"/>
        <v>800000</v>
      </c>
      <c r="I421" t="s">
        <v>1863</v>
      </c>
      <c r="J421" t="s">
        <v>169</v>
      </c>
      <c r="K421" t="s">
        <v>2217</v>
      </c>
      <c r="L421" t="s">
        <v>170</v>
      </c>
      <c r="M421" t="s">
        <v>16</v>
      </c>
      <c r="N421" t="s">
        <v>2242</v>
      </c>
    </row>
    <row r="422" spans="1:14" hidden="1" x14ac:dyDescent="0.35">
      <c r="A422" t="s">
        <v>1966</v>
      </c>
      <c r="B422" t="s">
        <v>12</v>
      </c>
      <c r="C422">
        <v>3</v>
      </c>
      <c r="D422">
        <v>4</v>
      </c>
      <c r="E422" s="1">
        <v>181</v>
      </c>
      <c r="F422" s="3">
        <v>800000</v>
      </c>
      <c r="G422" s="2">
        <f t="shared" si="12"/>
        <v>4419.8895027624312</v>
      </c>
      <c r="H422" s="2">
        <f t="shared" si="13"/>
        <v>800000</v>
      </c>
      <c r="I422" t="s">
        <v>857</v>
      </c>
      <c r="J422" t="s">
        <v>154</v>
      </c>
      <c r="K422" t="s">
        <v>2218</v>
      </c>
      <c r="L422" t="s">
        <v>155</v>
      </c>
      <c r="M422" t="s">
        <v>16</v>
      </c>
      <c r="N422" t="s">
        <v>2242</v>
      </c>
    </row>
    <row r="423" spans="1:14" hidden="1" x14ac:dyDescent="0.35">
      <c r="A423" t="s">
        <v>579</v>
      </c>
      <c r="B423" t="s">
        <v>66</v>
      </c>
      <c r="C423">
        <v>4</v>
      </c>
      <c r="D423">
        <v>3</v>
      </c>
      <c r="E423" s="1">
        <v>245</v>
      </c>
      <c r="F423" s="3">
        <v>800915</v>
      </c>
      <c r="G423" s="2">
        <f t="shared" si="12"/>
        <v>3269.0408163265306</v>
      </c>
      <c r="H423" s="2">
        <f t="shared" si="13"/>
        <v>800915</v>
      </c>
      <c r="I423" t="s">
        <v>580</v>
      </c>
      <c r="J423" t="s">
        <v>373</v>
      </c>
      <c r="K423" t="s">
        <v>2218</v>
      </c>
      <c r="L423" t="s">
        <v>374</v>
      </c>
      <c r="M423" t="s">
        <v>16</v>
      </c>
      <c r="N423" t="s">
        <v>2242</v>
      </c>
    </row>
    <row r="424" spans="1:14" hidden="1" x14ac:dyDescent="0.35">
      <c r="A424" t="s">
        <v>978</v>
      </c>
      <c r="B424" t="s">
        <v>66</v>
      </c>
      <c r="C424">
        <v>4</v>
      </c>
      <c r="D424">
        <v>3</v>
      </c>
      <c r="E424" s="1">
        <v>137</v>
      </c>
      <c r="F424" s="3">
        <v>820000</v>
      </c>
      <c r="G424" s="2">
        <f t="shared" si="12"/>
        <v>5985.4014598540143</v>
      </c>
      <c r="H424" s="2">
        <f t="shared" si="13"/>
        <v>820000</v>
      </c>
      <c r="I424" t="s">
        <v>979</v>
      </c>
      <c r="J424" t="s">
        <v>164</v>
      </c>
      <c r="K424" t="s">
        <v>2218</v>
      </c>
      <c r="L424" t="s">
        <v>165</v>
      </c>
      <c r="M424" t="s">
        <v>16</v>
      </c>
      <c r="N424" t="s">
        <v>426</v>
      </c>
    </row>
    <row r="425" spans="1:14" hidden="1" x14ac:dyDescent="0.35">
      <c r="A425" t="s">
        <v>1042</v>
      </c>
      <c r="B425" t="s">
        <v>66</v>
      </c>
      <c r="C425">
        <v>4</v>
      </c>
      <c r="D425">
        <v>3</v>
      </c>
      <c r="E425" s="1">
        <v>234</v>
      </c>
      <c r="F425" s="3">
        <v>820000</v>
      </c>
      <c r="G425" s="2">
        <f t="shared" si="12"/>
        <v>3504.2735042735044</v>
      </c>
      <c r="H425" s="2">
        <f t="shared" si="13"/>
        <v>820000</v>
      </c>
      <c r="I425" t="s">
        <v>623</v>
      </c>
      <c r="J425" t="s">
        <v>73</v>
      </c>
      <c r="K425" t="s">
        <v>2218</v>
      </c>
      <c r="L425" t="s">
        <v>74</v>
      </c>
      <c r="M425" t="s">
        <v>16</v>
      </c>
      <c r="N425" t="s">
        <v>50</v>
      </c>
    </row>
    <row r="426" spans="1:14" hidden="1" x14ac:dyDescent="0.35">
      <c r="A426" t="s">
        <v>1200</v>
      </c>
      <c r="B426" t="s">
        <v>66</v>
      </c>
      <c r="C426">
        <v>4</v>
      </c>
      <c r="D426">
        <v>3</v>
      </c>
      <c r="E426" s="1">
        <v>234</v>
      </c>
      <c r="F426" s="3">
        <v>820000</v>
      </c>
      <c r="G426" s="2">
        <f t="shared" si="12"/>
        <v>3504.2735042735044</v>
      </c>
      <c r="H426" s="2">
        <f t="shared" si="13"/>
        <v>820000</v>
      </c>
      <c r="I426" t="s">
        <v>623</v>
      </c>
      <c r="J426" t="s">
        <v>73</v>
      </c>
      <c r="K426" t="s">
        <v>2218</v>
      </c>
      <c r="L426" t="s">
        <v>74</v>
      </c>
      <c r="M426" t="s">
        <v>16</v>
      </c>
      <c r="N426" t="s">
        <v>50</v>
      </c>
    </row>
    <row r="427" spans="1:14" hidden="1" x14ac:dyDescent="0.35">
      <c r="A427" t="s">
        <v>2177</v>
      </c>
      <c r="B427" t="s">
        <v>66</v>
      </c>
      <c r="C427">
        <v>4</v>
      </c>
      <c r="D427">
        <v>3</v>
      </c>
      <c r="E427" s="1">
        <v>234</v>
      </c>
      <c r="F427" s="3">
        <v>820000</v>
      </c>
      <c r="G427" s="2">
        <f t="shared" si="12"/>
        <v>3504.2735042735044</v>
      </c>
      <c r="H427" s="2">
        <f t="shared" si="13"/>
        <v>820000</v>
      </c>
      <c r="I427" t="s">
        <v>623</v>
      </c>
      <c r="J427" t="s">
        <v>73</v>
      </c>
      <c r="K427" t="s">
        <v>2218</v>
      </c>
      <c r="L427" t="s">
        <v>74</v>
      </c>
      <c r="M427" t="s">
        <v>16</v>
      </c>
      <c r="N427" t="s">
        <v>50</v>
      </c>
    </row>
    <row r="428" spans="1:14" hidden="1" x14ac:dyDescent="0.35">
      <c r="A428" t="s">
        <v>1004</v>
      </c>
      <c r="B428" t="s">
        <v>66</v>
      </c>
      <c r="C428">
        <v>3</v>
      </c>
      <c r="D428">
        <v>3</v>
      </c>
      <c r="E428" s="1">
        <v>1800</v>
      </c>
      <c r="F428" s="3">
        <v>830000</v>
      </c>
      <c r="G428" s="2">
        <f t="shared" si="12"/>
        <v>461.11111111111109</v>
      </c>
      <c r="H428" s="2">
        <f t="shared" si="13"/>
        <v>830000</v>
      </c>
      <c r="I428" t="s">
        <v>979</v>
      </c>
      <c r="J428" t="s">
        <v>164</v>
      </c>
      <c r="K428" t="s">
        <v>2218</v>
      </c>
      <c r="L428" t="s">
        <v>165</v>
      </c>
      <c r="M428" t="s">
        <v>16</v>
      </c>
      <c r="N428" t="s">
        <v>2242</v>
      </c>
    </row>
    <row r="429" spans="1:14" hidden="1" x14ac:dyDescent="0.35">
      <c r="A429" t="s">
        <v>1707</v>
      </c>
      <c r="B429" t="s">
        <v>66</v>
      </c>
      <c r="C429">
        <v>3</v>
      </c>
      <c r="D429">
        <v>3</v>
      </c>
      <c r="E429" s="1">
        <v>84</v>
      </c>
      <c r="F429" s="3">
        <v>830000</v>
      </c>
      <c r="G429" s="2">
        <f t="shared" si="12"/>
        <v>9880.9523809523816</v>
      </c>
      <c r="H429" s="2">
        <f t="shared" si="13"/>
        <v>830000</v>
      </c>
      <c r="I429" t="s">
        <v>670</v>
      </c>
      <c r="J429" t="s">
        <v>145</v>
      </c>
      <c r="K429" t="s">
        <v>2216</v>
      </c>
      <c r="L429" t="s">
        <v>146</v>
      </c>
      <c r="M429" t="s">
        <v>16</v>
      </c>
      <c r="N429" t="s">
        <v>2242</v>
      </c>
    </row>
    <row r="430" spans="1:14" hidden="1" x14ac:dyDescent="0.35">
      <c r="A430" t="s">
        <v>1826</v>
      </c>
      <c r="B430" t="s">
        <v>66</v>
      </c>
      <c r="C430">
        <v>3</v>
      </c>
      <c r="D430">
        <v>3</v>
      </c>
      <c r="E430" s="1">
        <v>389</v>
      </c>
      <c r="F430" s="3">
        <v>840000</v>
      </c>
      <c r="G430" s="2">
        <f t="shared" si="12"/>
        <v>2159.3830334190229</v>
      </c>
      <c r="H430" s="2">
        <f t="shared" si="13"/>
        <v>840000</v>
      </c>
      <c r="I430" t="s">
        <v>1827</v>
      </c>
      <c r="J430" t="s">
        <v>195</v>
      </c>
      <c r="K430" t="s">
        <v>2218</v>
      </c>
      <c r="L430" t="s">
        <v>196</v>
      </c>
      <c r="M430" t="s">
        <v>16</v>
      </c>
      <c r="N430" t="s">
        <v>2242</v>
      </c>
    </row>
    <row r="431" spans="1:14" hidden="1" x14ac:dyDescent="0.35">
      <c r="A431" t="s">
        <v>1949</v>
      </c>
      <c r="B431" t="s">
        <v>12</v>
      </c>
      <c r="C431">
        <v>4</v>
      </c>
      <c r="D431">
        <v>3</v>
      </c>
      <c r="E431" s="1">
        <v>335</v>
      </c>
      <c r="F431" s="3">
        <v>840000</v>
      </c>
      <c r="G431" s="2">
        <f t="shared" si="12"/>
        <v>2507.4626865671644</v>
      </c>
      <c r="H431" s="2">
        <f t="shared" si="13"/>
        <v>840000</v>
      </c>
      <c r="I431" t="s">
        <v>1950</v>
      </c>
      <c r="J431" t="s">
        <v>686</v>
      </c>
      <c r="K431" t="s">
        <v>2218</v>
      </c>
      <c r="L431" t="s">
        <v>687</v>
      </c>
      <c r="M431" t="s">
        <v>16</v>
      </c>
      <c r="N431" t="s">
        <v>50</v>
      </c>
    </row>
    <row r="432" spans="1:14" hidden="1" x14ac:dyDescent="0.35">
      <c r="A432" t="s">
        <v>2010</v>
      </c>
      <c r="B432" t="s">
        <v>66</v>
      </c>
      <c r="C432">
        <v>3</v>
      </c>
      <c r="D432">
        <v>2</v>
      </c>
      <c r="E432" s="1">
        <v>1764</v>
      </c>
      <c r="F432" s="3">
        <v>849000</v>
      </c>
      <c r="G432" s="2">
        <f t="shared" si="12"/>
        <v>481.29251700680271</v>
      </c>
      <c r="H432" s="2">
        <f t="shared" si="13"/>
        <v>849000</v>
      </c>
      <c r="I432" t="s">
        <v>236</v>
      </c>
      <c r="J432" t="s">
        <v>145</v>
      </c>
      <c r="K432" t="s">
        <v>2216</v>
      </c>
      <c r="L432" t="s">
        <v>146</v>
      </c>
      <c r="M432" t="s">
        <v>16</v>
      </c>
      <c r="N432" t="s">
        <v>1074</v>
      </c>
    </row>
    <row r="433" spans="1:14" hidden="1" x14ac:dyDescent="0.35">
      <c r="A433" t="s">
        <v>71</v>
      </c>
      <c r="B433" t="s">
        <v>12</v>
      </c>
      <c r="C433">
        <v>3</v>
      </c>
      <c r="D433">
        <v>3</v>
      </c>
      <c r="E433" s="1">
        <v>900</v>
      </c>
      <c r="F433" s="3">
        <v>850000</v>
      </c>
      <c r="G433" s="2">
        <f t="shared" si="12"/>
        <v>944.44444444444446</v>
      </c>
      <c r="H433" s="2">
        <f t="shared" si="13"/>
        <v>850000</v>
      </c>
      <c r="I433" t="s">
        <v>72</v>
      </c>
      <c r="J433" t="s">
        <v>73</v>
      </c>
      <c r="K433" t="s">
        <v>2218</v>
      </c>
      <c r="L433" t="s">
        <v>74</v>
      </c>
      <c r="M433" t="s">
        <v>16</v>
      </c>
      <c r="N433" t="s">
        <v>2242</v>
      </c>
    </row>
    <row r="434" spans="1:14" hidden="1" x14ac:dyDescent="0.35">
      <c r="A434" t="s">
        <v>711</v>
      </c>
      <c r="B434" t="s">
        <v>66</v>
      </c>
      <c r="C434">
        <v>3</v>
      </c>
      <c r="D434">
        <v>3</v>
      </c>
      <c r="E434" s="1">
        <v>1530</v>
      </c>
      <c r="F434" s="3">
        <v>850000</v>
      </c>
      <c r="G434" s="2">
        <f t="shared" si="12"/>
        <v>555.55555555555554</v>
      </c>
      <c r="H434" s="2">
        <f t="shared" si="13"/>
        <v>850000</v>
      </c>
      <c r="I434" t="s">
        <v>712</v>
      </c>
      <c r="J434" t="s">
        <v>125</v>
      </c>
      <c r="K434" t="s">
        <v>2217</v>
      </c>
      <c r="L434" t="s">
        <v>126</v>
      </c>
      <c r="M434" t="s">
        <v>16</v>
      </c>
      <c r="N434" t="s">
        <v>407</v>
      </c>
    </row>
    <row r="435" spans="1:14" hidden="1" x14ac:dyDescent="0.35">
      <c r="A435" t="s">
        <v>984</v>
      </c>
      <c r="B435" t="s">
        <v>12</v>
      </c>
      <c r="C435">
        <v>3</v>
      </c>
      <c r="D435">
        <v>3</v>
      </c>
      <c r="E435" s="1">
        <v>500</v>
      </c>
      <c r="F435" s="3">
        <v>850000</v>
      </c>
      <c r="G435" s="2">
        <f t="shared" si="12"/>
        <v>1700</v>
      </c>
      <c r="H435" s="2">
        <f t="shared" si="13"/>
        <v>850000</v>
      </c>
      <c r="I435" t="s">
        <v>710</v>
      </c>
      <c r="J435" t="s">
        <v>48</v>
      </c>
      <c r="K435" t="s">
        <v>2218</v>
      </c>
      <c r="L435" t="s">
        <v>49</v>
      </c>
      <c r="M435" t="s">
        <v>16</v>
      </c>
      <c r="N435" t="s">
        <v>50</v>
      </c>
    </row>
    <row r="436" spans="1:14" hidden="1" x14ac:dyDescent="0.35">
      <c r="A436" t="s">
        <v>1005</v>
      </c>
      <c r="B436" t="s">
        <v>66</v>
      </c>
      <c r="C436">
        <v>4</v>
      </c>
      <c r="D436">
        <v>3</v>
      </c>
      <c r="E436" s="1">
        <v>135</v>
      </c>
      <c r="F436" s="3">
        <v>850000</v>
      </c>
      <c r="G436" s="2">
        <f t="shared" si="12"/>
        <v>6296.2962962962965</v>
      </c>
      <c r="H436" s="2">
        <f t="shared" si="13"/>
        <v>850000</v>
      </c>
      <c r="I436" t="s">
        <v>128</v>
      </c>
      <c r="J436" t="s">
        <v>68</v>
      </c>
      <c r="K436" t="s">
        <v>2218</v>
      </c>
      <c r="L436" t="s">
        <v>69</v>
      </c>
      <c r="M436" t="s">
        <v>16</v>
      </c>
      <c r="N436" t="s">
        <v>2242</v>
      </c>
    </row>
    <row r="437" spans="1:14" hidden="1" x14ac:dyDescent="0.35">
      <c r="A437" t="s">
        <v>1006</v>
      </c>
      <c r="B437" t="s">
        <v>66</v>
      </c>
      <c r="C437">
        <v>4</v>
      </c>
      <c r="D437">
        <v>3</v>
      </c>
      <c r="E437" s="1">
        <v>137</v>
      </c>
      <c r="F437" s="3">
        <v>850000</v>
      </c>
      <c r="G437" s="2">
        <f t="shared" si="12"/>
        <v>6204.3795620437959</v>
      </c>
      <c r="H437" s="2">
        <f t="shared" si="13"/>
        <v>850000</v>
      </c>
      <c r="I437" t="s">
        <v>1007</v>
      </c>
      <c r="J437" t="s">
        <v>164</v>
      </c>
      <c r="K437" t="s">
        <v>2218</v>
      </c>
      <c r="L437" t="s">
        <v>165</v>
      </c>
      <c r="M437" t="s">
        <v>16</v>
      </c>
      <c r="N437" t="s">
        <v>2242</v>
      </c>
    </row>
    <row r="438" spans="1:14" hidden="1" x14ac:dyDescent="0.35">
      <c r="A438" t="s">
        <v>1011</v>
      </c>
      <c r="B438" t="s">
        <v>66</v>
      </c>
      <c r="C438">
        <v>4</v>
      </c>
      <c r="D438">
        <v>3</v>
      </c>
      <c r="E438" s="1">
        <v>137</v>
      </c>
      <c r="F438" s="3">
        <v>850000</v>
      </c>
      <c r="G438" s="2">
        <f t="shared" si="12"/>
        <v>6204.3795620437959</v>
      </c>
      <c r="H438" s="2">
        <f t="shared" si="13"/>
        <v>850000</v>
      </c>
      <c r="I438" t="s">
        <v>977</v>
      </c>
      <c r="J438" t="s">
        <v>164</v>
      </c>
      <c r="K438" t="s">
        <v>2218</v>
      </c>
      <c r="L438" t="s">
        <v>165</v>
      </c>
      <c r="M438" t="s">
        <v>16</v>
      </c>
      <c r="N438" t="s">
        <v>426</v>
      </c>
    </row>
    <row r="439" spans="1:14" x14ac:dyDescent="0.35">
      <c r="A439" t="s">
        <v>1023</v>
      </c>
      <c r="B439" t="s">
        <v>18</v>
      </c>
      <c r="C439">
        <v>8</v>
      </c>
      <c r="D439">
        <v>6</v>
      </c>
      <c r="E439" s="1">
        <v>360</v>
      </c>
      <c r="F439" s="3">
        <v>850000</v>
      </c>
      <c r="G439" s="2">
        <f t="shared" si="12"/>
        <v>2361.1111111111113</v>
      </c>
      <c r="H439" s="2">
        <f t="shared" si="13"/>
        <v>850000</v>
      </c>
      <c r="I439" t="s">
        <v>1024</v>
      </c>
      <c r="J439" t="s">
        <v>169</v>
      </c>
      <c r="K439" t="s">
        <v>2217</v>
      </c>
      <c r="L439" t="s">
        <v>170</v>
      </c>
      <c r="M439" t="s">
        <v>16</v>
      </c>
      <c r="N439" t="s">
        <v>1025</v>
      </c>
    </row>
    <row r="440" spans="1:14" x14ac:dyDescent="0.35">
      <c r="A440" t="s">
        <v>1404</v>
      </c>
      <c r="B440" t="s">
        <v>18</v>
      </c>
      <c r="C440">
        <v>3</v>
      </c>
      <c r="D440">
        <v>5</v>
      </c>
      <c r="E440" s="1">
        <v>262</v>
      </c>
      <c r="F440" s="3">
        <v>850000</v>
      </c>
      <c r="G440" s="2">
        <f t="shared" si="12"/>
        <v>3244.2748091603053</v>
      </c>
      <c r="H440" s="2">
        <f t="shared" si="13"/>
        <v>850000</v>
      </c>
      <c r="I440" t="s">
        <v>1405</v>
      </c>
      <c r="J440" t="s">
        <v>218</v>
      </c>
      <c r="K440" t="s">
        <v>2215</v>
      </c>
      <c r="L440" t="s">
        <v>219</v>
      </c>
      <c r="M440" t="s">
        <v>16</v>
      </c>
      <c r="N440" t="s">
        <v>2242</v>
      </c>
    </row>
    <row r="441" spans="1:14" hidden="1" x14ac:dyDescent="0.35">
      <c r="A441" t="s">
        <v>1433</v>
      </c>
      <c r="B441" t="s">
        <v>66</v>
      </c>
      <c r="C441">
        <v>4</v>
      </c>
      <c r="D441">
        <v>3</v>
      </c>
      <c r="E441" s="1">
        <v>139</v>
      </c>
      <c r="F441" s="3">
        <v>850000</v>
      </c>
      <c r="G441" s="2">
        <f t="shared" si="12"/>
        <v>6115.1079136690651</v>
      </c>
      <c r="H441" s="2">
        <f t="shared" si="13"/>
        <v>850000</v>
      </c>
      <c r="I441" t="s">
        <v>128</v>
      </c>
      <c r="J441" t="s">
        <v>68</v>
      </c>
      <c r="K441" t="s">
        <v>2218</v>
      </c>
      <c r="L441" t="s">
        <v>69</v>
      </c>
      <c r="M441" t="s">
        <v>16</v>
      </c>
      <c r="N441" t="s">
        <v>567</v>
      </c>
    </row>
    <row r="442" spans="1:14" hidden="1" x14ac:dyDescent="0.35">
      <c r="A442" t="s">
        <v>1646</v>
      </c>
      <c r="B442" t="s">
        <v>66</v>
      </c>
      <c r="C442">
        <v>4</v>
      </c>
      <c r="D442">
        <v>3</v>
      </c>
      <c r="E442" s="1">
        <v>139</v>
      </c>
      <c r="F442" s="3">
        <v>850000</v>
      </c>
      <c r="G442" s="2">
        <f t="shared" si="12"/>
        <v>6115.1079136690651</v>
      </c>
      <c r="H442" s="2">
        <f t="shared" si="13"/>
        <v>850000</v>
      </c>
      <c r="I442" t="s">
        <v>236</v>
      </c>
      <c r="J442" t="s">
        <v>145</v>
      </c>
      <c r="K442" t="s">
        <v>2216</v>
      </c>
      <c r="L442" t="s">
        <v>146</v>
      </c>
      <c r="M442" t="s">
        <v>16</v>
      </c>
      <c r="N442" t="s">
        <v>1579</v>
      </c>
    </row>
    <row r="443" spans="1:14" hidden="1" x14ac:dyDescent="0.35">
      <c r="A443" t="s">
        <v>1686</v>
      </c>
      <c r="B443" t="s">
        <v>12</v>
      </c>
      <c r="C443">
        <v>4</v>
      </c>
      <c r="D443">
        <v>3</v>
      </c>
      <c r="E443" s="1">
        <v>196</v>
      </c>
      <c r="F443" s="3">
        <v>850000</v>
      </c>
      <c r="G443" s="2">
        <f t="shared" si="12"/>
        <v>4336.7346938775509</v>
      </c>
      <c r="H443" s="2">
        <f t="shared" si="13"/>
        <v>850000</v>
      </c>
      <c r="I443" t="s">
        <v>1501</v>
      </c>
      <c r="J443" t="s">
        <v>209</v>
      </c>
      <c r="K443" t="s">
        <v>2217</v>
      </c>
      <c r="L443" t="s">
        <v>210</v>
      </c>
      <c r="M443" t="s">
        <v>16</v>
      </c>
      <c r="N443" t="s">
        <v>407</v>
      </c>
    </row>
    <row r="444" spans="1:14" hidden="1" x14ac:dyDescent="0.35">
      <c r="A444" t="s">
        <v>1716</v>
      </c>
      <c r="B444" t="s">
        <v>189</v>
      </c>
      <c r="C444">
        <v>3</v>
      </c>
      <c r="D444">
        <v>3</v>
      </c>
      <c r="E444" s="1">
        <v>1404</v>
      </c>
      <c r="F444" s="3">
        <v>850000</v>
      </c>
      <c r="G444" s="2">
        <f t="shared" si="12"/>
        <v>605.41310541310543</v>
      </c>
      <c r="H444" s="2">
        <f t="shared" si="13"/>
        <v>850000</v>
      </c>
      <c r="I444" t="s">
        <v>1717</v>
      </c>
      <c r="J444" t="s">
        <v>35</v>
      </c>
      <c r="K444" t="s">
        <v>2217</v>
      </c>
      <c r="L444" t="s">
        <v>36</v>
      </c>
      <c r="M444" t="s">
        <v>16</v>
      </c>
      <c r="N444" t="s">
        <v>2242</v>
      </c>
    </row>
    <row r="445" spans="1:14" hidden="1" x14ac:dyDescent="0.35">
      <c r="A445" t="s">
        <v>1794</v>
      </c>
      <c r="B445" t="s">
        <v>12</v>
      </c>
      <c r="C445">
        <v>4</v>
      </c>
      <c r="D445">
        <v>3</v>
      </c>
      <c r="E445" s="1">
        <v>180</v>
      </c>
      <c r="F445" s="3">
        <v>850000</v>
      </c>
      <c r="G445" s="2">
        <f t="shared" si="12"/>
        <v>4722.2222222222226</v>
      </c>
      <c r="H445" s="2">
        <f t="shared" si="13"/>
        <v>850000</v>
      </c>
      <c r="I445" t="s">
        <v>1795</v>
      </c>
      <c r="J445" t="s">
        <v>169</v>
      </c>
      <c r="K445" t="s">
        <v>2217</v>
      </c>
      <c r="L445" t="s">
        <v>170</v>
      </c>
      <c r="M445" t="s">
        <v>16</v>
      </c>
      <c r="N445" t="s">
        <v>1294</v>
      </c>
    </row>
    <row r="446" spans="1:14" hidden="1" x14ac:dyDescent="0.35">
      <c r="A446" t="s">
        <v>1819</v>
      </c>
      <c r="B446" t="s">
        <v>1033</v>
      </c>
      <c r="C446">
        <v>0</v>
      </c>
      <c r="D446">
        <v>0</v>
      </c>
      <c r="E446" s="1">
        <v>368</v>
      </c>
      <c r="F446" s="3">
        <v>850000</v>
      </c>
      <c r="G446" s="2">
        <f t="shared" si="12"/>
        <v>2309.782608695652</v>
      </c>
      <c r="H446" s="2">
        <f t="shared" si="13"/>
        <v>850000</v>
      </c>
      <c r="I446" t="s">
        <v>1820</v>
      </c>
      <c r="J446" t="s">
        <v>16</v>
      </c>
      <c r="K446" t="s">
        <v>2216</v>
      </c>
      <c r="L446" t="s">
        <v>224</v>
      </c>
      <c r="M446" t="s">
        <v>16</v>
      </c>
      <c r="N446" t="s">
        <v>2242</v>
      </c>
    </row>
    <row r="447" spans="1:14" hidden="1" x14ac:dyDescent="0.35">
      <c r="A447" t="s">
        <v>2049</v>
      </c>
      <c r="B447" t="s">
        <v>66</v>
      </c>
      <c r="C447">
        <v>5</v>
      </c>
      <c r="D447">
        <v>4</v>
      </c>
      <c r="E447" s="1">
        <v>128</v>
      </c>
      <c r="F447" s="3">
        <v>850000</v>
      </c>
      <c r="G447" s="2">
        <f t="shared" si="12"/>
        <v>6640.625</v>
      </c>
      <c r="H447" s="2">
        <f t="shared" si="13"/>
        <v>850000</v>
      </c>
      <c r="I447" t="s">
        <v>2050</v>
      </c>
      <c r="J447" t="s">
        <v>145</v>
      </c>
      <c r="K447" t="s">
        <v>2216</v>
      </c>
      <c r="L447" t="s">
        <v>146</v>
      </c>
      <c r="M447" t="s">
        <v>16</v>
      </c>
      <c r="N447" t="s">
        <v>2242</v>
      </c>
    </row>
    <row r="448" spans="1:14" hidden="1" x14ac:dyDescent="0.35">
      <c r="A448" t="s">
        <v>2054</v>
      </c>
      <c r="B448" t="s">
        <v>1033</v>
      </c>
      <c r="C448">
        <v>0</v>
      </c>
      <c r="D448">
        <v>0</v>
      </c>
      <c r="E448" s="1">
        <v>325</v>
      </c>
      <c r="F448" s="3">
        <v>850000</v>
      </c>
      <c r="G448" s="2">
        <f t="shared" si="12"/>
        <v>2615.3846153846152</v>
      </c>
      <c r="H448" s="2">
        <f t="shared" si="13"/>
        <v>850000</v>
      </c>
      <c r="I448" t="s">
        <v>2055</v>
      </c>
      <c r="J448" t="s">
        <v>58</v>
      </c>
      <c r="K448" t="s">
        <v>2216</v>
      </c>
      <c r="L448" t="s">
        <v>59</v>
      </c>
      <c r="M448" t="s">
        <v>16</v>
      </c>
      <c r="N448" t="s">
        <v>1282</v>
      </c>
    </row>
    <row r="449" spans="1:14" hidden="1" x14ac:dyDescent="0.35">
      <c r="A449" t="s">
        <v>2056</v>
      </c>
      <c r="B449" t="s">
        <v>1033</v>
      </c>
      <c r="C449">
        <v>0</v>
      </c>
      <c r="D449">
        <v>0</v>
      </c>
      <c r="E449" s="1">
        <v>367</v>
      </c>
      <c r="F449" s="3">
        <v>850000</v>
      </c>
      <c r="G449" s="2">
        <f t="shared" si="12"/>
        <v>2316.0762942779293</v>
      </c>
      <c r="H449" s="2">
        <f t="shared" si="13"/>
        <v>850000</v>
      </c>
      <c r="I449" t="s">
        <v>2057</v>
      </c>
      <c r="J449" t="s">
        <v>16</v>
      </c>
      <c r="K449" t="s">
        <v>2236</v>
      </c>
      <c r="L449" t="s">
        <v>224</v>
      </c>
      <c r="M449" t="s">
        <v>16</v>
      </c>
      <c r="N449" t="s">
        <v>1282</v>
      </c>
    </row>
    <row r="450" spans="1:14" hidden="1" x14ac:dyDescent="0.35">
      <c r="A450" t="s">
        <v>2058</v>
      </c>
      <c r="B450" t="s">
        <v>1033</v>
      </c>
      <c r="C450">
        <v>0</v>
      </c>
      <c r="D450">
        <v>0</v>
      </c>
      <c r="E450" s="1">
        <v>375</v>
      </c>
      <c r="F450" s="3">
        <v>850000</v>
      </c>
      <c r="G450" s="2">
        <f t="shared" si="12"/>
        <v>2266.6666666666665</v>
      </c>
      <c r="H450" s="2">
        <f t="shared" si="13"/>
        <v>850000</v>
      </c>
      <c r="I450" t="s">
        <v>2057</v>
      </c>
      <c r="J450" t="s">
        <v>16</v>
      </c>
      <c r="K450" t="s">
        <v>2236</v>
      </c>
      <c r="L450" t="s">
        <v>224</v>
      </c>
      <c r="M450" t="s">
        <v>16</v>
      </c>
      <c r="N450" t="s">
        <v>1282</v>
      </c>
    </row>
    <row r="451" spans="1:14" hidden="1" x14ac:dyDescent="0.35">
      <c r="A451" t="s">
        <v>2134</v>
      </c>
      <c r="B451" t="s">
        <v>66</v>
      </c>
      <c r="C451">
        <v>4</v>
      </c>
      <c r="D451">
        <v>3</v>
      </c>
      <c r="E451" s="1">
        <v>191</v>
      </c>
      <c r="F451" s="3">
        <v>850000</v>
      </c>
      <c r="G451" s="2">
        <f t="shared" si="12"/>
        <v>4450.2617801047118</v>
      </c>
      <c r="H451" s="2">
        <f t="shared" si="13"/>
        <v>850000</v>
      </c>
      <c r="I451" t="s">
        <v>273</v>
      </c>
      <c r="J451" t="s">
        <v>169</v>
      </c>
      <c r="K451" t="s">
        <v>2217</v>
      </c>
      <c r="L451" t="s">
        <v>170</v>
      </c>
      <c r="M451" t="s">
        <v>16</v>
      </c>
      <c r="N451" t="s">
        <v>2242</v>
      </c>
    </row>
    <row r="452" spans="1:14" hidden="1" x14ac:dyDescent="0.35">
      <c r="A452" t="s">
        <v>1052</v>
      </c>
      <c r="B452" t="s">
        <v>66</v>
      </c>
      <c r="C452">
        <v>3</v>
      </c>
      <c r="D452">
        <v>3</v>
      </c>
      <c r="E452" s="1">
        <v>2187</v>
      </c>
      <c r="F452" s="3">
        <v>859000</v>
      </c>
      <c r="G452" s="2">
        <f t="shared" si="12"/>
        <v>392.77549154092367</v>
      </c>
      <c r="H452" s="2">
        <f t="shared" si="13"/>
        <v>859000</v>
      </c>
      <c r="I452" t="s">
        <v>1053</v>
      </c>
      <c r="J452" t="s">
        <v>291</v>
      </c>
      <c r="K452" t="s">
        <v>2217</v>
      </c>
      <c r="L452" t="s">
        <v>292</v>
      </c>
      <c r="M452" t="s">
        <v>16</v>
      </c>
      <c r="N452" t="s">
        <v>2242</v>
      </c>
    </row>
    <row r="453" spans="1:14" hidden="1" x14ac:dyDescent="0.35">
      <c r="A453" t="s">
        <v>158</v>
      </c>
      <c r="B453" t="s">
        <v>12</v>
      </c>
      <c r="C453">
        <v>4</v>
      </c>
      <c r="D453">
        <v>3</v>
      </c>
      <c r="E453" s="1">
        <v>500</v>
      </c>
      <c r="F453" s="3">
        <v>860000</v>
      </c>
      <c r="G453" s="2">
        <f t="shared" ref="G453:G516" si="14">IF(F453&lt;50000,F453,F453/E453)</f>
        <v>1720</v>
      </c>
      <c r="H453" s="2">
        <f t="shared" ref="H453:H516" si="15">IF(F453&lt;50000,E453*F453,F453)</f>
        <v>860000</v>
      </c>
      <c r="I453" t="s">
        <v>159</v>
      </c>
      <c r="J453" t="s">
        <v>48</v>
      </c>
      <c r="K453" t="s">
        <v>2218</v>
      </c>
      <c r="L453" t="s">
        <v>49</v>
      </c>
      <c r="M453" t="s">
        <v>16</v>
      </c>
      <c r="N453" t="s">
        <v>50</v>
      </c>
    </row>
    <row r="454" spans="1:14" hidden="1" x14ac:dyDescent="0.35">
      <c r="A454" t="s">
        <v>160</v>
      </c>
      <c r="B454" t="s">
        <v>12</v>
      </c>
      <c r="C454">
        <v>3</v>
      </c>
      <c r="D454">
        <v>4</v>
      </c>
      <c r="E454" s="1">
        <v>500</v>
      </c>
      <c r="F454" s="3">
        <v>860000</v>
      </c>
      <c r="G454" s="2">
        <f t="shared" si="14"/>
        <v>1720</v>
      </c>
      <c r="H454" s="2">
        <f t="shared" si="15"/>
        <v>860000</v>
      </c>
      <c r="I454" t="s">
        <v>161</v>
      </c>
      <c r="J454" t="s">
        <v>48</v>
      </c>
      <c r="K454" t="s">
        <v>2218</v>
      </c>
      <c r="L454" t="s">
        <v>49</v>
      </c>
      <c r="M454" t="s">
        <v>16</v>
      </c>
      <c r="N454" t="s">
        <v>50</v>
      </c>
    </row>
    <row r="455" spans="1:14" hidden="1" x14ac:dyDescent="0.35">
      <c r="A455" t="s">
        <v>279</v>
      </c>
      <c r="B455" t="s">
        <v>12</v>
      </c>
      <c r="C455">
        <v>4</v>
      </c>
      <c r="D455">
        <v>3</v>
      </c>
      <c r="E455" s="1">
        <v>500</v>
      </c>
      <c r="F455" s="3">
        <v>860000</v>
      </c>
      <c r="G455" s="2">
        <f t="shared" si="14"/>
        <v>1720</v>
      </c>
      <c r="H455" s="2">
        <f t="shared" si="15"/>
        <v>860000</v>
      </c>
      <c r="I455" t="s">
        <v>280</v>
      </c>
      <c r="J455" t="s">
        <v>48</v>
      </c>
      <c r="K455" t="s">
        <v>2218</v>
      </c>
      <c r="L455" t="s">
        <v>49</v>
      </c>
      <c r="M455" t="s">
        <v>16</v>
      </c>
      <c r="N455" t="s">
        <v>50</v>
      </c>
    </row>
    <row r="456" spans="1:14" hidden="1" x14ac:dyDescent="0.35">
      <c r="A456" t="s">
        <v>281</v>
      </c>
      <c r="B456" t="s">
        <v>12</v>
      </c>
      <c r="C456">
        <v>4</v>
      </c>
      <c r="D456">
        <v>4</v>
      </c>
      <c r="E456" s="1">
        <v>500</v>
      </c>
      <c r="F456" s="3">
        <v>860000</v>
      </c>
      <c r="G456" s="2">
        <f t="shared" si="14"/>
        <v>1720</v>
      </c>
      <c r="H456" s="2">
        <f t="shared" si="15"/>
        <v>860000</v>
      </c>
      <c r="I456" t="s">
        <v>159</v>
      </c>
      <c r="J456" t="s">
        <v>48</v>
      </c>
      <c r="K456" t="s">
        <v>2218</v>
      </c>
      <c r="L456" t="s">
        <v>49</v>
      </c>
      <c r="M456" t="s">
        <v>16</v>
      </c>
      <c r="N456" t="s">
        <v>50</v>
      </c>
    </row>
    <row r="457" spans="1:14" hidden="1" x14ac:dyDescent="0.35">
      <c r="A457" t="s">
        <v>285</v>
      </c>
      <c r="B457" t="s">
        <v>12</v>
      </c>
      <c r="C457">
        <v>4</v>
      </c>
      <c r="D457">
        <v>3</v>
      </c>
      <c r="E457" s="1">
        <v>500</v>
      </c>
      <c r="F457" s="3">
        <v>860000</v>
      </c>
      <c r="G457" s="2">
        <f t="shared" si="14"/>
        <v>1720</v>
      </c>
      <c r="H457" s="2">
        <f t="shared" si="15"/>
        <v>860000</v>
      </c>
      <c r="I457" t="s">
        <v>47</v>
      </c>
      <c r="J457" t="s">
        <v>48</v>
      </c>
      <c r="K457" t="s">
        <v>2218</v>
      </c>
      <c r="L457" t="s">
        <v>49</v>
      </c>
      <c r="M457" t="s">
        <v>16</v>
      </c>
      <c r="N457" t="s">
        <v>50</v>
      </c>
    </row>
    <row r="458" spans="1:14" hidden="1" x14ac:dyDescent="0.35">
      <c r="A458" t="s">
        <v>329</v>
      </c>
      <c r="B458" t="s">
        <v>12</v>
      </c>
      <c r="C458">
        <v>3</v>
      </c>
      <c r="D458">
        <v>3</v>
      </c>
      <c r="E458" s="1">
        <v>500</v>
      </c>
      <c r="F458" s="3">
        <v>860000</v>
      </c>
      <c r="G458" s="2">
        <f t="shared" si="14"/>
        <v>1720</v>
      </c>
      <c r="H458" s="2">
        <f t="shared" si="15"/>
        <v>860000</v>
      </c>
      <c r="I458" t="s">
        <v>330</v>
      </c>
      <c r="J458" t="s">
        <v>48</v>
      </c>
      <c r="K458" t="s">
        <v>2218</v>
      </c>
      <c r="L458" t="s">
        <v>49</v>
      </c>
      <c r="M458" t="s">
        <v>16</v>
      </c>
      <c r="N458" t="s">
        <v>50</v>
      </c>
    </row>
    <row r="459" spans="1:14" hidden="1" x14ac:dyDescent="0.35">
      <c r="A459" t="s">
        <v>402</v>
      </c>
      <c r="B459" t="s">
        <v>12</v>
      </c>
      <c r="C459">
        <v>3</v>
      </c>
      <c r="D459">
        <v>3</v>
      </c>
      <c r="E459" s="1">
        <v>500</v>
      </c>
      <c r="F459" s="3">
        <v>860000</v>
      </c>
      <c r="G459" s="2">
        <f t="shared" si="14"/>
        <v>1720</v>
      </c>
      <c r="H459" s="2">
        <f t="shared" si="15"/>
        <v>860000</v>
      </c>
      <c r="I459" t="s">
        <v>47</v>
      </c>
      <c r="J459" t="s">
        <v>48</v>
      </c>
      <c r="K459" t="s">
        <v>2218</v>
      </c>
      <c r="L459" t="s">
        <v>49</v>
      </c>
      <c r="M459" t="s">
        <v>16</v>
      </c>
      <c r="N459" t="s">
        <v>50</v>
      </c>
    </row>
    <row r="460" spans="1:14" hidden="1" x14ac:dyDescent="0.35">
      <c r="A460" t="s">
        <v>427</v>
      </c>
      <c r="B460" t="s">
        <v>12</v>
      </c>
      <c r="C460">
        <v>3</v>
      </c>
      <c r="D460">
        <v>3</v>
      </c>
      <c r="E460" s="1">
        <v>500</v>
      </c>
      <c r="F460" s="3">
        <v>860000</v>
      </c>
      <c r="G460" s="2">
        <f t="shared" si="14"/>
        <v>1720</v>
      </c>
      <c r="H460" s="2">
        <f t="shared" si="15"/>
        <v>860000</v>
      </c>
      <c r="I460" t="s">
        <v>47</v>
      </c>
      <c r="J460" t="s">
        <v>48</v>
      </c>
      <c r="K460" t="s">
        <v>2218</v>
      </c>
      <c r="L460" t="s">
        <v>49</v>
      </c>
      <c r="M460" t="s">
        <v>16</v>
      </c>
      <c r="N460" t="s">
        <v>50</v>
      </c>
    </row>
    <row r="461" spans="1:14" hidden="1" x14ac:dyDescent="0.35">
      <c r="A461" t="s">
        <v>437</v>
      </c>
      <c r="B461" t="s">
        <v>12</v>
      </c>
      <c r="C461">
        <v>8</v>
      </c>
      <c r="D461">
        <v>6</v>
      </c>
      <c r="E461" s="1">
        <v>250</v>
      </c>
      <c r="F461" s="3">
        <v>860000</v>
      </c>
      <c r="G461" s="2">
        <f t="shared" si="14"/>
        <v>3440</v>
      </c>
      <c r="H461" s="2">
        <f t="shared" si="15"/>
        <v>860000</v>
      </c>
      <c r="I461" t="s">
        <v>47</v>
      </c>
      <c r="J461" t="s">
        <v>48</v>
      </c>
      <c r="K461" t="s">
        <v>2218</v>
      </c>
      <c r="L461" t="s">
        <v>49</v>
      </c>
      <c r="M461" t="s">
        <v>16</v>
      </c>
      <c r="N461" t="s">
        <v>50</v>
      </c>
    </row>
    <row r="462" spans="1:14" hidden="1" x14ac:dyDescent="0.35">
      <c r="A462" t="s">
        <v>476</v>
      </c>
      <c r="B462" t="s">
        <v>12</v>
      </c>
      <c r="C462">
        <v>3</v>
      </c>
      <c r="D462">
        <v>3</v>
      </c>
      <c r="E462" s="1">
        <v>500</v>
      </c>
      <c r="F462" s="3">
        <v>860000</v>
      </c>
      <c r="G462" s="2">
        <f t="shared" si="14"/>
        <v>1720</v>
      </c>
      <c r="H462" s="2">
        <f t="shared" si="15"/>
        <v>860000</v>
      </c>
      <c r="I462" t="s">
        <v>477</v>
      </c>
      <c r="J462" t="s">
        <v>195</v>
      </c>
      <c r="K462" t="s">
        <v>2218</v>
      </c>
      <c r="L462" t="s">
        <v>196</v>
      </c>
      <c r="M462" t="s">
        <v>16</v>
      </c>
      <c r="N462" t="s">
        <v>50</v>
      </c>
    </row>
    <row r="463" spans="1:14" hidden="1" x14ac:dyDescent="0.35">
      <c r="A463" t="s">
        <v>505</v>
      </c>
      <c r="B463" t="s">
        <v>12</v>
      </c>
      <c r="C463">
        <v>4</v>
      </c>
      <c r="D463">
        <v>3</v>
      </c>
      <c r="E463" s="1">
        <v>250</v>
      </c>
      <c r="F463" s="3">
        <v>860000</v>
      </c>
      <c r="G463" s="2">
        <f t="shared" si="14"/>
        <v>3440</v>
      </c>
      <c r="H463" s="2">
        <f t="shared" si="15"/>
        <v>860000</v>
      </c>
      <c r="I463" t="s">
        <v>47</v>
      </c>
      <c r="J463" t="s">
        <v>48</v>
      </c>
      <c r="K463" t="s">
        <v>2218</v>
      </c>
      <c r="L463" t="s">
        <v>49</v>
      </c>
      <c r="M463" t="s">
        <v>16</v>
      </c>
      <c r="N463" t="s">
        <v>50</v>
      </c>
    </row>
    <row r="464" spans="1:14" hidden="1" x14ac:dyDescent="0.35">
      <c r="A464" t="s">
        <v>506</v>
      </c>
      <c r="B464" t="s">
        <v>12</v>
      </c>
      <c r="C464">
        <v>4</v>
      </c>
      <c r="D464">
        <v>3</v>
      </c>
      <c r="E464" s="1">
        <v>500</v>
      </c>
      <c r="F464" s="3">
        <v>860000</v>
      </c>
      <c r="G464" s="2">
        <f t="shared" si="14"/>
        <v>1720</v>
      </c>
      <c r="H464" s="2">
        <f t="shared" si="15"/>
        <v>860000</v>
      </c>
      <c r="I464" t="s">
        <v>47</v>
      </c>
      <c r="J464" t="s">
        <v>48</v>
      </c>
      <c r="K464" t="s">
        <v>2218</v>
      </c>
      <c r="L464" t="s">
        <v>49</v>
      </c>
      <c r="M464" t="s">
        <v>16</v>
      </c>
      <c r="N464" t="s">
        <v>50</v>
      </c>
    </row>
    <row r="465" spans="1:14" ht="16" hidden="1" x14ac:dyDescent="0.45">
      <c r="A465" t="s">
        <v>524</v>
      </c>
      <c r="B465" t="s">
        <v>12</v>
      </c>
      <c r="C465">
        <v>3</v>
      </c>
      <c r="D465">
        <v>3</v>
      </c>
      <c r="E465" s="1">
        <v>500</v>
      </c>
      <c r="F465" s="3">
        <v>860000</v>
      </c>
      <c r="G465" s="2">
        <f t="shared" si="14"/>
        <v>1720</v>
      </c>
      <c r="H465" s="2">
        <f t="shared" si="15"/>
        <v>860000</v>
      </c>
      <c r="I465" s="4" t="s">
        <v>2228</v>
      </c>
      <c r="J465" t="s">
        <v>48</v>
      </c>
      <c r="K465" t="s">
        <v>2218</v>
      </c>
      <c r="L465" t="s">
        <v>49</v>
      </c>
      <c r="M465" t="s">
        <v>16</v>
      </c>
      <c r="N465" t="s">
        <v>2242</v>
      </c>
    </row>
    <row r="466" spans="1:14" hidden="1" x14ac:dyDescent="0.35">
      <c r="A466" t="s">
        <v>544</v>
      </c>
      <c r="B466" t="s">
        <v>12</v>
      </c>
      <c r="C466">
        <v>3</v>
      </c>
      <c r="D466">
        <v>4</v>
      </c>
      <c r="E466" s="1">
        <v>500</v>
      </c>
      <c r="F466" s="3">
        <v>860000</v>
      </c>
      <c r="G466" s="2">
        <f t="shared" si="14"/>
        <v>1720</v>
      </c>
      <c r="H466" s="2">
        <f t="shared" si="15"/>
        <v>860000</v>
      </c>
      <c r="I466" t="s">
        <v>47</v>
      </c>
      <c r="J466" t="s">
        <v>48</v>
      </c>
      <c r="K466" t="s">
        <v>2218</v>
      </c>
      <c r="L466" t="s">
        <v>49</v>
      </c>
      <c r="M466" t="s">
        <v>16</v>
      </c>
      <c r="N466" t="s">
        <v>50</v>
      </c>
    </row>
    <row r="467" spans="1:14" hidden="1" x14ac:dyDescent="0.35">
      <c r="A467" t="s">
        <v>632</v>
      </c>
      <c r="B467" t="s">
        <v>12</v>
      </c>
      <c r="C467">
        <v>3</v>
      </c>
      <c r="D467">
        <v>4</v>
      </c>
      <c r="E467" s="1">
        <v>500</v>
      </c>
      <c r="F467" s="3">
        <v>860000</v>
      </c>
      <c r="G467" s="2">
        <f t="shared" si="14"/>
        <v>1720</v>
      </c>
      <c r="H467" s="2">
        <f t="shared" si="15"/>
        <v>860000</v>
      </c>
      <c r="I467" t="s">
        <v>47</v>
      </c>
      <c r="J467" t="s">
        <v>48</v>
      </c>
      <c r="K467" t="s">
        <v>2218</v>
      </c>
      <c r="L467" t="s">
        <v>49</v>
      </c>
      <c r="M467" t="s">
        <v>16</v>
      </c>
      <c r="N467" t="s">
        <v>2242</v>
      </c>
    </row>
    <row r="468" spans="1:14" hidden="1" x14ac:dyDescent="0.35">
      <c r="A468" t="s">
        <v>635</v>
      </c>
      <c r="B468" t="s">
        <v>12</v>
      </c>
      <c r="C468">
        <v>4</v>
      </c>
      <c r="D468">
        <v>5</v>
      </c>
      <c r="E468" s="1">
        <v>500</v>
      </c>
      <c r="F468" s="3">
        <v>860000</v>
      </c>
      <c r="G468" s="2">
        <f t="shared" si="14"/>
        <v>1720</v>
      </c>
      <c r="H468" s="2">
        <f t="shared" si="15"/>
        <v>860000</v>
      </c>
      <c r="I468" t="s">
        <v>47</v>
      </c>
      <c r="J468" t="s">
        <v>48</v>
      </c>
      <c r="K468" t="s">
        <v>2218</v>
      </c>
      <c r="L468" t="s">
        <v>49</v>
      </c>
      <c r="M468" t="s">
        <v>16</v>
      </c>
      <c r="N468" t="s">
        <v>2242</v>
      </c>
    </row>
    <row r="469" spans="1:14" hidden="1" x14ac:dyDescent="0.35">
      <c r="A469" t="s">
        <v>655</v>
      </c>
      <c r="B469" t="s">
        <v>12</v>
      </c>
      <c r="C469">
        <v>4</v>
      </c>
      <c r="D469">
        <v>3</v>
      </c>
      <c r="E469" s="1">
        <v>500</v>
      </c>
      <c r="F469" s="3">
        <v>860000</v>
      </c>
      <c r="G469" s="2">
        <f t="shared" si="14"/>
        <v>1720</v>
      </c>
      <c r="H469" s="2">
        <f t="shared" si="15"/>
        <v>860000</v>
      </c>
      <c r="I469" t="s">
        <v>122</v>
      </c>
      <c r="J469" t="s">
        <v>48</v>
      </c>
      <c r="K469" t="s">
        <v>2218</v>
      </c>
      <c r="L469" t="s">
        <v>49</v>
      </c>
      <c r="M469" t="s">
        <v>16</v>
      </c>
      <c r="N469" t="s">
        <v>50</v>
      </c>
    </row>
    <row r="470" spans="1:14" hidden="1" x14ac:dyDescent="0.35">
      <c r="A470" t="s">
        <v>708</v>
      </c>
      <c r="B470" t="s">
        <v>12</v>
      </c>
      <c r="C470">
        <v>3</v>
      </c>
      <c r="D470">
        <v>3</v>
      </c>
      <c r="E470" s="1">
        <v>500</v>
      </c>
      <c r="F470" s="3">
        <v>860000</v>
      </c>
      <c r="G470" s="2">
        <f t="shared" si="14"/>
        <v>1720</v>
      </c>
      <c r="H470" s="2">
        <f t="shared" si="15"/>
        <v>860000</v>
      </c>
      <c r="I470" t="s">
        <v>280</v>
      </c>
      <c r="J470" t="s">
        <v>48</v>
      </c>
      <c r="K470" t="s">
        <v>2218</v>
      </c>
      <c r="L470" t="s">
        <v>49</v>
      </c>
      <c r="M470" t="s">
        <v>16</v>
      </c>
      <c r="N470" t="s">
        <v>50</v>
      </c>
    </row>
    <row r="471" spans="1:14" hidden="1" x14ac:dyDescent="0.35">
      <c r="A471" t="s">
        <v>709</v>
      </c>
      <c r="B471" t="s">
        <v>12</v>
      </c>
      <c r="C471">
        <v>3</v>
      </c>
      <c r="D471">
        <v>3</v>
      </c>
      <c r="E471" s="1">
        <v>500</v>
      </c>
      <c r="F471" s="3">
        <v>860000</v>
      </c>
      <c r="G471" s="2">
        <f t="shared" si="14"/>
        <v>1720</v>
      </c>
      <c r="H471" s="2">
        <f t="shared" si="15"/>
        <v>860000</v>
      </c>
      <c r="I471" t="s">
        <v>710</v>
      </c>
      <c r="J471" t="s">
        <v>48</v>
      </c>
      <c r="K471" t="s">
        <v>2218</v>
      </c>
      <c r="L471" t="s">
        <v>49</v>
      </c>
      <c r="M471" t="s">
        <v>16</v>
      </c>
      <c r="N471" t="s">
        <v>50</v>
      </c>
    </row>
    <row r="472" spans="1:14" hidden="1" x14ac:dyDescent="0.35">
      <c r="A472" t="s">
        <v>791</v>
      </c>
      <c r="B472" t="s">
        <v>12</v>
      </c>
      <c r="C472">
        <v>4</v>
      </c>
      <c r="D472">
        <v>5</v>
      </c>
      <c r="E472" s="1">
        <v>500</v>
      </c>
      <c r="F472" s="3">
        <v>860000</v>
      </c>
      <c r="G472" s="2">
        <f t="shared" si="14"/>
        <v>1720</v>
      </c>
      <c r="H472" s="2">
        <f t="shared" si="15"/>
        <v>860000</v>
      </c>
      <c r="I472" t="s">
        <v>47</v>
      </c>
      <c r="J472" t="s">
        <v>48</v>
      </c>
      <c r="K472" t="s">
        <v>2218</v>
      </c>
      <c r="L472" t="s">
        <v>49</v>
      </c>
      <c r="M472" t="s">
        <v>16</v>
      </c>
      <c r="N472" t="s">
        <v>50</v>
      </c>
    </row>
    <row r="473" spans="1:14" hidden="1" x14ac:dyDescent="0.35">
      <c r="A473" t="s">
        <v>792</v>
      </c>
      <c r="B473" t="s">
        <v>12</v>
      </c>
      <c r="C473">
        <v>3</v>
      </c>
      <c r="D473">
        <v>3</v>
      </c>
      <c r="E473" s="1">
        <v>500</v>
      </c>
      <c r="F473" s="3">
        <v>860000</v>
      </c>
      <c r="G473" s="2">
        <f t="shared" si="14"/>
        <v>1720</v>
      </c>
      <c r="H473" s="2">
        <f t="shared" si="15"/>
        <v>860000</v>
      </c>
      <c r="I473" t="s">
        <v>477</v>
      </c>
      <c r="J473" t="s">
        <v>195</v>
      </c>
      <c r="K473" t="s">
        <v>2218</v>
      </c>
      <c r="L473" t="s">
        <v>196</v>
      </c>
      <c r="M473" t="s">
        <v>16</v>
      </c>
      <c r="N473" t="s">
        <v>50</v>
      </c>
    </row>
    <row r="474" spans="1:14" hidden="1" x14ac:dyDescent="0.35">
      <c r="A474" t="s">
        <v>835</v>
      </c>
      <c r="B474" t="s">
        <v>12</v>
      </c>
      <c r="C474">
        <v>3</v>
      </c>
      <c r="D474">
        <v>3</v>
      </c>
      <c r="E474" s="1">
        <v>500</v>
      </c>
      <c r="F474" s="3">
        <v>860000</v>
      </c>
      <c r="G474" s="2">
        <f t="shared" si="14"/>
        <v>1720</v>
      </c>
      <c r="H474" s="2">
        <f t="shared" si="15"/>
        <v>860000</v>
      </c>
      <c r="I474" t="s">
        <v>477</v>
      </c>
      <c r="J474" t="s">
        <v>195</v>
      </c>
      <c r="K474" t="s">
        <v>2218</v>
      </c>
      <c r="L474" t="s">
        <v>196</v>
      </c>
      <c r="M474" t="s">
        <v>16</v>
      </c>
      <c r="N474" t="s">
        <v>50</v>
      </c>
    </row>
    <row r="475" spans="1:14" hidden="1" x14ac:dyDescent="0.35">
      <c r="A475" t="s">
        <v>839</v>
      </c>
      <c r="B475" t="s">
        <v>12</v>
      </c>
      <c r="C475">
        <v>3</v>
      </c>
      <c r="D475">
        <v>4</v>
      </c>
      <c r="E475" s="1">
        <v>250</v>
      </c>
      <c r="F475" s="3">
        <v>860000</v>
      </c>
      <c r="G475" s="2">
        <f t="shared" si="14"/>
        <v>3440</v>
      </c>
      <c r="H475" s="2">
        <f t="shared" si="15"/>
        <v>860000</v>
      </c>
      <c r="I475" t="s">
        <v>47</v>
      </c>
      <c r="J475" t="s">
        <v>48</v>
      </c>
      <c r="K475" t="s">
        <v>2218</v>
      </c>
      <c r="L475" t="s">
        <v>49</v>
      </c>
      <c r="M475" t="s">
        <v>16</v>
      </c>
      <c r="N475" t="s">
        <v>50</v>
      </c>
    </row>
    <row r="476" spans="1:14" hidden="1" x14ac:dyDescent="0.35">
      <c r="A476" t="s">
        <v>853</v>
      </c>
      <c r="B476" t="s">
        <v>12</v>
      </c>
      <c r="C476">
        <v>5</v>
      </c>
      <c r="D476">
        <v>6</v>
      </c>
      <c r="E476" s="1">
        <v>500</v>
      </c>
      <c r="F476" s="3">
        <v>860000</v>
      </c>
      <c r="G476" s="2">
        <f t="shared" si="14"/>
        <v>1720</v>
      </c>
      <c r="H476" s="2">
        <f t="shared" si="15"/>
        <v>860000</v>
      </c>
      <c r="I476" t="s">
        <v>854</v>
      </c>
      <c r="J476" t="s">
        <v>48</v>
      </c>
      <c r="K476" t="s">
        <v>2218</v>
      </c>
      <c r="L476" t="s">
        <v>49</v>
      </c>
      <c r="M476" t="s">
        <v>16</v>
      </c>
      <c r="N476" t="s">
        <v>50</v>
      </c>
    </row>
    <row r="477" spans="1:14" hidden="1" x14ac:dyDescent="0.35">
      <c r="A477" t="s">
        <v>858</v>
      </c>
      <c r="B477" t="s">
        <v>12</v>
      </c>
      <c r="C477">
        <v>2</v>
      </c>
      <c r="D477">
        <v>3</v>
      </c>
      <c r="E477" s="1">
        <v>500</v>
      </c>
      <c r="F477" s="3">
        <v>860000</v>
      </c>
      <c r="G477" s="2">
        <f t="shared" si="14"/>
        <v>1720</v>
      </c>
      <c r="H477" s="2">
        <f t="shared" si="15"/>
        <v>860000</v>
      </c>
      <c r="I477" t="s">
        <v>280</v>
      </c>
      <c r="J477" t="s">
        <v>48</v>
      </c>
      <c r="K477" t="s">
        <v>2218</v>
      </c>
      <c r="L477" t="s">
        <v>49</v>
      </c>
      <c r="M477" t="s">
        <v>16</v>
      </c>
      <c r="N477" t="s">
        <v>50</v>
      </c>
    </row>
    <row r="478" spans="1:14" hidden="1" x14ac:dyDescent="0.35">
      <c r="A478" t="s">
        <v>897</v>
      </c>
      <c r="B478" t="s">
        <v>12</v>
      </c>
      <c r="C478">
        <v>4</v>
      </c>
      <c r="D478">
        <v>3</v>
      </c>
      <c r="E478" s="1">
        <v>500</v>
      </c>
      <c r="F478" s="3">
        <v>860000</v>
      </c>
      <c r="G478" s="2">
        <f t="shared" si="14"/>
        <v>1720</v>
      </c>
      <c r="H478" s="2">
        <f t="shared" si="15"/>
        <v>860000</v>
      </c>
      <c r="I478" t="s">
        <v>280</v>
      </c>
      <c r="J478" t="s">
        <v>48</v>
      </c>
      <c r="K478" t="s">
        <v>2218</v>
      </c>
      <c r="L478" t="s">
        <v>49</v>
      </c>
      <c r="M478" t="s">
        <v>16</v>
      </c>
      <c r="N478" t="s">
        <v>50</v>
      </c>
    </row>
    <row r="479" spans="1:14" hidden="1" x14ac:dyDescent="0.35">
      <c r="A479" t="s">
        <v>898</v>
      </c>
      <c r="B479" t="s">
        <v>12</v>
      </c>
      <c r="C479">
        <v>4</v>
      </c>
      <c r="D479">
        <v>3</v>
      </c>
      <c r="E479" s="1">
        <v>500</v>
      </c>
      <c r="F479" s="3">
        <v>860000</v>
      </c>
      <c r="G479" s="2">
        <f t="shared" si="14"/>
        <v>1720</v>
      </c>
      <c r="H479" s="2">
        <f t="shared" si="15"/>
        <v>860000</v>
      </c>
      <c r="I479" t="s">
        <v>280</v>
      </c>
      <c r="J479" t="s">
        <v>48</v>
      </c>
      <c r="K479" t="s">
        <v>2218</v>
      </c>
      <c r="L479" t="s">
        <v>49</v>
      </c>
      <c r="M479" t="s">
        <v>16</v>
      </c>
      <c r="N479" t="s">
        <v>50</v>
      </c>
    </row>
    <row r="480" spans="1:14" hidden="1" x14ac:dyDescent="0.35">
      <c r="A480" t="s">
        <v>910</v>
      </c>
      <c r="B480" t="s">
        <v>12</v>
      </c>
      <c r="C480">
        <v>3</v>
      </c>
      <c r="D480">
        <v>3</v>
      </c>
      <c r="E480" s="1">
        <v>500</v>
      </c>
      <c r="F480" s="3">
        <v>860000</v>
      </c>
      <c r="G480" s="2">
        <f t="shared" si="14"/>
        <v>1720</v>
      </c>
      <c r="H480" s="2">
        <f t="shared" si="15"/>
        <v>860000</v>
      </c>
      <c r="I480" t="s">
        <v>280</v>
      </c>
      <c r="J480" t="s">
        <v>48</v>
      </c>
      <c r="K480" t="s">
        <v>2218</v>
      </c>
      <c r="L480" t="s">
        <v>49</v>
      </c>
      <c r="M480" t="s">
        <v>16</v>
      </c>
      <c r="N480" t="s">
        <v>2242</v>
      </c>
    </row>
    <row r="481" spans="1:14" hidden="1" x14ac:dyDescent="0.35">
      <c r="A481" t="s">
        <v>930</v>
      </c>
      <c r="B481" t="s">
        <v>12</v>
      </c>
      <c r="C481">
        <v>4</v>
      </c>
      <c r="D481">
        <v>3</v>
      </c>
      <c r="E481" s="1">
        <v>500</v>
      </c>
      <c r="F481" s="3">
        <v>860000</v>
      </c>
      <c r="G481" s="2">
        <f t="shared" si="14"/>
        <v>1720</v>
      </c>
      <c r="H481" s="2">
        <f t="shared" si="15"/>
        <v>860000</v>
      </c>
      <c r="I481" t="s">
        <v>931</v>
      </c>
      <c r="J481" t="s">
        <v>48</v>
      </c>
      <c r="K481" t="s">
        <v>2218</v>
      </c>
      <c r="L481" t="s">
        <v>49</v>
      </c>
      <c r="M481" t="s">
        <v>16</v>
      </c>
      <c r="N481" t="s">
        <v>50</v>
      </c>
    </row>
    <row r="482" spans="1:14" hidden="1" x14ac:dyDescent="0.35">
      <c r="A482" t="s">
        <v>932</v>
      </c>
      <c r="B482" t="s">
        <v>12</v>
      </c>
      <c r="C482">
        <v>3</v>
      </c>
      <c r="D482">
        <v>3</v>
      </c>
      <c r="E482" s="1">
        <v>500</v>
      </c>
      <c r="F482" s="3">
        <v>860000</v>
      </c>
      <c r="G482" s="2">
        <f t="shared" si="14"/>
        <v>1720</v>
      </c>
      <c r="H482" s="2">
        <f t="shared" si="15"/>
        <v>860000</v>
      </c>
      <c r="I482" t="s">
        <v>161</v>
      </c>
      <c r="J482" t="s">
        <v>48</v>
      </c>
      <c r="K482" t="s">
        <v>2218</v>
      </c>
      <c r="L482" t="s">
        <v>49</v>
      </c>
      <c r="M482" t="s">
        <v>16</v>
      </c>
      <c r="N482" t="s">
        <v>50</v>
      </c>
    </row>
    <row r="483" spans="1:14" hidden="1" x14ac:dyDescent="0.35">
      <c r="A483" t="s">
        <v>933</v>
      </c>
      <c r="B483" t="s">
        <v>12</v>
      </c>
      <c r="C483">
        <v>3</v>
      </c>
      <c r="D483">
        <v>3</v>
      </c>
      <c r="E483" s="1">
        <v>500</v>
      </c>
      <c r="F483" s="3">
        <v>860000</v>
      </c>
      <c r="G483" s="2">
        <f t="shared" si="14"/>
        <v>1720</v>
      </c>
      <c r="H483" s="2">
        <f t="shared" si="15"/>
        <v>860000</v>
      </c>
      <c r="I483" t="s">
        <v>934</v>
      </c>
      <c r="J483" t="s">
        <v>48</v>
      </c>
      <c r="K483" t="s">
        <v>2218</v>
      </c>
      <c r="L483" t="s">
        <v>49</v>
      </c>
      <c r="M483" t="s">
        <v>16</v>
      </c>
      <c r="N483" t="s">
        <v>50</v>
      </c>
    </row>
    <row r="484" spans="1:14" hidden="1" x14ac:dyDescent="0.35">
      <c r="A484" t="s">
        <v>937</v>
      </c>
      <c r="B484" t="s">
        <v>12</v>
      </c>
      <c r="C484">
        <v>4</v>
      </c>
      <c r="D484">
        <v>3</v>
      </c>
      <c r="E484" s="1">
        <v>500</v>
      </c>
      <c r="F484" s="3">
        <v>860000</v>
      </c>
      <c r="G484" s="2">
        <f t="shared" si="14"/>
        <v>1720</v>
      </c>
      <c r="H484" s="2">
        <f t="shared" si="15"/>
        <v>860000</v>
      </c>
      <c r="I484" t="s">
        <v>2231</v>
      </c>
      <c r="J484" t="s">
        <v>48</v>
      </c>
      <c r="K484" t="s">
        <v>2218</v>
      </c>
      <c r="L484" t="s">
        <v>49</v>
      </c>
      <c r="M484" t="s">
        <v>16</v>
      </c>
      <c r="N484" t="s">
        <v>50</v>
      </c>
    </row>
    <row r="485" spans="1:14" hidden="1" x14ac:dyDescent="0.35">
      <c r="A485" t="s">
        <v>938</v>
      </c>
      <c r="B485" t="s">
        <v>12</v>
      </c>
      <c r="C485">
        <v>3</v>
      </c>
      <c r="D485">
        <v>4</v>
      </c>
      <c r="E485" s="1">
        <v>500</v>
      </c>
      <c r="F485" s="3">
        <v>860000</v>
      </c>
      <c r="G485" s="2">
        <f t="shared" si="14"/>
        <v>1720</v>
      </c>
      <c r="H485" s="2">
        <f t="shared" si="15"/>
        <v>860000</v>
      </c>
      <c r="I485" t="s">
        <v>122</v>
      </c>
      <c r="J485" t="s">
        <v>48</v>
      </c>
      <c r="K485" t="s">
        <v>2218</v>
      </c>
      <c r="L485" t="s">
        <v>49</v>
      </c>
      <c r="M485" t="s">
        <v>16</v>
      </c>
      <c r="N485" t="s">
        <v>50</v>
      </c>
    </row>
    <row r="486" spans="1:14" hidden="1" x14ac:dyDescent="0.35">
      <c r="A486" t="s">
        <v>939</v>
      </c>
      <c r="B486" t="s">
        <v>12</v>
      </c>
      <c r="C486">
        <v>3</v>
      </c>
      <c r="D486">
        <v>3</v>
      </c>
      <c r="E486" s="1">
        <v>250</v>
      </c>
      <c r="F486" s="3">
        <v>860000</v>
      </c>
      <c r="G486" s="2">
        <f t="shared" si="14"/>
        <v>3440</v>
      </c>
      <c r="H486" s="2">
        <f t="shared" si="15"/>
        <v>860000</v>
      </c>
      <c r="I486" t="s">
        <v>47</v>
      </c>
      <c r="J486" t="s">
        <v>48</v>
      </c>
      <c r="K486" t="s">
        <v>2218</v>
      </c>
      <c r="L486" t="s">
        <v>49</v>
      </c>
      <c r="M486" t="s">
        <v>16</v>
      </c>
      <c r="N486" t="s">
        <v>50</v>
      </c>
    </row>
    <row r="487" spans="1:14" hidden="1" x14ac:dyDescent="0.35">
      <c r="A487" t="s">
        <v>980</v>
      </c>
      <c r="B487" t="s">
        <v>12</v>
      </c>
      <c r="C487">
        <v>3</v>
      </c>
      <c r="D487">
        <v>3</v>
      </c>
      <c r="E487" s="1">
        <v>500</v>
      </c>
      <c r="F487" s="3">
        <v>860000</v>
      </c>
      <c r="G487" s="2">
        <f t="shared" si="14"/>
        <v>1720</v>
      </c>
      <c r="H487" s="2">
        <f t="shared" si="15"/>
        <v>860000</v>
      </c>
      <c r="I487" t="s">
        <v>47</v>
      </c>
      <c r="J487" t="s">
        <v>48</v>
      </c>
      <c r="K487" t="s">
        <v>2218</v>
      </c>
      <c r="L487" t="s">
        <v>49</v>
      </c>
      <c r="M487" t="s">
        <v>16</v>
      </c>
      <c r="N487" t="s">
        <v>50</v>
      </c>
    </row>
    <row r="488" spans="1:14" hidden="1" x14ac:dyDescent="0.35">
      <c r="A488" t="s">
        <v>981</v>
      </c>
      <c r="B488" t="s">
        <v>12</v>
      </c>
      <c r="C488">
        <v>3</v>
      </c>
      <c r="D488">
        <v>4</v>
      </c>
      <c r="E488" s="1">
        <v>500</v>
      </c>
      <c r="F488" s="3">
        <v>860000</v>
      </c>
      <c r="G488" s="2">
        <f t="shared" si="14"/>
        <v>1720</v>
      </c>
      <c r="H488" s="2">
        <f t="shared" si="15"/>
        <v>860000</v>
      </c>
      <c r="I488" t="s">
        <v>161</v>
      </c>
      <c r="J488" t="s">
        <v>48</v>
      </c>
      <c r="K488" t="s">
        <v>2218</v>
      </c>
      <c r="L488" t="s">
        <v>49</v>
      </c>
      <c r="M488" t="s">
        <v>16</v>
      </c>
      <c r="N488" t="s">
        <v>50</v>
      </c>
    </row>
    <row r="489" spans="1:14" hidden="1" x14ac:dyDescent="0.35">
      <c r="A489" t="s">
        <v>991</v>
      </c>
      <c r="B489" t="s">
        <v>12</v>
      </c>
      <c r="C489">
        <v>3</v>
      </c>
      <c r="D489">
        <v>4</v>
      </c>
      <c r="E489" s="1">
        <v>500</v>
      </c>
      <c r="F489" s="3">
        <v>860000</v>
      </c>
      <c r="G489" s="2">
        <f t="shared" si="14"/>
        <v>1720</v>
      </c>
      <c r="H489" s="2">
        <f t="shared" si="15"/>
        <v>860000</v>
      </c>
      <c r="I489" t="s">
        <v>877</v>
      </c>
      <c r="J489" t="s">
        <v>48</v>
      </c>
      <c r="K489" t="s">
        <v>2218</v>
      </c>
      <c r="L489" t="s">
        <v>49</v>
      </c>
      <c r="M489" t="s">
        <v>16</v>
      </c>
      <c r="N489" t="s">
        <v>50</v>
      </c>
    </row>
    <row r="490" spans="1:14" hidden="1" x14ac:dyDescent="0.35">
      <c r="A490" t="s">
        <v>1001</v>
      </c>
      <c r="B490" t="s">
        <v>12</v>
      </c>
      <c r="C490">
        <v>3</v>
      </c>
      <c r="D490">
        <v>3</v>
      </c>
      <c r="E490" s="1">
        <v>250</v>
      </c>
      <c r="F490" s="3">
        <v>860000</v>
      </c>
      <c r="G490" s="2">
        <f t="shared" si="14"/>
        <v>3440</v>
      </c>
      <c r="H490" s="2">
        <f t="shared" si="15"/>
        <v>860000</v>
      </c>
      <c r="I490" t="s">
        <v>47</v>
      </c>
      <c r="J490" t="s">
        <v>48</v>
      </c>
      <c r="K490" t="s">
        <v>2218</v>
      </c>
      <c r="L490" t="s">
        <v>49</v>
      </c>
      <c r="M490" t="s">
        <v>16</v>
      </c>
      <c r="N490" t="s">
        <v>50</v>
      </c>
    </row>
    <row r="491" spans="1:14" hidden="1" x14ac:dyDescent="0.35">
      <c r="A491" t="s">
        <v>1088</v>
      </c>
      <c r="B491" t="s">
        <v>12</v>
      </c>
      <c r="C491">
        <v>3</v>
      </c>
      <c r="D491">
        <v>4</v>
      </c>
      <c r="E491" s="1">
        <v>500</v>
      </c>
      <c r="F491" s="3">
        <v>860000</v>
      </c>
      <c r="G491" s="2">
        <f t="shared" si="14"/>
        <v>1720</v>
      </c>
      <c r="H491" s="2">
        <f t="shared" si="15"/>
        <v>860000</v>
      </c>
      <c r="I491" t="s">
        <v>47</v>
      </c>
      <c r="J491" t="s">
        <v>48</v>
      </c>
      <c r="K491" t="s">
        <v>2218</v>
      </c>
      <c r="L491" t="s">
        <v>49</v>
      </c>
      <c r="M491" t="s">
        <v>16</v>
      </c>
      <c r="N491" t="s">
        <v>50</v>
      </c>
    </row>
    <row r="492" spans="1:14" hidden="1" x14ac:dyDescent="0.35">
      <c r="A492" t="s">
        <v>1094</v>
      </c>
      <c r="B492" t="s">
        <v>12</v>
      </c>
      <c r="C492">
        <v>3</v>
      </c>
      <c r="D492">
        <v>3</v>
      </c>
      <c r="E492" s="1">
        <v>500</v>
      </c>
      <c r="F492" s="3">
        <v>860000</v>
      </c>
      <c r="G492" s="2">
        <f t="shared" si="14"/>
        <v>1720</v>
      </c>
      <c r="H492" s="2">
        <f t="shared" si="15"/>
        <v>860000</v>
      </c>
      <c r="I492" t="s">
        <v>477</v>
      </c>
      <c r="J492" t="s">
        <v>195</v>
      </c>
      <c r="K492" t="s">
        <v>2218</v>
      </c>
      <c r="L492" t="s">
        <v>196</v>
      </c>
      <c r="M492" t="s">
        <v>16</v>
      </c>
      <c r="N492" t="s">
        <v>50</v>
      </c>
    </row>
    <row r="493" spans="1:14" hidden="1" x14ac:dyDescent="0.35">
      <c r="A493" t="s">
        <v>1108</v>
      </c>
      <c r="B493" t="s">
        <v>12</v>
      </c>
      <c r="C493">
        <v>3</v>
      </c>
      <c r="D493">
        <v>3</v>
      </c>
      <c r="E493" s="1">
        <v>500</v>
      </c>
      <c r="F493" s="3">
        <v>860000</v>
      </c>
      <c r="G493" s="2">
        <f t="shared" si="14"/>
        <v>1720</v>
      </c>
      <c r="H493" s="2">
        <f t="shared" si="15"/>
        <v>860000</v>
      </c>
      <c r="I493" t="s">
        <v>161</v>
      </c>
      <c r="J493" t="s">
        <v>48</v>
      </c>
      <c r="K493" t="s">
        <v>2218</v>
      </c>
      <c r="L493" t="s">
        <v>49</v>
      </c>
      <c r="M493" t="s">
        <v>16</v>
      </c>
      <c r="N493" t="s">
        <v>50</v>
      </c>
    </row>
    <row r="494" spans="1:14" hidden="1" x14ac:dyDescent="0.35">
      <c r="A494" t="s">
        <v>1112</v>
      </c>
      <c r="B494" t="s">
        <v>12</v>
      </c>
      <c r="C494">
        <v>3</v>
      </c>
      <c r="D494">
        <v>4</v>
      </c>
      <c r="E494" s="1">
        <v>500</v>
      </c>
      <c r="F494" s="3">
        <v>860000</v>
      </c>
      <c r="G494" s="2">
        <f t="shared" si="14"/>
        <v>1720</v>
      </c>
      <c r="H494" s="2">
        <f t="shared" si="15"/>
        <v>860000</v>
      </c>
      <c r="I494" t="s">
        <v>161</v>
      </c>
      <c r="J494" t="s">
        <v>48</v>
      </c>
      <c r="K494" t="s">
        <v>2218</v>
      </c>
      <c r="L494" t="s">
        <v>49</v>
      </c>
      <c r="M494" t="s">
        <v>16</v>
      </c>
      <c r="N494" t="s">
        <v>50</v>
      </c>
    </row>
    <row r="495" spans="1:14" hidden="1" x14ac:dyDescent="0.35">
      <c r="A495" t="s">
        <v>1126</v>
      </c>
      <c r="B495" t="s">
        <v>12</v>
      </c>
      <c r="C495">
        <v>3</v>
      </c>
      <c r="D495">
        <v>4</v>
      </c>
      <c r="E495" s="1">
        <v>500</v>
      </c>
      <c r="F495" s="3">
        <v>860000</v>
      </c>
      <c r="G495" s="2">
        <f t="shared" si="14"/>
        <v>1720</v>
      </c>
      <c r="H495" s="2">
        <f t="shared" si="15"/>
        <v>860000</v>
      </c>
      <c r="I495" t="s">
        <v>477</v>
      </c>
      <c r="J495" t="s">
        <v>195</v>
      </c>
      <c r="K495" t="s">
        <v>2218</v>
      </c>
      <c r="L495" t="s">
        <v>196</v>
      </c>
      <c r="M495" t="s">
        <v>16</v>
      </c>
      <c r="N495" t="s">
        <v>50</v>
      </c>
    </row>
    <row r="496" spans="1:14" hidden="1" x14ac:dyDescent="0.35">
      <c r="A496" t="s">
        <v>1144</v>
      </c>
      <c r="B496" t="s">
        <v>12</v>
      </c>
      <c r="C496">
        <v>3</v>
      </c>
      <c r="D496">
        <v>3</v>
      </c>
      <c r="E496" s="1">
        <v>500</v>
      </c>
      <c r="F496" s="3">
        <v>860000</v>
      </c>
      <c r="G496" s="2">
        <f t="shared" si="14"/>
        <v>1720</v>
      </c>
      <c r="H496" s="2">
        <f t="shared" si="15"/>
        <v>860000</v>
      </c>
      <c r="I496" t="s">
        <v>877</v>
      </c>
      <c r="J496" t="s">
        <v>48</v>
      </c>
      <c r="K496" t="s">
        <v>2218</v>
      </c>
      <c r="L496" t="s">
        <v>49</v>
      </c>
      <c r="M496" t="s">
        <v>16</v>
      </c>
      <c r="N496" t="s">
        <v>50</v>
      </c>
    </row>
    <row r="497" spans="1:14" hidden="1" x14ac:dyDescent="0.35">
      <c r="A497" t="s">
        <v>1152</v>
      </c>
      <c r="B497" t="s">
        <v>12</v>
      </c>
      <c r="C497">
        <v>3</v>
      </c>
      <c r="D497">
        <v>3</v>
      </c>
      <c r="E497" s="1">
        <v>500</v>
      </c>
      <c r="F497" s="3">
        <v>860000</v>
      </c>
      <c r="G497" s="2">
        <f t="shared" si="14"/>
        <v>1720</v>
      </c>
      <c r="H497" s="2">
        <f t="shared" si="15"/>
        <v>860000</v>
      </c>
      <c r="I497" t="s">
        <v>161</v>
      </c>
      <c r="J497" t="s">
        <v>48</v>
      </c>
      <c r="K497" t="s">
        <v>2218</v>
      </c>
      <c r="L497" t="s">
        <v>49</v>
      </c>
      <c r="M497" t="s">
        <v>16</v>
      </c>
      <c r="N497" t="s">
        <v>50</v>
      </c>
    </row>
    <row r="498" spans="1:14" hidden="1" x14ac:dyDescent="0.35">
      <c r="A498" t="s">
        <v>1183</v>
      </c>
      <c r="B498" t="s">
        <v>12</v>
      </c>
      <c r="C498">
        <v>3</v>
      </c>
      <c r="D498">
        <v>3</v>
      </c>
      <c r="E498" s="1">
        <v>500</v>
      </c>
      <c r="F498" s="3">
        <v>860000</v>
      </c>
      <c r="G498" s="2">
        <f t="shared" si="14"/>
        <v>1720</v>
      </c>
      <c r="H498" s="2">
        <f t="shared" si="15"/>
        <v>860000</v>
      </c>
      <c r="I498" t="s">
        <v>1184</v>
      </c>
      <c r="J498" t="s">
        <v>48</v>
      </c>
      <c r="K498" t="s">
        <v>2218</v>
      </c>
      <c r="L498" t="s">
        <v>49</v>
      </c>
      <c r="M498" t="s">
        <v>16</v>
      </c>
      <c r="N498" t="s">
        <v>2242</v>
      </c>
    </row>
    <row r="499" spans="1:14" hidden="1" x14ac:dyDescent="0.35">
      <c r="A499" t="s">
        <v>1185</v>
      </c>
      <c r="B499" t="s">
        <v>12</v>
      </c>
      <c r="C499">
        <v>3</v>
      </c>
      <c r="D499">
        <v>4</v>
      </c>
      <c r="E499" s="1">
        <v>500</v>
      </c>
      <c r="F499" s="3">
        <v>860000</v>
      </c>
      <c r="G499" s="2">
        <f t="shared" si="14"/>
        <v>1720</v>
      </c>
      <c r="H499" s="2">
        <f t="shared" si="15"/>
        <v>860000</v>
      </c>
      <c r="I499" t="s">
        <v>47</v>
      </c>
      <c r="J499" t="s">
        <v>48</v>
      </c>
      <c r="K499" t="s">
        <v>2218</v>
      </c>
      <c r="L499" t="s">
        <v>49</v>
      </c>
      <c r="M499" t="s">
        <v>16</v>
      </c>
      <c r="N499" t="s">
        <v>2242</v>
      </c>
    </row>
    <row r="500" spans="1:14" hidden="1" x14ac:dyDescent="0.35">
      <c r="A500" t="s">
        <v>1191</v>
      </c>
      <c r="B500" t="s">
        <v>12</v>
      </c>
      <c r="C500">
        <v>3</v>
      </c>
      <c r="D500">
        <v>4</v>
      </c>
      <c r="E500" s="1">
        <v>500</v>
      </c>
      <c r="F500" s="3">
        <v>860000</v>
      </c>
      <c r="G500" s="2">
        <f t="shared" si="14"/>
        <v>1720</v>
      </c>
      <c r="H500" s="2">
        <f t="shared" si="15"/>
        <v>860000</v>
      </c>
      <c r="I500" t="s">
        <v>47</v>
      </c>
      <c r="J500" t="s">
        <v>48</v>
      </c>
      <c r="K500" t="s">
        <v>2218</v>
      </c>
      <c r="L500" t="s">
        <v>49</v>
      </c>
      <c r="M500" t="s">
        <v>16</v>
      </c>
      <c r="N500" t="s">
        <v>50</v>
      </c>
    </row>
    <row r="501" spans="1:14" hidden="1" x14ac:dyDescent="0.35">
      <c r="A501" t="s">
        <v>1193</v>
      </c>
      <c r="B501" t="s">
        <v>12</v>
      </c>
      <c r="C501">
        <v>3</v>
      </c>
      <c r="D501">
        <v>3</v>
      </c>
      <c r="E501" s="1">
        <v>500</v>
      </c>
      <c r="F501" s="3">
        <v>860000</v>
      </c>
      <c r="G501" s="2">
        <f t="shared" si="14"/>
        <v>1720</v>
      </c>
      <c r="H501" s="2">
        <f t="shared" si="15"/>
        <v>860000</v>
      </c>
      <c r="I501" t="s">
        <v>47</v>
      </c>
      <c r="J501" t="s">
        <v>48</v>
      </c>
      <c r="K501" t="s">
        <v>2218</v>
      </c>
      <c r="L501" t="s">
        <v>49</v>
      </c>
      <c r="M501" t="s">
        <v>16</v>
      </c>
      <c r="N501" t="s">
        <v>50</v>
      </c>
    </row>
    <row r="502" spans="1:14" hidden="1" x14ac:dyDescent="0.35">
      <c r="A502" t="s">
        <v>1224</v>
      </c>
      <c r="B502" t="s">
        <v>12</v>
      </c>
      <c r="C502">
        <v>3</v>
      </c>
      <c r="D502">
        <v>4</v>
      </c>
      <c r="E502" s="1">
        <v>500</v>
      </c>
      <c r="F502" s="3">
        <v>860000</v>
      </c>
      <c r="G502" s="2">
        <f t="shared" si="14"/>
        <v>1720</v>
      </c>
      <c r="H502" s="2">
        <f t="shared" si="15"/>
        <v>860000</v>
      </c>
      <c r="I502" t="s">
        <v>280</v>
      </c>
      <c r="J502" t="s">
        <v>48</v>
      </c>
      <c r="K502" t="s">
        <v>2218</v>
      </c>
      <c r="L502" t="s">
        <v>49</v>
      </c>
      <c r="M502" t="s">
        <v>16</v>
      </c>
      <c r="N502" t="s">
        <v>2242</v>
      </c>
    </row>
    <row r="503" spans="1:14" hidden="1" x14ac:dyDescent="0.35">
      <c r="A503" t="s">
        <v>1226</v>
      </c>
      <c r="B503" t="s">
        <v>12</v>
      </c>
      <c r="C503">
        <v>3</v>
      </c>
      <c r="D503">
        <v>3</v>
      </c>
      <c r="E503" s="1">
        <v>500</v>
      </c>
      <c r="F503" s="3">
        <v>860000</v>
      </c>
      <c r="G503" s="2">
        <f t="shared" si="14"/>
        <v>1720</v>
      </c>
      <c r="H503" s="2">
        <f t="shared" si="15"/>
        <v>860000</v>
      </c>
      <c r="I503" t="s">
        <v>1227</v>
      </c>
      <c r="J503" t="s">
        <v>195</v>
      </c>
      <c r="K503" t="s">
        <v>2218</v>
      </c>
      <c r="L503" t="s">
        <v>196</v>
      </c>
      <c r="M503" t="s">
        <v>16</v>
      </c>
      <c r="N503" t="s">
        <v>2242</v>
      </c>
    </row>
    <row r="504" spans="1:14" hidden="1" x14ac:dyDescent="0.35">
      <c r="A504" t="s">
        <v>1312</v>
      </c>
      <c r="B504" t="s">
        <v>12</v>
      </c>
      <c r="C504">
        <v>4</v>
      </c>
      <c r="D504">
        <v>3</v>
      </c>
      <c r="E504" s="1">
        <v>500</v>
      </c>
      <c r="F504" s="3">
        <v>860000</v>
      </c>
      <c r="G504" s="2">
        <f t="shared" si="14"/>
        <v>1720</v>
      </c>
      <c r="H504" s="2">
        <f t="shared" si="15"/>
        <v>860000</v>
      </c>
      <c r="I504" t="s">
        <v>1313</v>
      </c>
      <c r="J504" t="s">
        <v>195</v>
      </c>
      <c r="K504" t="s">
        <v>2218</v>
      </c>
      <c r="L504" t="s">
        <v>196</v>
      </c>
      <c r="M504" t="s">
        <v>16</v>
      </c>
      <c r="N504" t="s">
        <v>50</v>
      </c>
    </row>
    <row r="505" spans="1:14" hidden="1" x14ac:dyDescent="0.35">
      <c r="A505" t="s">
        <v>1326</v>
      </c>
      <c r="B505" t="s">
        <v>12</v>
      </c>
      <c r="C505">
        <v>2</v>
      </c>
      <c r="D505">
        <v>3</v>
      </c>
      <c r="E505" s="1">
        <v>250</v>
      </c>
      <c r="F505" s="3">
        <v>860000</v>
      </c>
      <c r="G505" s="2">
        <f t="shared" si="14"/>
        <v>3440</v>
      </c>
      <c r="H505" s="2">
        <f t="shared" si="15"/>
        <v>860000</v>
      </c>
      <c r="I505" t="s">
        <v>47</v>
      </c>
      <c r="J505" t="s">
        <v>48</v>
      </c>
      <c r="K505" t="s">
        <v>2218</v>
      </c>
      <c r="L505" t="s">
        <v>49</v>
      </c>
      <c r="M505" t="s">
        <v>16</v>
      </c>
      <c r="N505" t="s">
        <v>50</v>
      </c>
    </row>
    <row r="506" spans="1:14" hidden="1" x14ac:dyDescent="0.35">
      <c r="A506" t="s">
        <v>1417</v>
      </c>
      <c r="B506" t="s">
        <v>12</v>
      </c>
      <c r="C506">
        <v>4</v>
      </c>
      <c r="D506">
        <v>4</v>
      </c>
      <c r="E506" s="1">
        <v>500</v>
      </c>
      <c r="F506" s="3">
        <v>860000</v>
      </c>
      <c r="G506" s="2">
        <f t="shared" si="14"/>
        <v>1720</v>
      </c>
      <c r="H506" s="2">
        <f t="shared" si="15"/>
        <v>860000</v>
      </c>
      <c r="I506" t="s">
        <v>161</v>
      </c>
      <c r="J506" t="s">
        <v>48</v>
      </c>
      <c r="K506" t="s">
        <v>2218</v>
      </c>
      <c r="L506" t="s">
        <v>49</v>
      </c>
      <c r="M506" t="s">
        <v>16</v>
      </c>
      <c r="N506" t="s">
        <v>2242</v>
      </c>
    </row>
    <row r="507" spans="1:14" hidden="1" x14ac:dyDescent="0.35">
      <c r="A507" t="s">
        <v>1418</v>
      </c>
      <c r="B507" t="s">
        <v>12</v>
      </c>
      <c r="C507">
        <v>4</v>
      </c>
      <c r="D507">
        <v>4</v>
      </c>
      <c r="E507" s="1">
        <v>500</v>
      </c>
      <c r="F507" s="3">
        <v>860000</v>
      </c>
      <c r="G507" s="2">
        <f t="shared" si="14"/>
        <v>1720</v>
      </c>
      <c r="H507" s="2">
        <f t="shared" si="15"/>
        <v>860000</v>
      </c>
      <c r="I507" t="s">
        <v>1419</v>
      </c>
      <c r="J507" t="s">
        <v>48</v>
      </c>
      <c r="K507" t="s">
        <v>2218</v>
      </c>
      <c r="L507" t="s">
        <v>49</v>
      </c>
      <c r="M507" t="s">
        <v>16</v>
      </c>
      <c r="N507" t="s">
        <v>50</v>
      </c>
    </row>
    <row r="508" spans="1:14" hidden="1" x14ac:dyDescent="0.35">
      <c r="A508" t="s">
        <v>1422</v>
      </c>
      <c r="B508" t="s">
        <v>12</v>
      </c>
      <c r="C508">
        <v>2</v>
      </c>
      <c r="D508">
        <v>4</v>
      </c>
      <c r="E508" s="1">
        <v>500</v>
      </c>
      <c r="F508" s="3">
        <v>860000</v>
      </c>
      <c r="G508" s="2">
        <f t="shared" si="14"/>
        <v>1720</v>
      </c>
      <c r="H508" s="2">
        <f t="shared" si="15"/>
        <v>860000</v>
      </c>
      <c r="I508" t="s">
        <v>161</v>
      </c>
      <c r="J508" t="s">
        <v>48</v>
      </c>
      <c r="K508" t="s">
        <v>2218</v>
      </c>
      <c r="L508" t="s">
        <v>49</v>
      </c>
      <c r="M508" t="s">
        <v>16</v>
      </c>
      <c r="N508" t="s">
        <v>50</v>
      </c>
    </row>
    <row r="509" spans="1:14" hidden="1" x14ac:dyDescent="0.35">
      <c r="A509" t="s">
        <v>1451</v>
      </c>
      <c r="B509" t="s">
        <v>12</v>
      </c>
      <c r="C509">
        <v>3</v>
      </c>
      <c r="D509">
        <v>3</v>
      </c>
      <c r="E509" s="1">
        <v>250</v>
      </c>
      <c r="F509" s="3">
        <v>860000</v>
      </c>
      <c r="G509" s="2">
        <f t="shared" si="14"/>
        <v>3440</v>
      </c>
      <c r="H509" s="2">
        <f t="shared" si="15"/>
        <v>860000</v>
      </c>
      <c r="I509" t="s">
        <v>47</v>
      </c>
      <c r="J509" t="s">
        <v>48</v>
      </c>
      <c r="K509" t="s">
        <v>2218</v>
      </c>
      <c r="L509" t="s">
        <v>49</v>
      </c>
      <c r="M509" t="s">
        <v>16</v>
      </c>
      <c r="N509" t="s">
        <v>2242</v>
      </c>
    </row>
    <row r="510" spans="1:14" hidden="1" x14ac:dyDescent="0.35">
      <c r="A510" t="s">
        <v>1454</v>
      </c>
      <c r="B510" t="s">
        <v>12</v>
      </c>
      <c r="C510">
        <v>3</v>
      </c>
      <c r="D510">
        <v>4</v>
      </c>
      <c r="E510" s="1">
        <v>500</v>
      </c>
      <c r="F510" s="3">
        <v>860000</v>
      </c>
      <c r="G510" s="2">
        <f t="shared" si="14"/>
        <v>1720</v>
      </c>
      <c r="H510" s="2">
        <f t="shared" si="15"/>
        <v>860000</v>
      </c>
      <c r="I510" t="s">
        <v>47</v>
      </c>
      <c r="J510" t="s">
        <v>48</v>
      </c>
      <c r="K510" t="s">
        <v>2218</v>
      </c>
      <c r="L510" t="s">
        <v>49</v>
      </c>
      <c r="M510" t="s">
        <v>16</v>
      </c>
      <c r="N510" t="s">
        <v>2242</v>
      </c>
    </row>
    <row r="511" spans="1:14" hidden="1" x14ac:dyDescent="0.35">
      <c r="A511" t="s">
        <v>1455</v>
      </c>
      <c r="B511" t="s">
        <v>12</v>
      </c>
      <c r="C511">
        <v>4</v>
      </c>
      <c r="D511">
        <v>4</v>
      </c>
      <c r="E511" s="1">
        <v>500</v>
      </c>
      <c r="F511" s="3">
        <v>860000</v>
      </c>
      <c r="G511" s="2">
        <f t="shared" si="14"/>
        <v>1720</v>
      </c>
      <c r="H511" s="2">
        <f t="shared" si="15"/>
        <v>860000</v>
      </c>
      <c r="I511" t="s">
        <v>877</v>
      </c>
      <c r="J511" t="s">
        <v>48</v>
      </c>
      <c r="K511" t="s">
        <v>2218</v>
      </c>
      <c r="L511" t="s">
        <v>49</v>
      </c>
      <c r="M511" t="s">
        <v>16</v>
      </c>
      <c r="N511" t="s">
        <v>2242</v>
      </c>
    </row>
    <row r="512" spans="1:14" hidden="1" x14ac:dyDescent="0.35">
      <c r="A512" t="s">
        <v>1456</v>
      </c>
      <c r="B512" t="s">
        <v>12</v>
      </c>
      <c r="C512">
        <v>3</v>
      </c>
      <c r="D512">
        <v>5</v>
      </c>
      <c r="E512" s="1">
        <v>500</v>
      </c>
      <c r="F512" s="3">
        <v>860000</v>
      </c>
      <c r="G512" s="2">
        <f t="shared" si="14"/>
        <v>1720</v>
      </c>
      <c r="H512" s="2">
        <f t="shared" si="15"/>
        <v>860000</v>
      </c>
      <c r="I512" t="s">
        <v>161</v>
      </c>
      <c r="J512" t="s">
        <v>48</v>
      </c>
      <c r="K512" t="s">
        <v>2218</v>
      </c>
      <c r="L512" t="s">
        <v>49</v>
      </c>
      <c r="M512" t="s">
        <v>16</v>
      </c>
      <c r="N512" t="s">
        <v>50</v>
      </c>
    </row>
    <row r="513" spans="1:14" hidden="1" x14ac:dyDescent="0.35">
      <c r="A513" t="s">
        <v>1457</v>
      </c>
      <c r="B513" t="s">
        <v>12</v>
      </c>
      <c r="C513">
        <v>4</v>
      </c>
      <c r="D513">
        <v>4</v>
      </c>
      <c r="E513" s="1">
        <v>500</v>
      </c>
      <c r="F513" s="3">
        <v>860000</v>
      </c>
      <c r="G513" s="2">
        <f t="shared" si="14"/>
        <v>1720</v>
      </c>
      <c r="H513" s="2">
        <f t="shared" si="15"/>
        <v>860000</v>
      </c>
      <c r="I513" t="s">
        <v>161</v>
      </c>
      <c r="J513" t="s">
        <v>48</v>
      </c>
      <c r="K513" t="s">
        <v>2218</v>
      </c>
      <c r="L513" t="s">
        <v>49</v>
      </c>
      <c r="M513" t="s">
        <v>16</v>
      </c>
      <c r="N513" t="s">
        <v>50</v>
      </c>
    </row>
    <row r="514" spans="1:14" hidden="1" x14ac:dyDescent="0.35">
      <c r="A514" t="s">
        <v>1458</v>
      </c>
      <c r="B514" t="s">
        <v>12</v>
      </c>
      <c r="C514">
        <v>3</v>
      </c>
      <c r="D514">
        <v>4</v>
      </c>
      <c r="E514" s="1">
        <v>500</v>
      </c>
      <c r="F514" s="3">
        <v>860000</v>
      </c>
      <c r="G514" s="2">
        <f t="shared" si="14"/>
        <v>1720</v>
      </c>
      <c r="H514" s="2">
        <f t="shared" si="15"/>
        <v>860000</v>
      </c>
      <c r="I514" t="s">
        <v>280</v>
      </c>
      <c r="J514" t="s">
        <v>48</v>
      </c>
      <c r="K514" t="s">
        <v>2218</v>
      </c>
      <c r="L514" t="s">
        <v>49</v>
      </c>
      <c r="M514" t="s">
        <v>16</v>
      </c>
      <c r="N514" t="s">
        <v>50</v>
      </c>
    </row>
    <row r="515" spans="1:14" hidden="1" x14ac:dyDescent="0.35">
      <c r="A515" t="s">
        <v>1459</v>
      </c>
      <c r="B515" t="s">
        <v>12</v>
      </c>
      <c r="C515">
        <v>4</v>
      </c>
      <c r="D515">
        <v>4</v>
      </c>
      <c r="E515" s="1">
        <v>500</v>
      </c>
      <c r="F515" s="3">
        <v>860000</v>
      </c>
      <c r="G515" s="2">
        <f t="shared" si="14"/>
        <v>1720</v>
      </c>
      <c r="H515" s="2">
        <f t="shared" si="15"/>
        <v>860000</v>
      </c>
      <c r="I515" t="s">
        <v>877</v>
      </c>
      <c r="J515" t="s">
        <v>48</v>
      </c>
      <c r="K515" t="s">
        <v>2218</v>
      </c>
      <c r="L515" t="s">
        <v>49</v>
      </c>
      <c r="M515" t="s">
        <v>16</v>
      </c>
      <c r="N515" t="s">
        <v>50</v>
      </c>
    </row>
    <row r="516" spans="1:14" hidden="1" x14ac:dyDescent="0.35">
      <c r="A516" t="s">
        <v>1460</v>
      </c>
      <c r="B516" t="s">
        <v>12</v>
      </c>
      <c r="C516">
        <v>4</v>
      </c>
      <c r="D516">
        <v>4</v>
      </c>
      <c r="E516" s="1">
        <v>500</v>
      </c>
      <c r="F516" s="3">
        <v>860000</v>
      </c>
      <c r="G516" s="2">
        <f t="shared" si="14"/>
        <v>1720</v>
      </c>
      <c r="H516" s="2">
        <f t="shared" si="15"/>
        <v>860000</v>
      </c>
      <c r="I516" t="s">
        <v>280</v>
      </c>
      <c r="J516" t="s">
        <v>48</v>
      </c>
      <c r="K516" t="s">
        <v>2218</v>
      </c>
      <c r="L516" t="s">
        <v>49</v>
      </c>
      <c r="M516" t="s">
        <v>16</v>
      </c>
      <c r="N516" t="s">
        <v>50</v>
      </c>
    </row>
    <row r="517" spans="1:14" hidden="1" x14ac:dyDescent="0.35">
      <c r="A517" t="s">
        <v>1461</v>
      </c>
      <c r="B517" t="s">
        <v>12</v>
      </c>
      <c r="C517">
        <v>4</v>
      </c>
      <c r="D517">
        <v>4</v>
      </c>
      <c r="E517" s="1">
        <v>500</v>
      </c>
      <c r="F517" s="3">
        <v>860000</v>
      </c>
      <c r="G517" s="2">
        <f t="shared" ref="G517:G580" si="16">IF(F517&lt;50000,F517,F517/E517)</f>
        <v>1720</v>
      </c>
      <c r="H517" s="2">
        <f t="shared" ref="H517:H580" si="17">IF(F517&lt;50000,E517*F517,F517)</f>
        <v>860000</v>
      </c>
      <c r="I517" t="s">
        <v>161</v>
      </c>
      <c r="J517" t="s">
        <v>48</v>
      </c>
      <c r="K517" t="s">
        <v>2218</v>
      </c>
      <c r="L517" t="s">
        <v>49</v>
      </c>
      <c r="M517" t="s">
        <v>16</v>
      </c>
      <c r="N517" t="s">
        <v>50</v>
      </c>
    </row>
    <row r="518" spans="1:14" hidden="1" x14ac:dyDescent="0.35">
      <c r="A518" t="s">
        <v>476</v>
      </c>
      <c r="B518" t="s">
        <v>12</v>
      </c>
      <c r="C518">
        <v>3</v>
      </c>
      <c r="D518">
        <v>3</v>
      </c>
      <c r="E518" s="1">
        <v>500</v>
      </c>
      <c r="F518" s="3">
        <v>860000</v>
      </c>
      <c r="G518" s="2">
        <f t="shared" si="16"/>
        <v>1720</v>
      </c>
      <c r="H518" s="2">
        <f t="shared" si="17"/>
        <v>860000</v>
      </c>
      <c r="I518" t="s">
        <v>477</v>
      </c>
      <c r="J518" t="s">
        <v>195</v>
      </c>
      <c r="K518" t="s">
        <v>2218</v>
      </c>
      <c r="L518" t="s">
        <v>196</v>
      </c>
      <c r="M518" t="s">
        <v>16</v>
      </c>
      <c r="N518" t="s">
        <v>50</v>
      </c>
    </row>
    <row r="519" spans="1:14" hidden="1" x14ac:dyDescent="0.35">
      <c r="A519" t="s">
        <v>1504</v>
      </c>
      <c r="B519" t="s">
        <v>12</v>
      </c>
      <c r="C519">
        <v>3</v>
      </c>
      <c r="D519">
        <v>4</v>
      </c>
      <c r="E519" s="1">
        <v>500</v>
      </c>
      <c r="F519" s="3">
        <v>860000</v>
      </c>
      <c r="G519" s="2">
        <f t="shared" si="16"/>
        <v>1720</v>
      </c>
      <c r="H519" s="2">
        <f t="shared" si="17"/>
        <v>860000</v>
      </c>
      <c r="I519" t="s">
        <v>47</v>
      </c>
      <c r="J519" t="s">
        <v>48</v>
      </c>
      <c r="K519" t="s">
        <v>2218</v>
      </c>
      <c r="L519" t="s">
        <v>49</v>
      </c>
      <c r="M519" t="s">
        <v>16</v>
      </c>
      <c r="N519" t="s">
        <v>50</v>
      </c>
    </row>
    <row r="520" spans="1:14" hidden="1" x14ac:dyDescent="0.35">
      <c r="A520" t="s">
        <v>1509</v>
      </c>
      <c r="B520" t="s">
        <v>12</v>
      </c>
      <c r="C520">
        <v>3</v>
      </c>
      <c r="D520">
        <v>3</v>
      </c>
      <c r="E520" s="1">
        <v>250</v>
      </c>
      <c r="F520" s="3">
        <v>860000</v>
      </c>
      <c r="G520" s="2">
        <f t="shared" si="16"/>
        <v>3440</v>
      </c>
      <c r="H520" s="2">
        <f t="shared" si="17"/>
        <v>860000</v>
      </c>
      <c r="I520" t="s">
        <v>47</v>
      </c>
      <c r="J520" t="s">
        <v>48</v>
      </c>
      <c r="K520" t="s">
        <v>2218</v>
      </c>
      <c r="L520" t="s">
        <v>49</v>
      </c>
      <c r="M520" t="s">
        <v>16</v>
      </c>
      <c r="N520" t="s">
        <v>50</v>
      </c>
    </row>
    <row r="521" spans="1:14" hidden="1" x14ac:dyDescent="0.35">
      <c r="A521" t="s">
        <v>1510</v>
      </c>
      <c r="B521" t="s">
        <v>12</v>
      </c>
      <c r="C521">
        <v>3</v>
      </c>
      <c r="D521">
        <v>3</v>
      </c>
      <c r="E521" s="1">
        <v>500</v>
      </c>
      <c r="F521" s="3">
        <v>860000</v>
      </c>
      <c r="G521" s="2">
        <f t="shared" si="16"/>
        <v>1720</v>
      </c>
      <c r="H521" s="2">
        <f t="shared" si="17"/>
        <v>860000</v>
      </c>
      <c r="I521" t="s">
        <v>161</v>
      </c>
      <c r="J521" t="s">
        <v>48</v>
      </c>
      <c r="K521" t="s">
        <v>2218</v>
      </c>
      <c r="L521" t="s">
        <v>49</v>
      </c>
      <c r="M521" t="s">
        <v>16</v>
      </c>
      <c r="N521" t="s">
        <v>50</v>
      </c>
    </row>
    <row r="522" spans="1:14" hidden="1" x14ac:dyDescent="0.35">
      <c r="A522" t="s">
        <v>1521</v>
      </c>
      <c r="B522" t="s">
        <v>12</v>
      </c>
      <c r="C522">
        <v>3</v>
      </c>
      <c r="D522">
        <v>3</v>
      </c>
      <c r="E522" s="1">
        <v>500</v>
      </c>
      <c r="F522" s="3">
        <v>860000</v>
      </c>
      <c r="G522" s="2">
        <f t="shared" si="16"/>
        <v>1720</v>
      </c>
      <c r="H522" s="2">
        <f t="shared" si="17"/>
        <v>860000</v>
      </c>
      <c r="I522" t="s">
        <v>477</v>
      </c>
      <c r="J522" t="s">
        <v>195</v>
      </c>
      <c r="K522" t="s">
        <v>2218</v>
      </c>
      <c r="L522" t="s">
        <v>196</v>
      </c>
      <c r="M522" t="s">
        <v>16</v>
      </c>
      <c r="N522" t="s">
        <v>50</v>
      </c>
    </row>
    <row r="523" spans="1:14" hidden="1" x14ac:dyDescent="0.35">
      <c r="A523" t="s">
        <v>1926</v>
      </c>
      <c r="B523" t="s">
        <v>12</v>
      </c>
      <c r="C523">
        <v>4</v>
      </c>
      <c r="D523">
        <v>4</v>
      </c>
      <c r="E523" s="1">
        <v>500</v>
      </c>
      <c r="F523" s="3">
        <v>860000</v>
      </c>
      <c r="G523" s="2">
        <f t="shared" si="16"/>
        <v>1720</v>
      </c>
      <c r="H523" s="2">
        <f t="shared" si="17"/>
        <v>860000</v>
      </c>
      <c r="I523" t="s">
        <v>280</v>
      </c>
      <c r="J523" t="s">
        <v>48</v>
      </c>
      <c r="K523" t="s">
        <v>2218</v>
      </c>
      <c r="L523" t="s">
        <v>49</v>
      </c>
      <c r="M523" t="s">
        <v>16</v>
      </c>
      <c r="N523" t="s">
        <v>50</v>
      </c>
    </row>
    <row r="524" spans="1:14" hidden="1" x14ac:dyDescent="0.35">
      <c r="A524" t="s">
        <v>1940</v>
      </c>
      <c r="B524" t="s">
        <v>12</v>
      </c>
      <c r="C524">
        <v>3</v>
      </c>
      <c r="D524">
        <v>3</v>
      </c>
      <c r="E524" s="1">
        <v>500</v>
      </c>
      <c r="F524" s="3">
        <v>860000</v>
      </c>
      <c r="G524" s="2">
        <f t="shared" si="16"/>
        <v>1720</v>
      </c>
      <c r="H524" s="2">
        <f t="shared" si="17"/>
        <v>860000</v>
      </c>
      <c r="I524" t="s">
        <v>47</v>
      </c>
      <c r="J524" t="s">
        <v>48</v>
      </c>
      <c r="K524" t="s">
        <v>2218</v>
      </c>
      <c r="L524" t="s">
        <v>49</v>
      </c>
      <c r="M524" t="s">
        <v>16</v>
      </c>
      <c r="N524" t="s">
        <v>50</v>
      </c>
    </row>
    <row r="525" spans="1:14" hidden="1" x14ac:dyDescent="0.35">
      <c r="A525" t="s">
        <v>2107</v>
      </c>
      <c r="B525" t="s">
        <v>12</v>
      </c>
      <c r="C525">
        <v>3</v>
      </c>
      <c r="D525">
        <v>4</v>
      </c>
      <c r="E525" s="1">
        <v>500</v>
      </c>
      <c r="F525" s="3">
        <v>860000</v>
      </c>
      <c r="G525" s="2">
        <f t="shared" si="16"/>
        <v>1720</v>
      </c>
      <c r="H525" s="2">
        <f t="shared" si="17"/>
        <v>860000</v>
      </c>
      <c r="I525" t="s">
        <v>934</v>
      </c>
      <c r="J525" t="s">
        <v>48</v>
      </c>
      <c r="K525" t="s">
        <v>2218</v>
      </c>
      <c r="L525" t="s">
        <v>49</v>
      </c>
      <c r="M525" t="s">
        <v>16</v>
      </c>
      <c r="N525" t="s">
        <v>50</v>
      </c>
    </row>
    <row r="526" spans="1:14" hidden="1" x14ac:dyDescent="0.35">
      <c r="A526" t="s">
        <v>2108</v>
      </c>
      <c r="B526" t="s">
        <v>12</v>
      </c>
      <c r="C526">
        <v>3</v>
      </c>
      <c r="D526">
        <v>3</v>
      </c>
      <c r="E526" s="1">
        <v>500</v>
      </c>
      <c r="F526" s="3">
        <v>860000</v>
      </c>
      <c r="G526" s="2">
        <f t="shared" si="16"/>
        <v>1720</v>
      </c>
      <c r="H526" s="2">
        <f t="shared" si="17"/>
        <v>860000</v>
      </c>
      <c r="I526" t="s">
        <v>2109</v>
      </c>
      <c r="J526" t="s">
        <v>48</v>
      </c>
      <c r="K526" t="s">
        <v>2218</v>
      </c>
      <c r="L526" t="s">
        <v>49</v>
      </c>
      <c r="M526" t="s">
        <v>16</v>
      </c>
      <c r="N526" t="s">
        <v>50</v>
      </c>
    </row>
    <row r="527" spans="1:14" hidden="1" x14ac:dyDescent="0.35">
      <c r="A527" t="s">
        <v>1031</v>
      </c>
      <c r="B527" t="s">
        <v>66</v>
      </c>
      <c r="C527">
        <v>2</v>
      </c>
      <c r="D527">
        <v>2</v>
      </c>
      <c r="E527" s="1">
        <v>188</v>
      </c>
      <c r="F527" s="3">
        <v>872485</v>
      </c>
      <c r="G527" s="2">
        <f t="shared" si="16"/>
        <v>4640.8776595744685</v>
      </c>
      <c r="H527" s="2">
        <f t="shared" si="17"/>
        <v>872485</v>
      </c>
      <c r="I527" t="s">
        <v>213</v>
      </c>
      <c r="J527" t="s">
        <v>169</v>
      </c>
      <c r="K527" t="s">
        <v>2217</v>
      </c>
      <c r="L527" t="s">
        <v>170</v>
      </c>
      <c r="M527" t="s">
        <v>16</v>
      </c>
      <c r="N527" t="s">
        <v>624</v>
      </c>
    </row>
    <row r="528" spans="1:14" hidden="1" x14ac:dyDescent="0.35">
      <c r="A528" t="s">
        <v>143</v>
      </c>
      <c r="B528" t="s">
        <v>66</v>
      </c>
      <c r="C528">
        <v>3</v>
      </c>
      <c r="D528">
        <v>3</v>
      </c>
      <c r="E528" s="1">
        <v>125</v>
      </c>
      <c r="F528" s="3">
        <v>880000</v>
      </c>
      <c r="G528" s="2">
        <f t="shared" si="16"/>
        <v>7040</v>
      </c>
      <c r="H528" s="2">
        <f t="shared" si="17"/>
        <v>880000</v>
      </c>
      <c r="I528" t="s">
        <v>144</v>
      </c>
      <c r="J528" t="s">
        <v>145</v>
      </c>
      <c r="K528" t="s">
        <v>2216</v>
      </c>
      <c r="L528" t="s">
        <v>146</v>
      </c>
      <c r="M528" t="s">
        <v>16</v>
      </c>
      <c r="N528" t="s">
        <v>147</v>
      </c>
    </row>
    <row r="529" spans="1:14" x14ac:dyDescent="0.35">
      <c r="A529" t="s">
        <v>968</v>
      </c>
      <c r="B529" t="s">
        <v>18</v>
      </c>
      <c r="C529">
        <v>4</v>
      </c>
      <c r="D529">
        <v>3</v>
      </c>
      <c r="E529" s="1">
        <v>260</v>
      </c>
      <c r="F529" s="3">
        <v>880000</v>
      </c>
      <c r="G529" s="2">
        <f t="shared" si="16"/>
        <v>3384.6153846153848</v>
      </c>
      <c r="H529" s="2">
        <f t="shared" si="17"/>
        <v>880000</v>
      </c>
      <c r="I529" t="s">
        <v>969</v>
      </c>
      <c r="J529" t="s">
        <v>970</v>
      </c>
      <c r="K529" t="s">
        <v>2215</v>
      </c>
      <c r="L529" t="s">
        <v>971</v>
      </c>
      <c r="M529" t="s">
        <v>16</v>
      </c>
      <c r="N529" t="s">
        <v>50</v>
      </c>
    </row>
    <row r="530" spans="1:14" hidden="1" x14ac:dyDescent="0.35">
      <c r="A530" t="s">
        <v>1349</v>
      </c>
      <c r="B530" t="s">
        <v>66</v>
      </c>
      <c r="C530">
        <v>3</v>
      </c>
      <c r="D530">
        <v>3</v>
      </c>
      <c r="E530" s="1">
        <v>478</v>
      </c>
      <c r="F530" s="3">
        <v>880000</v>
      </c>
      <c r="G530" s="2">
        <f t="shared" si="16"/>
        <v>1841.0041841004183</v>
      </c>
      <c r="H530" s="2">
        <f t="shared" si="17"/>
        <v>880000</v>
      </c>
      <c r="I530" t="s">
        <v>1350</v>
      </c>
      <c r="J530" t="s">
        <v>164</v>
      </c>
      <c r="K530" t="s">
        <v>2218</v>
      </c>
      <c r="L530" t="s">
        <v>165</v>
      </c>
      <c r="M530" t="s">
        <v>16</v>
      </c>
      <c r="N530" t="s">
        <v>2242</v>
      </c>
    </row>
    <row r="531" spans="1:14" hidden="1" x14ac:dyDescent="0.35">
      <c r="A531" t="s">
        <v>2059</v>
      </c>
      <c r="B531" t="s">
        <v>1033</v>
      </c>
      <c r="C531">
        <v>0</v>
      </c>
      <c r="D531">
        <v>0</v>
      </c>
      <c r="E531" s="1">
        <v>355</v>
      </c>
      <c r="F531" s="3">
        <v>880000</v>
      </c>
      <c r="G531" s="2">
        <f t="shared" si="16"/>
        <v>2478.8732394366198</v>
      </c>
      <c r="H531" s="2">
        <f t="shared" si="17"/>
        <v>880000</v>
      </c>
      <c r="I531" t="s">
        <v>1281</v>
      </c>
      <c r="J531" t="s">
        <v>58</v>
      </c>
      <c r="K531" t="s">
        <v>2216</v>
      </c>
      <c r="L531" t="s">
        <v>59</v>
      </c>
      <c r="M531" t="s">
        <v>16</v>
      </c>
      <c r="N531" t="s">
        <v>1282</v>
      </c>
    </row>
    <row r="532" spans="1:14" hidden="1" x14ac:dyDescent="0.35">
      <c r="A532" t="s">
        <v>1864</v>
      </c>
      <c r="B532" t="s">
        <v>66</v>
      </c>
      <c r="C532">
        <v>3</v>
      </c>
      <c r="D532">
        <v>3</v>
      </c>
      <c r="E532" s="1">
        <v>117</v>
      </c>
      <c r="F532" s="3">
        <v>890000</v>
      </c>
      <c r="G532" s="2">
        <f t="shared" si="16"/>
        <v>7606.8376068376065</v>
      </c>
      <c r="H532" s="2">
        <f t="shared" si="17"/>
        <v>890000</v>
      </c>
      <c r="I532" t="s">
        <v>1865</v>
      </c>
      <c r="J532" t="s">
        <v>125</v>
      </c>
      <c r="K532" t="s">
        <v>2217</v>
      </c>
      <c r="L532" t="s">
        <v>126</v>
      </c>
      <c r="M532" t="s">
        <v>16</v>
      </c>
      <c r="N532" t="s">
        <v>1866</v>
      </c>
    </row>
    <row r="533" spans="1:14" hidden="1" x14ac:dyDescent="0.35">
      <c r="A533" t="s">
        <v>212</v>
      </c>
      <c r="B533" t="s">
        <v>66</v>
      </c>
      <c r="C533">
        <v>3</v>
      </c>
      <c r="D533">
        <v>3</v>
      </c>
      <c r="E533" s="1">
        <v>146</v>
      </c>
      <c r="F533" s="3">
        <v>900000</v>
      </c>
      <c r="G533" s="2">
        <f t="shared" si="16"/>
        <v>6164.3835616438355</v>
      </c>
      <c r="H533" s="2">
        <f t="shared" si="17"/>
        <v>900000</v>
      </c>
      <c r="I533" t="s">
        <v>213</v>
      </c>
      <c r="J533" t="s">
        <v>169</v>
      </c>
      <c r="K533" t="s">
        <v>2217</v>
      </c>
      <c r="L533" t="s">
        <v>170</v>
      </c>
      <c r="M533" t="s">
        <v>16</v>
      </c>
      <c r="N533" t="s">
        <v>2242</v>
      </c>
    </row>
    <row r="534" spans="1:14" hidden="1" x14ac:dyDescent="0.35">
      <c r="A534" t="s">
        <v>368</v>
      </c>
      <c r="B534" t="s">
        <v>66</v>
      </c>
      <c r="C534">
        <v>4</v>
      </c>
      <c r="D534">
        <v>4</v>
      </c>
      <c r="E534" s="1">
        <v>478</v>
      </c>
      <c r="F534" s="3">
        <v>900000</v>
      </c>
      <c r="G534" s="2">
        <f t="shared" si="16"/>
        <v>1882.8451882845188</v>
      </c>
      <c r="H534" s="2">
        <f t="shared" si="17"/>
        <v>900000</v>
      </c>
      <c r="I534" t="s">
        <v>369</v>
      </c>
      <c r="J534" t="s">
        <v>164</v>
      </c>
      <c r="K534" t="s">
        <v>2218</v>
      </c>
      <c r="L534" t="s">
        <v>165</v>
      </c>
      <c r="M534" t="s">
        <v>16</v>
      </c>
      <c r="N534" t="s">
        <v>2242</v>
      </c>
    </row>
    <row r="535" spans="1:14" hidden="1" x14ac:dyDescent="0.35">
      <c r="A535" t="s">
        <v>455</v>
      </c>
      <c r="B535" t="s">
        <v>12</v>
      </c>
      <c r="C535">
        <v>4</v>
      </c>
      <c r="D535">
        <v>5</v>
      </c>
      <c r="E535" s="1">
        <v>199</v>
      </c>
      <c r="F535" s="3">
        <v>900000</v>
      </c>
      <c r="G535" s="2">
        <f t="shared" si="16"/>
        <v>4522.6130653266327</v>
      </c>
      <c r="H535" s="2">
        <f t="shared" si="17"/>
        <v>900000</v>
      </c>
      <c r="I535" t="s">
        <v>456</v>
      </c>
      <c r="J535" t="s">
        <v>405</v>
      </c>
      <c r="K535" t="s">
        <v>2217</v>
      </c>
      <c r="L535" t="s">
        <v>406</v>
      </c>
      <c r="M535" t="s">
        <v>16</v>
      </c>
      <c r="N535" t="s">
        <v>407</v>
      </c>
    </row>
    <row r="536" spans="1:14" hidden="1" x14ac:dyDescent="0.35">
      <c r="A536" t="s">
        <v>656</v>
      </c>
      <c r="B536" t="s">
        <v>66</v>
      </c>
      <c r="C536">
        <v>4</v>
      </c>
      <c r="D536">
        <v>4</v>
      </c>
      <c r="E536" s="1">
        <v>258</v>
      </c>
      <c r="F536" s="3">
        <v>900000</v>
      </c>
      <c r="G536" s="2">
        <f t="shared" si="16"/>
        <v>3488.3720930232557</v>
      </c>
      <c r="H536" s="2">
        <f t="shared" si="17"/>
        <v>900000</v>
      </c>
      <c r="I536" t="s">
        <v>657</v>
      </c>
      <c r="J536" t="s">
        <v>154</v>
      </c>
      <c r="K536" t="s">
        <v>2218</v>
      </c>
      <c r="L536" t="s">
        <v>155</v>
      </c>
      <c r="M536" t="s">
        <v>16</v>
      </c>
      <c r="N536" t="s">
        <v>2242</v>
      </c>
    </row>
    <row r="537" spans="1:14" hidden="1" x14ac:dyDescent="0.35">
      <c r="A537" t="s">
        <v>859</v>
      </c>
      <c r="B537" t="s">
        <v>12</v>
      </c>
      <c r="C537">
        <v>3</v>
      </c>
      <c r="D537">
        <v>4</v>
      </c>
      <c r="E537" s="1">
        <v>360</v>
      </c>
      <c r="F537" s="3">
        <v>900000</v>
      </c>
      <c r="G537" s="2">
        <f t="shared" si="16"/>
        <v>2500</v>
      </c>
      <c r="H537" s="2">
        <f t="shared" si="17"/>
        <v>900000</v>
      </c>
      <c r="I537" t="s">
        <v>860</v>
      </c>
      <c r="J537" t="s">
        <v>382</v>
      </c>
      <c r="K537" t="s">
        <v>2217</v>
      </c>
      <c r="L537" t="s">
        <v>383</v>
      </c>
      <c r="M537" t="s">
        <v>16</v>
      </c>
      <c r="N537" t="s">
        <v>415</v>
      </c>
    </row>
    <row r="538" spans="1:14" x14ac:dyDescent="0.35">
      <c r="A538" t="s">
        <v>961</v>
      </c>
      <c r="B538" t="s">
        <v>18</v>
      </c>
      <c r="C538">
        <v>6</v>
      </c>
      <c r="D538">
        <v>7</v>
      </c>
      <c r="E538" s="1">
        <v>250</v>
      </c>
      <c r="F538" s="3">
        <v>900000</v>
      </c>
      <c r="G538" s="2">
        <f t="shared" si="16"/>
        <v>3600</v>
      </c>
      <c r="H538" s="2">
        <f t="shared" si="17"/>
        <v>900000</v>
      </c>
      <c r="I538" t="s">
        <v>962</v>
      </c>
      <c r="J538" t="s">
        <v>14</v>
      </c>
      <c r="K538" t="s">
        <v>2215</v>
      </c>
      <c r="L538" t="s">
        <v>15</v>
      </c>
      <c r="M538" t="s">
        <v>16</v>
      </c>
      <c r="N538" t="s">
        <v>2242</v>
      </c>
    </row>
    <row r="539" spans="1:14" hidden="1" x14ac:dyDescent="0.35">
      <c r="A539" t="s">
        <v>1157</v>
      </c>
      <c r="B539" t="s">
        <v>66</v>
      </c>
      <c r="C539">
        <v>3</v>
      </c>
      <c r="D539">
        <v>3</v>
      </c>
      <c r="E539" s="1">
        <v>180</v>
      </c>
      <c r="F539" s="3">
        <v>900000</v>
      </c>
      <c r="G539" s="2">
        <f t="shared" si="16"/>
        <v>5000</v>
      </c>
      <c r="H539" s="2">
        <f t="shared" si="17"/>
        <v>900000</v>
      </c>
      <c r="I539" t="s">
        <v>1158</v>
      </c>
      <c r="J539" t="s">
        <v>264</v>
      </c>
      <c r="K539" t="s">
        <v>2217</v>
      </c>
      <c r="L539" t="s">
        <v>265</v>
      </c>
      <c r="M539" t="s">
        <v>16</v>
      </c>
      <c r="N539" t="s">
        <v>624</v>
      </c>
    </row>
    <row r="540" spans="1:14" hidden="1" x14ac:dyDescent="0.35">
      <c r="A540" t="s">
        <v>1219</v>
      </c>
      <c r="B540" t="s">
        <v>12</v>
      </c>
      <c r="C540">
        <v>4</v>
      </c>
      <c r="D540">
        <v>5</v>
      </c>
      <c r="E540" s="1">
        <v>300</v>
      </c>
      <c r="F540" s="3">
        <v>900000</v>
      </c>
      <c r="G540" s="2">
        <f t="shared" si="16"/>
        <v>3000</v>
      </c>
      <c r="H540" s="2">
        <f t="shared" si="17"/>
        <v>900000</v>
      </c>
      <c r="I540" t="s">
        <v>1220</v>
      </c>
      <c r="J540" t="s">
        <v>405</v>
      </c>
      <c r="K540" t="s">
        <v>2217</v>
      </c>
      <c r="L540" t="s">
        <v>406</v>
      </c>
      <c r="M540" t="s">
        <v>16</v>
      </c>
      <c r="N540" t="s">
        <v>407</v>
      </c>
    </row>
    <row r="541" spans="1:14" hidden="1" x14ac:dyDescent="0.35">
      <c r="A541" t="s">
        <v>1302</v>
      </c>
      <c r="B541" t="s">
        <v>1033</v>
      </c>
      <c r="C541">
        <v>1</v>
      </c>
      <c r="D541">
        <v>0</v>
      </c>
      <c r="E541" s="1">
        <v>957</v>
      </c>
      <c r="F541" s="3">
        <v>900000</v>
      </c>
      <c r="G541" s="2">
        <f t="shared" si="16"/>
        <v>940.4388714733542</v>
      </c>
      <c r="H541" s="2">
        <f t="shared" si="17"/>
        <v>900000</v>
      </c>
      <c r="I541" t="s">
        <v>1303</v>
      </c>
      <c r="J541" t="s">
        <v>695</v>
      </c>
      <c r="K541" t="s">
        <v>2218</v>
      </c>
      <c r="L541" t="s">
        <v>696</v>
      </c>
      <c r="M541" t="s">
        <v>16</v>
      </c>
      <c r="N541" t="s">
        <v>2242</v>
      </c>
    </row>
    <row r="542" spans="1:14" hidden="1" x14ac:dyDescent="0.35">
      <c r="A542" t="s">
        <v>1330</v>
      </c>
      <c r="B542" t="s">
        <v>12</v>
      </c>
      <c r="C542">
        <v>6</v>
      </c>
      <c r="D542">
        <v>5</v>
      </c>
      <c r="E542" s="1">
        <v>199</v>
      </c>
      <c r="F542" s="3">
        <v>900000</v>
      </c>
      <c r="G542" s="2">
        <f t="shared" si="16"/>
        <v>4522.6130653266327</v>
      </c>
      <c r="H542" s="2">
        <f t="shared" si="17"/>
        <v>900000</v>
      </c>
      <c r="I542" t="s">
        <v>799</v>
      </c>
      <c r="J542" t="s">
        <v>405</v>
      </c>
      <c r="K542" t="s">
        <v>2217</v>
      </c>
      <c r="L542" t="s">
        <v>406</v>
      </c>
      <c r="M542" t="s">
        <v>16</v>
      </c>
      <c r="N542" t="s">
        <v>407</v>
      </c>
    </row>
    <row r="543" spans="1:14" x14ac:dyDescent="0.35">
      <c r="A543" t="s">
        <v>1410</v>
      </c>
      <c r="B543" t="s">
        <v>18</v>
      </c>
      <c r="C543">
        <v>3</v>
      </c>
      <c r="D543">
        <v>3</v>
      </c>
      <c r="E543" s="1">
        <v>143</v>
      </c>
      <c r="F543" s="3">
        <v>900000</v>
      </c>
      <c r="G543" s="2">
        <f t="shared" si="16"/>
        <v>6293.7062937062938</v>
      </c>
      <c r="H543" s="2">
        <f t="shared" si="17"/>
        <v>900000</v>
      </c>
      <c r="I543" t="s">
        <v>1411</v>
      </c>
      <c r="J543" t="s">
        <v>1412</v>
      </c>
      <c r="K543" t="s">
        <v>2218</v>
      </c>
      <c r="L543" t="s">
        <v>1413</v>
      </c>
      <c r="M543" t="s">
        <v>16</v>
      </c>
      <c r="N543" t="s">
        <v>948</v>
      </c>
    </row>
    <row r="544" spans="1:14" hidden="1" x14ac:dyDescent="0.35">
      <c r="A544" t="s">
        <v>1514</v>
      </c>
      <c r="B544" t="s">
        <v>12</v>
      </c>
      <c r="C544">
        <v>2</v>
      </c>
      <c r="D544">
        <v>2</v>
      </c>
      <c r="E544" s="1">
        <v>312</v>
      </c>
      <c r="F544" s="3">
        <v>900000</v>
      </c>
      <c r="G544" s="2">
        <f t="shared" si="16"/>
        <v>2884.6153846153848</v>
      </c>
      <c r="H544" s="2">
        <f t="shared" si="17"/>
        <v>900000</v>
      </c>
      <c r="I544" t="s">
        <v>1293</v>
      </c>
      <c r="J544" t="s">
        <v>169</v>
      </c>
      <c r="K544" t="s">
        <v>2217</v>
      </c>
      <c r="L544" t="s">
        <v>170</v>
      </c>
      <c r="M544" t="s">
        <v>16</v>
      </c>
      <c r="N544" t="s">
        <v>624</v>
      </c>
    </row>
    <row r="545" spans="1:14" hidden="1" x14ac:dyDescent="0.35">
      <c r="A545" t="s">
        <v>1517</v>
      </c>
      <c r="B545" t="s">
        <v>12</v>
      </c>
      <c r="C545">
        <v>2</v>
      </c>
      <c r="D545">
        <v>2</v>
      </c>
      <c r="E545" s="1">
        <v>312</v>
      </c>
      <c r="F545" s="3">
        <v>900000</v>
      </c>
      <c r="G545" s="2">
        <f t="shared" si="16"/>
        <v>2884.6153846153848</v>
      </c>
      <c r="H545" s="2">
        <f t="shared" si="17"/>
        <v>900000</v>
      </c>
      <c r="I545" t="s">
        <v>1293</v>
      </c>
      <c r="J545" t="s">
        <v>169</v>
      </c>
      <c r="K545" t="s">
        <v>2217</v>
      </c>
      <c r="L545" t="s">
        <v>170</v>
      </c>
      <c r="M545" t="s">
        <v>16</v>
      </c>
      <c r="N545" t="s">
        <v>624</v>
      </c>
    </row>
    <row r="546" spans="1:14" hidden="1" x14ac:dyDescent="0.35">
      <c r="A546" t="s">
        <v>1561</v>
      </c>
      <c r="B546" t="s">
        <v>66</v>
      </c>
      <c r="C546">
        <v>3</v>
      </c>
      <c r="D546">
        <v>3</v>
      </c>
      <c r="E546" s="1">
        <v>478</v>
      </c>
      <c r="F546" s="3">
        <v>900000</v>
      </c>
      <c r="G546" s="2">
        <f t="shared" si="16"/>
        <v>1882.8451882845188</v>
      </c>
      <c r="H546" s="2">
        <f t="shared" si="17"/>
        <v>900000</v>
      </c>
      <c r="I546" t="s">
        <v>1562</v>
      </c>
      <c r="J546" t="s">
        <v>164</v>
      </c>
      <c r="K546" t="s">
        <v>2218</v>
      </c>
      <c r="L546" t="s">
        <v>165</v>
      </c>
      <c r="M546" t="s">
        <v>16</v>
      </c>
      <c r="N546" t="s">
        <v>2242</v>
      </c>
    </row>
    <row r="547" spans="1:14" hidden="1" x14ac:dyDescent="0.35">
      <c r="A547" t="s">
        <v>1589</v>
      </c>
      <c r="B547" t="s">
        <v>66</v>
      </c>
      <c r="C547">
        <v>4</v>
      </c>
      <c r="D547">
        <v>3</v>
      </c>
      <c r="E547" s="1">
        <v>120</v>
      </c>
      <c r="F547" s="3">
        <v>900000</v>
      </c>
      <c r="G547" s="2">
        <f t="shared" si="16"/>
        <v>7500</v>
      </c>
      <c r="H547" s="2">
        <f t="shared" si="17"/>
        <v>900000</v>
      </c>
      <c r="I547" t="s">
        <v>1590</v>
      </c>
      <c r="J547" t="s">
        <v>443</v>
      </c>
      <c r="K547" t="s">
        <v>2217</v>
      </c>
      <c r="L547" t="s">
        <v>444</v>
      </c>
      <c r="M547" t="s">
        <v>16</v>
      </c>
      <c r="N547" t="s">
        <v>1591</v>
      </c>
    </row>
    <row r="548" spans="1:14" hidden="1" x14ac:dyDescent="0.35">
      <c r="A548" t="s">
        <v>1609</v>
      </c>
      <c r="B548" t="s">
        <v>12</v>
      </c>
      <c r="C548">
        <v>6</v>
      </c>
      <c r="D548">
        <v>4</v>
      </c>
      <c r="E548" s="1">
        <v>199</v>
      </c>
      <c r="F548" s="3">
        <v>900000</v>
      </c>
      <c r="G548" s="2">
        <f t="shared" si="16"/>
        <v>4522.6130653266327</v>
      </c>
      <c r="H548" s="2">
        <f t="shared" si="17"/>
        <v>900000</v>
      </c>
      <c r="I548" t="s">
        <v>1160</v>
      </c>
      <c r="J548" t="s">
        <v>405</v>
      </c>
      <c r="K548" t="s">
        <v>2217</v>
      </c>
      <c r="L548" t="s">
        <v>406</v>
      </c>
      <c r="M548" t="s">
        <v>16</v>
      </c>
      <c r="N548" t="s">
        <v>407</v>
      </c>
    </row>
    <row r="549" spans="1:14" hidden="1" x14ac:dyDescent="0.35">
      <c r="A549" t="s">
        <v>1662</v>
      </c>
      <c r="B549" t="s">
        <v>12</v>
      </c>
      <c r="C549">
        <v>6</v>
      </c>
      <c r="D549">
        <v>4</v>
      </c>
      <c r="E549" s="1">
        <v>199</v>
      </c>
      <c r="F549" s="3">
        <v>900000</v>
      </c>
      <c r="G549" s="2">
        <f t="shared" si="16"/>
        <v>4522.6130653266327</v>
      </c>
      <c r="H549" s="2">
        <f t="shared" si="17"/>
        <v>900000</v>
      </c>
      <c r="I549" t="s">
        <v>1663</v>
      </c>
      <c r="J549" t="s">
        <v>405</v>
      </c>
      <c r="K549" t="s">
        <v>2217</v>
      </c>
      <c r="L549" t="s">
        <v>406</v>
      </c>
      <c r="M549" t="s">
        <v>16</v>
      </c>
      <c r="N549" t="s">
        <v>2242</v>
      </c>
    </row>
    <row r="550" spans="1:14" hidden="1" x14ac:dyDescent="0.35">
      <c r="A550" t="s">
        <v>1669</v>
      </c>
      <c r="B550" t="s">
        <v>12</v>
      </c>
      <c r="C550">
        <v>4</v>
      </c>
      <c r="D550">
        <v>4</v>
      </c>
      <c r="E550" s="1">
        <v>199</v>
      </c>
      <c r="F550" s="3">
        <v>900000</v>
      </c>
      <c r="G550" s="2">
        <f t="shared" si="16"/>
        <v>4522.6130653266327</v>
      </c>
      <c r="H550" s="2">
        <f t="shared" si="17"/>
        <v>900000</v>
      </c>
      <c r="I550" t="s">
        <v>1670</v>
      </c>
      <c r="J550" t="s">
        <v>405</v>
      </c>
      <c r="K550" t="s">
        <v>2217</v>
      </c>
      <c r="L550" t="s">
        <v>406</v>
      </c>
      <c r="M550" t="s">
        <v>16</v>
      </c>
      <c r="N550" t="s">
        <v>407</v>
      </c>
    </row>
    <row r="551" spans="1:14" hidden="1" x14ac:dyDescent="0.35">
      <c r="A551" t="s">
        <v>1671</v>
      </c>
      <c r="B551" t="s">
        <v>12</v>
      </c>
      <c r="C551">
        <v>4</v>
      </c>
      <c r="D551">
        <v>3</v>
      </c>
      <c r="E551" s="1">
        <v>750</v>
      </c>
      <c r="F551" s="3">
        <v>900000</v>
      </c>
      <c r="G551" s="2">
        <f t="shared" si="16"/>
        <v>1200</v>
      </c>
      <c r="H551" s="2">
        <f t="shared" si="17"/>
        <v>900000</v>
      </c>
      <c r="I551" t="s">
        <v>857</v>
      </c>
      <c r="J551" t="s">
        <v>154</v>
      </c>
      <c r="K551" t="s">
        <v>2218</v>
      </c>
      <c r="L551" t="s">
        <v>155</v>
      </c>
      <c r="M551" t="s">
        <v>16</v>
      </c>
      <c r="N551" t="s">
        <v>2242</v>
      </c>
    </row>
    <row r="552" spans="1:14" hidden="1" x14ac:dyDescent="0.35">
      <c r="A552" t="s">
        <v>1775</v>
      </c>
      <c r="B552" t="s">
        <v>12</v>
      </c>
      <c r="C552">
        <v>5</v>
      </c>
      <c r="D552">
        <v>4</v>
      </c>
      <c r="E552" s="1">
        <v>146</v>
      </c>
      <c r="F552" s="3">
        <v>900000</v>
      </c>
      <c r="G552" s="2">
        <f t="shared" si="16"/>
        <v>6164.3835616438355</v>
      </c>
      <c r="H552" s="2">
        <f t="shared" si="17"/>
        <v>900000</v>
      </c>
      <c r="I552" t="s">
        <v>410</v>
      </c>
      <c r="J552" t="s">
        <v>169</v>
      </c>
      <c r="K552" t="s">
        <v>2217</v>
      </c>
      <c r="L552" t="s">
        <v>170</v>
      </c>
      <c r="M552" t="s">
        <v>16</v>
      </c>
      <c r="N552" t="s">
        <v>624</v>
      </c>
    </row>
    <row r="553" spans="1:14" hidden="1" x14ac:dyDescent="0.35">
      <c r="A553" t="s">
        <v>1779</v>
      </c>
      <c r="B553" t="s">
        <v>12</v>
      </c>
      <c r="C553">
        <v>4</v>
      </c>
      <c r="D553">
        <v>4</v>
      </c>
      <c r="E553" s="1">
        <v>212</v>
      </c>
      <c r="F553" s="3">
        <v>900000</v>
      </c>
      <c r="G553" s="2">
        <f t="shared" si="16"/>
        <v>4245.2830188679245</v>
      </c>
      <c r="H553" s="2">
        <f t="shared" si="17"/>
        <v>900000</v>
      </c>
      <c r="I553" t="s">
        <v>1220</v>
      </c>
      <c r="J553" t="s">
        <v>405</v>
      </c>
      <c r="K553" t="s">
        <v>2217</v>
      </c>
      <c r="L553" t="s">
        <v>406</v>
      </c>
      <c r="M553" t="s">
        <v>16</v>
      </c>
      <c r="N553" t="s">
        <v>407</v>
      </c>
    </row>
    <row r="554" spans="1:14" hidden="1" x14ac:dyDescent="0.35">
      <c r="A554" t="s">
        <v>1780</v>
      </c>
      <c r="B554" t="s">
        <v>12</v>
      </c>
      <c r="C554">
        <v>4</v>
      </c>
      <c r="D554">
        <v>4</v>
      </c>
      <c r="E554" s="1">
        <v>199</v>
      </c>
      <c r="F554" s="3">
        <v>900000</v>
      </c>
      <c r="G554" s="2">
        <f t="shared" si="16"/>
        <v>4522.6130653266327</v>
      </c>
      <c r="H554" s="2">
        <f t="shared" si="17"/>
        <v>900000</v>
      </c>
      <c r="I554" t="s">
        <v>1781</v>
      </c>
      <c r="J554" t="s">
        <v>405</v>
      </c>
      <c r="K554" t="s">
        <v>2217</v>
      </c>
      <c r="L554" t="s">
        <v>406</v>
      </c>
      <c r="M554" t="s">
        <v>16</v>
      </c>
      <c r="N554" t="s">
        <v>407</v>
      </c>
    </row>
    <row r="555" spans="1:14" hidden="1" x14ac:dyDescent="0.35">
      <c r="A555" t="s">
        <v>1841</v>
      </c>
      <c r="B555" t="s">
        <v>1033</v>
      </c>
      <c r="C555">
        <v>0</v>
      </c>
      <c r="D555">
        <v>0</v>
      </c>
      <c r="E555" s="1">
        <v>375</v>
      </c>
      <c r="F555" s="3">
        <v>2400</v>
      </c>
      <c r="G555" s="2">
        <f t="shared" si="16"/>
        <v>2400</v>
      </c>
      <c r="H555" s="2">
        <f t="shared" si="17"/>
        <v>900000</v>
      </c>
      <c r="I555" t="s">
        <v>1842</v>
      </c>
      <c r="J555" t="s">
        <v>97</v>
      </c>
      <c r="K555" t="s">
        <v>2217</v>
      </c>
      <c r="L555" t="s">
        <v>98</v>
      </c>
      <c r="M555" t="s">
        <v>16</v>
      </c>
      <c r="N555" t="s">
        <v>499</v>
      </c>
    </row>
    <row r="556" spans="1:14" hidden="1" x14ac:dyDescent="0.35">
      <c r="A556" t="s">
        <v>1888</v>
      </c>
      <c r="B556" t="s">
        <v>66</v>
      </c>
      <c r="C556">
        <v>3</v>
      </c>
      <c r="D556">
        <v>3</v>
      </c>
      <c r="E556" s="1">
        <v>180</v>
      </c>
      <c r="F556" s="3">
        <v>900000</v>
      </c>
      <c r="G556" s="2">
        <f t="shared" si="16"/>
        <v>5000</v>
      </c>
      <c r="H556" s="2">
        <f t="shared" si="17"/>
        <v>900000</v>
      </c>
      <c r="I556" t="s">
        <v>309</v>
      </c>
      <c r="J556" t="s">
        <v>264</v>
      </c>
      <c r="K556" t="s">
        <v>2217</v>
      </c>
      <c r="L556" t="s">
        <v>265</v>
      </c>
      <c r="M556" t="s">
        <v>16</v>
      </c>
      <c r="N556" t="s">
        <v>624</v>
      </c>
    </row>
    <row r="557" spans="1:14" hidden="1" x14ac:dyDescent="0.35">
      <c r="A557" t="s">
        <v>1974</v>
      </c>
      <c r="B557" t="s">
        <v>12</v>
      </c>
      <c r="C557">
        <v>5</v>
      </c>
      <c r="D557">
        <v>4</v>
      </c>
      <c r="E557" s="1">
        <v>143</v>
      </c>
      <c r="F557" s="3">
        <v>900000</v>
      </c>
      <c r="G557" s="2">
        <f t="shared" si="16"/>
        <v>6293.7062937062938</v>
      </c>
      <c r="H557" s="2">
        <f t="shared" si="17"/>
        <v>900000</v>
      </c>
      <c r="I557" t="s">
        <v>1051</v>
      </c>
      <c r="J557" t="s">
        <v>169</v>
      </c>
      <c r="K557" t="s">
        <v>2217</v>
      </c>
      <c r="L557" t="s">
        <v>170</v>
      </c>
      <c r="M557" t="s">
        <v>16</v>
      </c>
      <c r="N557" t="s">
        <v>624</v>
      </c>
    </row>
    <row r="558" spans="1:14" hidden="1" x14ac:dyDescent="0.35">
      <c r="A558" t="s">
        <v>2047</v>
      </c>
      <c r="B558" t="s">
        <v>66</v>
      </c>
      <c r="C558">
        <v>4</v>
      </c>
      <c r="D558">
        <v>3</v>
      </c>
      <c r="E558" s="1">
        <v>91</v>
      </c>
      <c r="F558" s="3">
        <v>900000</v>
      </c>
      <c r="G558" s="2">
        <f t="shared" si="16"/>
        <v>9890.1098901098903</v>
      </c>
      <c r="H558" s="2">
        <f t="shared" si="17"/>
        <v>900000</v>
      </c>
      <c r="I558" t="s">
        <v>2048</v>
      </c>
      <c r="J558" t="s">
        <v>145</v>
      </c>
      <c r="K558" t="s">
        <v>2216</v>
      </c>
      <c r="L558" t="s">
        <v>146</v>
      </c>
      <c r="M558" t="s">
        <v>16</v>
      </c>
      <c r="N558" t="s">
        <v>2242</v>
      </c>
    </row>
    <row r="559" spans="1:14" hidden="1" x14ac:dyDescent="0.35">
      <c r="A559" t="s">
        <v>2067</v>
      </c>
      <c r="B559" t="s">
        <v>66</v>
      </c>
      <c r="C559">
        <v>3</v>
      </c>
      <c r="D559">
        <v>2</v>
      </c>
      <c r="E559" s="1">
        <v>85</v>
      </c>
      <c r="F559" s="3">
        <v>900000</v>
      </c>
      <c r="G559" s="2">
        <f t="shared" si="16"/>
        <v>10588.235294117647</v>
      </c>
      <c r="H559" s="2">
        <f t="shared" si="17"/>
        <v>900000</v>
      </c>
      <c r="I559" t="s">
        <v>2068</v>
      </c>
      <c r="J559" t="s">
        <v>145</v>
      </c>
      <c r="K559" t="s">
        <v>2216</v>
      </c>
      <c r="L559" t="s">
        <v>146</v>
      </c>
      <c r="M559" t="s">
        <v>16</v>
      </c>
      <c r="N559" t="s">
        <v>1579</v>
      </c>
    </row>
    <row r="560" spans="1:14" x14ac:dyDescent="0.35">
      <c r="A560" t="s">
        <v>2105</v>
      </c>
      <c r="B560" t="s">
        <v>18</v>
      </c>
      <c r="C560">
        <v>8</v>
      </c>
      <c r="D560">
        <v>7</v>
      </c>
      <c r="E560" s="1">
        <v>225</v>
      </c>
      <c r="F560" s="3">
        <v>900000</v>
      </c>
      <c r="G560" s="2">
        <f t="shared" si="16"/>
        <v>4000</v>
      </c>
      <c r="H560" s="2">
        <f t="shared" si="17"/>
        <v>900000</v>
      </c>
      <c r="I560" t="s">
        <v>2106</v>
      </c>
      <c r="J560" t="s">
        <v>1803</v>
      </c>
      <c r="K560" t="s">
        <v>2218</v>
      </c>
      <c r="L560" t="s">
        <v>1804</v>
      </c>
      <c r="M560" t="s">
        <v>16</v>
      </c>
      <c r="N560" t="s">
        <v>1579</v>
      </c>
    </row>
    <row r="561" spans="1:14" hidden="1" x14ac:dyDescent="0.35">
      <c r="A561" t="s">
        <v>2121</v>
      </c>
      <c r="B561" t="s">
        <v>66</v>
      </c>
      <c r="C561">
        <v>2</v>
      </c>
      <c r="D561">
        <v>3</v>
      </c>
      <c r="E561" s="1">
        <v>122</v>
      </c>
      <c r="F561" s="3">
        <v>900000</v>
      </c>
      <c r="G561" s="2">
        <f t="shared" si="16"/>
        <v>7377.0491803278692</v>
      </c>
      <c r="H561" s="2">
        <f t="shared" si="17"/>
        <v>900000</v>
      </c>
      <c r="I561" t="s">
        <v>2122</v>
      </c>
      <c r="J561" t="s">
        <v>255</v>
      </c>
      <c r="K561" t="s">
        <v>2216</v>
      </c>
      <c r="L561" t="s">
        <v>256</v>
      </c>
      <c r="M561" t="s">
        <v>16</v>
      </c>
      <c r="N561" t="s">
        <v>2242</v>
      </c>
    </row>
    <row r="562" spans="1:14" hidden="1" x14ac:dyDescent="0.35">
      <c r="A562" t="s">
        <v>2166</v>
      </c>
      <c r="B562" t="s">
        <v>12</v>
      </c>
      <c r="C562">
        <v>4</v>
      </c>
      <c r="D562">
        <v>4</v>
      </c>
      <c r="E562" s="1">
        <v>172</v>
      </c>
      <c r="F562" s="3">
        <v>900000</v>
      </c>
      <c r="G562" s="2">
        <f t="shared" si="16"/>
        <v>5232.5581395348836</v>
      </c>
      <c r="H562" s="2">
        <f t="shared" si="17"/>
        <v>900000</v>
      </c>
      <c r="I562" t="s">
        <v>2167</v>
      </c>
      <c r="J562" t="s">
        <v>209</v>
      </c>
      <c r="K562" t="s">
        <v>2217</v>
      </c>
      <c r="L562" t="s">
        <v>210</v>
      </c>
      <c r="M562" t="s">
        <v>16</v>
      </c>
      <c r="N562" t="s">
        <v>624</v>
      </c>
    </row>
    <row r="563" spans="1:14" hidden="1" x14ac:dyDescent="0.35">
      <c r="A563" t="s">
        <v>2176</v>
      </c>
      <c r="B563" t="s">
        <v>12</v>
      </c>
      <c r="C563">
        <v>4</v>
      </c>
      <c r="D563">
        <v>2</v>
      </c>
      <c r="E563" s="1">
        <v>155</v>
      </c>
      <c r="F563" s="3">
        <v>900000</v>
      </c>
      <c r="G563" s="2">
        <f t="shared" si="16"/>
        <v>5806.4516129032254</v>
      </c>
      <c r="H563" s="2">
        <f t="shared" si="17"/>
        <v>900000</v>
      </c>
      <c r="I563" t="s">
        <v>1367</v>
      </c>
      <c r="J563" t="s">
        <v>405</v>
      </c>
      <c r="K563" t="s">
        <v>2217</v>
      </c>
      <c r="L563" t="s">
        <v>406</v>
      </c>
      <c r="M563" t="s">
        <v>16</v>
      </c>
      <c r="N563" t="s">
        <v>624</v>
      </c>
    </row>
    <row r="564" spans="1:14" hidden="1" x14ac:dyDescent="0.35">
      <c r="A564" t="s">
        <v>517</v>
      </c>
      <c r="B564" t="s">
        <v>66</v>
      </c>
      <c r="C564">
        <v>4</v>
      </c>
      <c r="D564">
        <v>3</v>
      </c>
      <c r="E564" s="1">
        <v>140</v>
      </c>
      <c r="F564" s="3">
        <v>905000</v>
      </c>
      <c r="G564" s="2">
        <f t="shared" si="16"/>
        <v>6464.2857142857147</v>
      </c>
      <c r="H564" s="2">
        <f t="shared" si="17"/>
        <v>905000</v>
      </c>
      <c r="I564" t="s">
        <v>518</v>
      </c>
      <c r="J564" t="s">
        <v>405</v>
      </c>
      <c r="K564" t="s">
        <v>2217</v>
      </c>
      <c r="L564" t="s">
        <v>406</v>
      </c>
      <c r="M564" t="s">
        <v>16</v>
      </c>
      <c r="N564" t="s">
        <v>407</v>
      </c>
    </row>
    <row r="565" spans="1:14" hidden="1" x14ac:dyDescent="0.35">
      <c r="A565" t="s">
        <v>554</v>
      </c>
      <c r="B565" t="s">
        <v>66</v>
      </c>
      <c r="C565">
        <v>4</v>
      </c>
      <c r="D565">
        <v>3</v>
      </c>
      <c r="E565" s="1">
        <v>140</v>
      </c>
      <c r="F565" s="3">
        <v>905000</v>
      </c>
      <c r="G565" s="2">
        <f t="shared" si="16"/>
        <v>6464.2857142857147</v>
      </c>
      <c r="H565" s="2">
        <f t="shared" si="17"/>
        <v>905000</v>
      </c>
      <c r="I565" t="s">
        <v>555</v>
      </c>
      <c r="J565" t="s">
        <v>405</v>
      </c>
      <c r="K565" t="s">
        <v>2217</v>
      </c>
      <c r="L565" t="s">
        <v>406</v>
      </c>
      <c r="M565" t="s">
        <v>16</v>
      </c>
      <c r="N565" t="s">
        <v>407</v>
      </c>
    </row>
    <row r="566" spans="1:14" hidden="1" x14ac:dyDescent="0.35">
      <c r="A566" t="s">
        <v>1689</v>
      </c>
      <c r="B566" t="s">
        <v>66</v>
      </c>
      <c r="C566">
        <v>4</v>
      </c>
      <c r="D566">
        <v>3</v>
      </c>
      <c r="E566" s="1">
        <v>159</v>
      </c>
      <c r="F566" s="3">
        <v>905000</v>
      </c>
      <c r="G566" s="2">
        <f t="shared" si="16"/>
        <v>5691.8238993710693</v>
      </c>
      <c r="H566" s="2">
        <f t="shared" si="17"/>
        <v>905000</v>
      </c>
      <c r="I566" t="s">
        <v>763</v>
      </c>
      <c r="J566" t="s">
        <v>405</v>
      </c>
      <c r="K566" t="s">
        <v>2217</v>
      </c>
      <c r="L566" t="s">
        <v>406</v>
      </c>
      <c r="M566" t="s">
        <v>16</v>
      </c>
      <c r="N566" t="s">
        <v>407</v>
      </c>
    </row>
    <row r="567" spans="1:14" hidden="1" x14ac:dyDescent="0.35">
      <c r="A567" t="s">
        <v>1790</v>
      </c>
      <c r="B567" t="s">
        <v>66</v>
      </c>
      <c r="C567">
        <v>3</v>
      </c>
      <c r="D567">
        <v>4</v>
      </c>
      <c r="E567" s="1">
        <v>159</v>
      </c>
      <c r="F567" s="3">
        <v>905000</v>
      </c>
      <c r="G567" s="2">
        <f t="shared" si="16"/>
        <v>5691.8238993710693</v>
      </c>
      <c r="H567" s="2">
        <f t="shared" si="17"/>
        <v>905000</v>
      </c>
      <c r="I567" t="s">
        <v>1681</v>
      </c>
      <c r="J567" t="s">
        <v>405</v>
      </c>
      <c r="K567" t="s">
        <v>2217</v>
      </c>
      <c r="L567" t="s">
        <v>406</v>
      </c>
      <c r="M567" t="s">
        <v>16</v>
      </c>
      <c r="N567" t="s">
        <v>407</v>
      </c>
    </row>
    <row r="568" spans="1:14" hidden="1" x14ac:dyDescent="0.35">
      <c r="A568" t="s">
        <v>788</v>
      </c>
      <c r="B568" t="s">
        <v>66</v>
      </c>
      <c r="C568">
        <v>3</v>
      </c>
      <c r="D568">
        <v>3</v>
      </c>
      <c r="E568" s="1">
        <v>126</v>
      </c>
      <c r="F568" s="3">
        <v>920000</v>
      </c>
      <c r="G568" s="2">
        <f t="shared" si="16"/>
        <v>7301.5873015873012</v>
      </c>
      <c r="H568" s="2">
        <f t="shared" si="17"/>
        <v>920000</v>
      </c>
      <c r="I568" t="s">
        <v>789</v>
      </c>
      <c r="J568" t="s">
        <v>125</v>
      </c>
      <c r="K568" t="s">
        <v>2217</v>
      </c>
      <c r="L568" t="s">
        <v>126</v>
      </c>
      <c r="M568" t="s">
        <v>16</v>
      </c>
      <c r="N568" t="s">
        <v>2242</v>
      </c>
    </row>
    <row r="569" spans="1:14" hidden="1" x14ac:dyDescent="0.35">
      <c r="A569" t="s">
        <v>1392</v>
      </c>
      <c r="B569" t="s">
        <v>12</v>
      </c>
      <c r="C569">
        <v>3</v>
      </c>
      <c r="D569">
        <v>2</v>
      </c>
      <c r="E569" s="1">
        <v>61</v>
      </c>
      <c r="F569" s="3">
        <v>920000</v>
      </c>
      <c r="G569" s="2">
        <f t="shared" si="16"/>
        <v>15081.967213114754</v>
      </c>
      <c r="H569" s="2">
        <f t="shared" si="17"/>
        <v>920000</v>
      </c>
      <c r="I569" t="s">
        <v>1393</v>
      </c>
      <c r="J569" t="s">
        <v>871</v>
      </c>
      <c r="K569" t="s">
        <v>2217</v>
      </c>
      <c r="L569" t="s">
        <v>872</v>
      </c>
      <c r="M569" t="s">
        <v>16</v>
      </c>
      <c r="N569" t="s">
        <v>2242</v>
      </c>
    </row>
    <row r="570" spans="1:14" hidden="1" x14ac:dyDescent="0.35">
      <c r="A570" t="s">
        <v>1801</v>
      </c>
      <c r="B570" t="s">
        <v>12</v>
      </c>
      <c r="C570">
        <v>5</v>
      </c>
      <c r="D570">
        <v>5</v>
      </c>
      <c r="E570" s="1">
        <v>250</v>
      </c>
      <c r="F570" s="3">
        <v>920000</v>
      </c>
      <c r="G570" s="2">
        <f t="shared" si="16"/>
        <v>3680</v>
      </c>
      <c r="H570" s="2">
        <f t="shared" si="17"/>
        <v>920000</v>
      </c>
      <c r="I570" t="s">
        <v>1802</v>
      </c>
      <c r="J570" t="s">
        <v>1803</v>
      </c>
      <c r="K570" t="s">
        <v>2218</v>
      </c>
      <c r="L570" t="s">
        <v>1804</v>
      </c>
      <c r="M570" t="s">
        <v>16</v>
      </c>
      <c r="N570" t="s">
        <v>624</v>
      </c>
    </row>
    <row r="571" spans="1:14" hidden="1" x14ac:dyDescent="0.35">
      <c r="A571" t="s">
        <v>1983</v>
      </c>
      <c r="B571" t="s">
        <v>66</v>
      </c>
      <c r="C571">
        <v>3</v>
      </c>
      <c r="D571">
        <v>3</v>
      </c>
      <c r="E571" s="1">
        <v>119</v>
      </c>
      <c r="F571" s="3">
        <v>920000</v>
      </c>
      <c r="G571" s="2">
        <f t="shared" si="16"/>
        <v>7731.09243697479</v>
      </c>
      <c r="H571" s="2">
        <f t="shared" si="17"/>
        <v>920000</v>
      </c>
      <c r="I571" t="s">
        <v>1984</v>
      </c>
      <c r="J571" t="s">
        <v>125</v>
      </c>
      <c r="K571" t="s">
        <v>2217</v>
      </c>
      <c r="L571" t="s">
        <v>126</v>
      </c>
      <c r="M571" t="s">
        <v>16</v>
      </c>
      <c r="N571" t="s">
        <v>2242</v>
      </c>
    </row>
    <row r="572" spans="1:14" hidden="1" x14ac:dyDescent="0.35">
      <c r="A572" t="s">
        <v>804</v>
      </c>
      <c r="B572" t="s">
        <v>12</v>
      </c>
      <c r="C572">
        <v>5</v>
      </c>
      <c r="D572">
        <v>3</v>
      </c>
      <c r="E572" s="1">
        <v>123</v>
      </c>
      <c r="F572" s="3">
        <v>925000</v>
      </c>
      <c r="G572" s="2">
        <f t="shared" si="16"/>
        <v>7520.3252032520322</v>
      </c>
      <c r="H572" s="2">
        <f t="shared" si="17"/>
        <v>925000</v>
      </c>
      <c r="I572" t="s">
        <v>805</v>
      </c>
      <c r="J572" t="s">
        <v>264</v>
      </c>
      <c r="K572" t="s">
        <v>2217</v>
      </c>
      <c r="L572" t="s">
        <v>265</v>
      </c>
      <c r="M572" t="s">
        <v>16</v>
      </c>
      <c r="N572" t="s">
        <v>392</v>
      </c>
    </row>
    <row r="573" spans="1:14" hidden="1" x14ac:dyDescent="0.35">
      <c r="A573" t="s">
        <v>855</v>
      </c>
      <c r="B573" t="s">
        <v>66</v>
      </c>
      <c r="C573">
        <v>4</v>
      </c>
      <c r="D573">
        <v>5</v>
      </c>
      <c r="E573" s="1">
        <v>900</v>
      </c>
      <c r="F573" s="3">
        <v>930000</v>
      </c>
      <c r="G573" s="2">
        <f t="shared" si="16"/>
        <v>1033.3333333333333</v>
      </c>
      <c r="H573" s="2">
        <f t="shared" si="17"/>
        <v>930000</v>
      </c>
      <c r="I573" t="s">
        <v>128</v>
      </c>
      <c r="J573" t="s">
        <v>68</v>
      </c>
      <c r="K573" t="s">
        <v>2218</v>
      </c>
      <c r="L573" t="s">
        <v>69</v>
      </c>
      <c r="M573" t="s">
        <v>16</v>
      </c>
      <c r="N573" t="s">
        <v>426</v>
      </c>
    </row>
    <row r="574" spans="1:14" hidden="1" x14ac:dyDescent="0.35">
      <c r="A574" t="s">
        <v>1009</v>
      </c>
      <c r="B574" t="s">
        <v>66</v>
      </c>
      <c r="C574">
        <v>5</v>
      </c>
      <c r="D574">
        <v>5</v>
      </c>
      <c r="E574" s="1">
        <v>900</v>
      </c>
      <c r="F574" s="3">
        <v>930000</v>
      </c>
      <c r="G574" s="2">
        <f t="shared" si="16"/>
        <v>1033.3333333333333</v>
      </c>
      <c r="H574" s="2">
        <f t="shared" si="17"/>
        <v>930000</v>
      </c>
      <c r="I574" t="s">
        <v>1010</v>
      </c>
      <c r="J574" t="s">
        <v>68</v>
      </c>
      <c r="K574" t="s">
        <v>2218</v>
      </c>
      <c r="L574" t="s">
        <v>69</v>
      </c>
      <c r="M574" t="s">
        <v>16</v>
      </c>
      <c r="N574" t="s">
        <v>426</v>
      </c>
    </row>
    <row r="575" spans="1:14" hidden="1" x14ac:dyDescent="0.35">
      <c r="A575" t="s">
        <v>1127</v>
      </c>
      <c r="B575" t="s">
        <v>12</v>
      </c>
      <c r="C575">
        <v>3</v>
      </c>
      <c r="D575">
        <v>5</v>
      </c>
      <c r="E575" s="1">
        <v>168</v>
      </c>
      <c r="F575" s="3">
        <v>940000</v>
      </c>
      <c r="G575" s="2">
        <f t="shared" si="16"/>
        <v>5595.2380952380954</v>
      </c>
      <c r="H575" s="2">
        <f t="shared" si="17"/>
        <v>940000</v>
      </c>
      <c r="I575" t="s">
        <v>1128</v>
      </c>
      <c r="J575" t="s">
        <v>169</v>
      </c>
      <c r="K575" t="s">
        <v>2217</v>
      </c>
      <c r="L575" t="s">
        <v>170</v>
      </c>
      <c r="M575" t="s">
        <v>16</v>
      </c>
      <c r="N575" t="s">
        <v>624</v>
      </c>
    </row>
    <row r="576" spans="1:14" hidden="1" x14ac:dyDescent="0.35">
      <c r="A576" t="s">
        <v>1129</v>
      </c>
      <c r="B576" t="s">
        <v>12</v>
      </c>
      <c r="C576">
        <v>3</v>
      </c>
      <c r="D576">
        <v>5</v>
      </c>
      <c r="E576" s="1">
        <v>168</v>
      </c>
      <c r="F576" s="3">
        <v>940000</v>
      </c>
      <c r="G576" s="2">
        <f t="shared" si="16"/>
        <v>5595.2380952380954</v>
      </c>
      <c r="H576" s="2">
        <f t="shared" si="17"/>
        <v>940000</v>
      </c>
      <c r="I576" t="s">
        <v>1051</v>
      </c>
      <c r="J576" t="s">
        <v>169</v>
      </c>
      <c r="K576" t="s">
        <v>2217</v>
      </c>
      <c r="L576" t="s">
        <v>170</v>
      </c>
      <c r="M576" t="s">
        <v>16</v>
      </c>
      <c r="N576" t="s">
        <v>624</v>
      </c>
    </row>
    <row r="577" spans="1:14" hidden="1" x14ac:dyDescent="0.35">
      <c r="A577" t="s">
        <v>272</v>
      </c>
      <c r="B577" t="s">
        <v>12</v>
      </c>
      <c r="C577">
        <v>3</v>
      </c>
      <c r="D577">
        <v>4</v>
      </c>
      <c r="E577" s="1">
        <v>140</v>
      </c>
      <c r="F577" s="3">
        <v>949000</v>
      </c>
      <c r="G577" s="2">
        <f t="shared" si="16"/>
        <v>6778.5714285714284</v>
      </c>
      <c r="H577" s="2">
        <f t="shared" si="17"/>
        <v>949000</v>
      </c>
      <c r="I577" t="s">
        <v>273</v>
      </c>
      <c r="J577" t="s">
        <v>169</v>
      </c>
      <c r="K577" t="s">
        <v>2217</v>
      </c>
      <c r="L577" t="s">
        <v>170</v>
      </c>
      <c r="M577" t="s">
        <v>16</v>
      </c>
      <c r="N577" t="s">
        <v>274</v>
      </c>
    </row>
    <row r="578" spans="1:14" hidden="1" x14ac:dyDescent="0.35">
      <c r="A578" t="s">
        <v>201</v>
      </c>
      <c r="B578" t="s">
        <v>66</v>
      </c>
      <c r="C578">
        <v>3</v>
      </c>
      <c r="D578">
        <v>3</v>
      </c>
      <c r="E578" s="1">
        <v>113</v>
      </c>
      <c r="F578" s="3">
        <v>950000</v>
      </c>
      <c r="G578" s="2">
        <f t="shared" si="16"/>
        <v>8407.0796460176989</v>
      </c>
      <c r="H578" s="2">
        <f t="shared" si="17"/>
        <v>950000</v>
      </c>
      <c r="I578" t="s">
        <v>202</v>
      </c>
      <c r="J578" t="s">
        <v>173</v>
      </c>
      <c r="K578" t="s">
        <v>2216</v>
      </c>
      <c r="L578" t="s">
        <v>174</v>
      </c>
      <c r="M578" t="s">
        <v>16</v>
      </c>
      <c r="N578" t="s">
        <v>203</v>
      </c>
    </row>
    <row r="579" spans="1:14" hidden="1" x14ac:dyDescent="0.35">
      <c r="A579" t="s">
        <v>276</v>
      </c>
      <c r="B579" t="s">
        <v>12</v>
      </c>
      <c r="C579">
        <v>3</v>
      </c>
      <c r="D579">
        <v>3</v>
      </c>
      <c r="E579" s="1">
        <v>500</v>
      </c>
      <c r="F579" s="3">
        <v>950000</v>
      </c>
      <c r="G579" s="2">
        <f t="shared" si="16"/>
        <v>1900</v>
      </c>
      <c r="H579" s="2">
        <f t="shared" si="17"/>
        <v>950000</v>
      </c>
      <c r="I579" t="s">
        <v>122</v>
      </c>
      <c r="J579" t="s">
        <v>48</v>
      </c>
      <c r="K579" t="s">
        <v>2218</v>
      </c>
      <c r="L579" t="s">
        <v>49</v>
      </c>
      <c r="M579" t="s">
        <v>16</v>
      </c>
      <c r="N579" t="s">
        <v>50</v>
      </c>
    </row>
    <row r="580" spans="1:14" hidden="1" x14ac:dyDescent="0.35">
      <c r="A580" t="s">
        <v>416</v>
      </c>
      <c r="B580" t="s">
        <v>66</v>
      </c>
      <c r="C580">
        <v>3</v>
      </c>
      <c r="D580">
        <v>3</v>
      </c>
      <c r="E580" s="1">
        <v>126</v>
      </c>
      <c r="F580" s="3">
        <v>950000</v>
      </c>
      <c r="G580" s="2">
        <f t="shared" si="16"/>
        <v>7539.6825396825398</v>
      </c>
      <c r="H580" s="2">
        <f t="shared" si="17"/>
        <v>950000</v>
      </c>
      <c r="I580" t="s">
        <v>417</v>
      </c>
      <c r="J580" t="s">
        <v>241</v>
      </c>
      <c r="K580" t="s">
        <v>2216</v>
      </c>
      <c r="L580" t="s">
        <v>242</v>
      </c>
      <c r="M580" t="s">
        <v>16</v>
      </c>
      <c r="N580" t="s">
        <v>243</v>
      </c>
    </row>
    <row r="581" spans="1:14" hidden="1" x14ac:dyDescent="0.35">
      <c r="A581" t="s">
        <v>489</v>
      </c>
      <c r="B581" t="s">
        <v>66</v>
      </c>
      <c r="C581">
        <v>3</v>
      </c>
      <c r="D581">
        <v>3</v>
      </c>
      <c r="E581" s="1">
        <v>140</v>
      </c>
      <c r="F581" s="3">
        <v>950000</v>
      </c>
      <c r="G581" s="2">
        <f t="shared" ref="G581:G644" si="18">IF(F581&lt;50000,F581,F581/E581)</f>
        <v>6785.7142857142853</v>
      </c>
      <c r="H581" s="2">
        <f t="shared" ref="H581:H644" si="19">IF(F581&lt;50000,E581*F581,F581)</f>
        <v>950000</v>
      </c>
      <c r="I581" t="s">
        <v>490</v>
      </c>
      <c r="J581" t="s">
        <v>145</v>
      </c>
      <c r="K581" t="s">
        <v>2216</v>
      </c>
      <c r="L581" t="s">
        <v>146</v>
      </c>
      <c r="M581" t="s">
        <v>16</v>
      </c>
      <c r="N581" t="s">
        <v>491</v>
      </c>
    </row>
    <row r="582" spans="1:14" hidden="1" x14ac:dyDescent="0.35">
      <c r="A582" t="s">
        <v>545</v>
      </c>
      <c r="B582" t="s">
        <v>12</v>
      </c>
      <c r="C582">
        <v>3</v>
      </c>
      <c r="D582">
        <v>3</v>
      </c>
      <c r="E582" s="1">
        <v>250</v>
      </c>
      <c r="F582" s="3">
        <v>950000</v>
      </c>
      <c r="G582" s="2">
        <f t="shared" si="18"/>
        <v>3800</v>
      </c>
      <c r="H582" s="2">
        <f t="shared" si="19"/>
        <v>950000</v>
      </c>
      <c r="I582" t="s">
        <v>47</v>
      </c>
      <c r="J582" t="s">
        <v>48</v>
      </c>
      <c r="K582" t="s">
        <v>2218</v>
      </c>
      <c r="L582" t="s">
        <v>49</v>
      </c>
      <c r="M582" t="s">
        <v>16</v>
      </c>
      <c r="N582" t="s">
        <v>50</v>
      </c>
    </row>
    <row r="583" spans="1:14" hidden="1" x14ac:dyDescent="0.35">
      <c r="A583" t="s">
        <v>856</v>
      </c>
      <c r="B583" t="s">
        <v>12</v>
      </c>
      <c r="C583">
        <v>5</v>
      </c>
      <c r="D583">
        <v>5</v>
      </c>
      <c r="E583" s="1">
        <v>600</v>
      </c>
      <c r="F583" s="3">
        <v>950000</v>
      </c>
      <c r="G583" s="2">
        <f t="shared" si="18"/>
        <v>1583.3333333333333</v>
      </c>
      <c r="H583" s="2">
        <f t="shared" si="19"/>
        <v>950000</v>
      </c>
      <c r="I583" t="s">
        <v>857</v>
      </c>
      <c r="J583" t="s">
        <v>154</v>
      </c>
      <c r="K583" t="s">
        <v>2218</v>
      </c>
      <c r="L583" t="s">
        <v>155</v>
      </c>
      <c r="M583" t="s">
        <v>16</v>
      </c>
      <c r="N583" t="s">
        <v>2242</v>
      </c>
    </row>
    <row r="584" spans="1:14" hidden="1" x14ac:dyDescent="0.35">
      <c r="A584" t="s">
        <v>972</v>
      </c>
      <c r="B584" t="s">
        <v>12</v>
      </c>
      <c r="C584">
        <v>3</v>
      </c>
      <c r="D584">
        <v>3</v>
      </c>
      <c r="E584" s="1">
        <v>500</v>
      </c>
      <c r="F584" s="3">
        <v>950000</v>
      </c>
      <c r="G584" s="2">
        <f t="shared" si="18"/>
        <v>1900</v>
      </c>
      <c r="H584" s="2">
        <f t="shared" si="19"/>
        <v>950000</v>
      </c>
      <c r="I584" t="s">
        <v>280</v>
      </c>
      <c r="J584" t="s">
        <v>48</v>
      </c>
      <c r="K584" t="s">
        <v>2218</v>
      </c>
      <c r="L584" t="s">
        <v>49</v>
      </c>
      <c r="M584" t="s">
        <v>16</v>
      </c>
      <c r="N584" t="s">
        <v>50</v>
      </c>
    </row>
    <row r="585" spans="1:14" hidden="1" x14ac:dyDescent="0.35">
      <c r="A585" t="s">
        <v>1048</v>
      </c>
      <c r="B585" t="s">
        <v>12</v>
      </c>
      <c r="C585">
        <v>5</v>
      </c>
      <c r="D585">
        <v>3</v>
      </c>
      <c r="E585" s="1">
        <v>156</v>
      </c>
      <c r="F585" s="3">
        <v>950000</v>
      </c>
      <c r="G585" s="2">
        <f t="shared" si="18"/>
        <v>6089.7435897435898</v>
      </c>
      <c r="H585" s="2">
        <f t="shared" si="19"/>
        <v>950000</v>
      </c>
      <c r="I585" t="s">
        <v>1049</v>
      </c>
      <c r="J585" t="s">
        <v>169</v>
      </c>
      <c r="K585" t="s">
        <v>2217</v>
      </c>
      <c r="L585" t="s">
        <v>170</v>
      </c>
      <c r="M585" t="s">
        <v>16</v>
      </c>
      <c r="N585" t="s">
        <v>624</v>
      </c>
    </row>
    <row r="586" spans="1:14" hidden="1" x14ac:dyDescent="0.35">
      <c r="A586" t="s">
        <v>1062</v>
      </c>
      <c r="B586" t="s">
        <v>12</v>
      </c>
      <c r="C586">
        <v>6</v>
      </c>
      <c r="D586">
        <v>5</v>
      </c>
      <c r="E586" s="1">
        <v>211</v>
      </c>
      <c r="F586" s="3">
        <v>950000</v>
      </c>
      <c r="G586" s="2">
        <f t="shared" si="18"/>
        <v>4502.3696682464451</v>
      </c>
      <c r="H586" s="2">
        <f t="shared" si="19"/>
        <v>950000</v>
      </c>
      <c r="I586" t="s">
        <v>1063</v>
      </c>
      <c r="J586" t="s">
        <v>1064</v>
      </c>
      <c r="K586" t="s">
        <v>2218</v>
      </c>
      <c r="L586" t="s">
        <v>1065</v>
      </c>
      <c r="M586" t="s">
        <v>16</v>
      </c>
      <c r="N586" t="s">
        <v>2242</v>
      </c>
    </row>
    <row r="587" spans="1:14" x14ac:dyDescent="0.35">
      <c r="A587" t="s">
        <v>1082</v>
      </c>
      <c r="B587" t="s">
        <v>18</v>
      </c>
      <c r="C587">
        <v>4</v>
      </c>
      <c r="D587">
        <v>5</v>
      </c>
      <c r="E587" s="1">
        <v>273</v>
      </c>
      <c r="F587" s="3">
        <v>950000</v>
      </c>
      <c r="G587" s="2">
        <f t="shared" si="18"/>
        <v>3479.8534798534797</v>
      </c>
      <c r="H587" s="2">
        <f t="shared" si="19"/>
        <v>950000</v>
      </c>
      <c r="I587" t="s">
        <v>1083</v>
      </c>
      <c r="J587" t="s">
        <v>430</v>
      </c>
      <c r="K587" t="s">
        <v>2215</v>
      </c>
      <c r="L587" t="s">
        <v>431</v>
      </c>
      <c r="M587" t="s">
        <v>16</v>
      </c>
      <c r="N587" t="s">
        <v>2242</v>
      </c>
    </row>
    <row r="588" spans="1:14" hidden="1" x14ac:dyDescent="0.35">
      <c r="A588" t="s">
        <v>1084</v>
      </c>
      <c r="B588" t="s">
        <v>12</v>
      </c>
      <c r="C588">
        <v>4</v>
      </c>
      <c r="D588">
        <v>4</v>
      </c>
      <c r="E588" s="1">
        <v>146</v>
      </c>
      <c r="F588" s="3">
        <v>950000</v>
      </c>
      <c r="G588" s="2">
        <f t="shared" si="18"/>
        <v>6506.8493150684935</v>
      </c>
      <c r="H588" s="2">
        <f t="shared" si="19"/>
        <v>950000</v>
      </c>
      <c r="I588" t="s">
        <v>1051</v>
      </c>
      <c r="J588" t="s">
        <v>169</v>
      </c>
      <c r="K588" t="s">
        <v>2217</v>
      </c>
      <c r="L588" t="s">
        <v>170</v>
      </c>
      <c r="M588" t="s">
        <v>16</v>
      </c>
      <c r="N588" t="s">
        <v>624</v>
      </c>
    </row>
    <row r="589" spans="1:14" hidden="1" x14ac:dyDescent="0.35">
      <c r="A589" t="s">
        <v>1567</v>
      </c>
      <c r="B589" t="s">
        <v>66</v>
      </c>
      <c r="C589">
        <v>5</v>
      </c>
      <c r="D589">
        <v>4</v>
      </c>
      <c r="E589" s="1">
        <v>191</v>
      </c>
      <c r="F589" s="3">
        <v>950000</v>
      </c>
      <c r="G589" s="2">
        <f t="shared" si="18"/>
        <v>4973.8219895287957</v>
      </c>
      <c r="H589" s="2">
        <f t="shared" si="19"/>
        <v>950000</v>
      </c>
      <c r="I589" t="s">
        <v>1568</v>
      </c>
      <c r="J589" t="s">
        <v>35</v>
      </c>
      <c r="K589" t="s">
        <v>2217</v>
      </c>
      <c r="L589" t="s">
        <v>36</v>
      </c>
      <c r="M589" t="s">
        <v>16</v>
      </c>
      <c r="N589" t="s">
        <v>2242</v>
      </c>
    </row>
    <row r="590" spans="1:14" hidden="1" x14ac:dyDescent="0.35">
      <c r="A590" t="s">
        <v>1697</v>
      </c>
      <c r="B590" t="s">
        <v>66</v>
      </c>
      <c r="C590">
        <v>3</v>
      </c>
      <c r="D590">
        <v>4</v>
      </c>
      <c r="E590" s="1">
        <v>120</v>
      </c>
      <c r="F590" s="3">
        <v>950000</v>
      </c>
      <c r="G590" s="2">
        <f t="shared" si="18"/>
        <v>7916.666666666667</v>
      </c>
      <c r="H590" s="2">
        <f t="shared" si="19"/>
        <v>950000</v>
      </c>
      <c r="I590" t="s">
        <v>670</v>
      </c>
      <c r="J590" t="s">
        <v>145</v>
      </c>
      <c r="K590" t="s">
        <v>2216</v>
      </c>
      <c r="L590" t="s">
        <v>146</v>
      </c>
      <c r="M590" t="s">
        <v>16</v>
      </c>
      <c r="N590" t="s">
        <v>2242</v>
      </c>
    </row>
    <row r="591" spans="1:14" hidden="1" x14ac:dyDescent="0.35">
      <c r="A591" t="s">
        <v>1734</v>
      </c>
      <c r="B591" t="s">
        <v>12</v>
      </c>
      <c r="C591">
        <v>3</v>
      </c>
      <c r="D591">
        <v>3</v>
      </c>
      <c r="E591" s="1">
        <v>250</v>
      </c>
      <c r="F591" s="3">
        <v>950000</v>
      </c>
      <c r="G591" s="2">
        <f t="shared" si="18"/>
        <v>3800</v>
      </c>
      <c r="H591" s="2">
        <f t="shared" si="19"/>
        <v>950000</v>
      </c>
      <c r="I591" t="s">
        <v>1735</v>
      </c>
      <c r="J591" t="s">
        <v>48</v>
      </c>
      <c r="K591" t="s">
        <v>2218</v>
      </c>
      <c r="L591" t="s">
        <v>49</v>
      </c>
      <c r="M591" t="s">
        <v>16</v>
      </c>
      <c r="N591" t="s">
        <v>2242</v>
      </c>
    </row>
    <row r="592" spans="1:14" hidden="1" x14ac:dyDescent="0.35">
      <c r="A592" t="s">
        <v>1769</v>
      </c>
      <c r="B592" t="s">
        <v>12</v>
      </c>
      <c r="C592">
        <v>5</v>
      </c>
      <c r="D592">
        <v>4</v>
      </c>
      <c r="E592" s="1">
        <v>177</v>
      </c>
      <c r="F592" s="3">
        <v>950000</v>
      </c>
      <c r="G592" s="2">
        <f t="shared" si="18"/>
        <v>5367.2316384180795</v>
      </c>
      <c r="H592" s="2">
        <f t="shared" si="19"/>
        <v>950000</v>
      </c>
      <c r="I592" t="s">
        <v>1293</v>
      </c>
      <c r="J592" t="s">
        <v>169</v>
      </c>
      <c r="K592" t="s">
        <v>2217</v>
      </c>
      <c r="L592" t="s">
        <v>170</v>
      </c>
      <c r="M592" t="s">
        <v>16</v>
      </c>
      <c r="N592" t="s">
        <v>2242</v>
      </c>
    </row>
    <row r="593" spans="1:14" hidden="1" x14ac:dyDescent="0.35">
      <c r="A593" t="s">
        <v>1772</v>
      </c>
      <c r="B593" t="s">
        <v>12</v>
      </c>
      <c r="C593">
        <v>5</v>
      </c>
      <c r="D593">
        <v>4</v>
      </c>
      <c r="E593" s="1">
        <v>177</v>
      </c>
      <c r="F593" s="3">
        <v>950000</v>
      </c>
      <c r="G593" s="2">
        <f t="shared" si="18"/>
        <v>5367.2316384180795</v>
      </c>
      <c r="H593" s="2">
        <f t="shared" si="19"/>
        <v>950000</v>
      </c>
      <c r="I593" t="s">
        <v>1293</v>
      </c>
      <c r="J593" t="s">
        <v>169</v>
      </c>
      <c r="K593" t="s">
        <v>2217</v>
      </c>
      <c r="L593" t="s">
        <v>170</v>
      </c>
      <c r="M593" t="s">
        <v>16</v>
      </c>
      <c r="N593" t="s">
        <v>2242</v>
      </c>
    </row>
    <row r="594" spans="1:14" hidden="1" x14ac:dyDescent="0.35">
      <c r="A594" t="s">
        <v>1793</v>
      </c>
      <c r="B594" t="s">
        <v>12</v>
      </c>
      <c r="C594">
        <v>3</v>
      </c>
      <c r="D594">
        <v>3</v>
      </c>
      <c r="E594" s="1">
        <v>196</v>
      </c>
      <c r="F594" s="3">
        <v>950000</v>
      </c>
      <c r="G594" s="2">
        <f t="shared" si="18"/>
        <v>4846.9387755102043</v>
      </c>
      <c r="H594" s="2">
        <f t="shared" si="19"/>
        <v>950000</v>
      </c>
      <c r="I594" t="s">
        <v>168</v>
      </c>
      <c r="J594" t="s">
        <v>169</v>
      </c>
      <c r="K594" t="s">
        <v>2217</v>
      </c>
      <c r="L594" t="s">
        <v>170</v>
      </c>
      <c r="M594" t="s">
        <v>16</v>
      </c>
      <c r="N594" t="s">
        <v>1294</v>
      </c>
    </row>
    <row r="595" spans="1:14" hidden="1" x14ac:dyDescent="0.35">
      <c r="A595" t="s">
        <v>1869</v>
      </c>
      <c r="B595" t="s">
        <v>12</v>
      </c>
      <c r="C595">
        <v>4</v>
      </c>
      <c r="D595">
        <v>3</v>
      </c>
      <c r="E595" s="1">
        <v>199</v>
      </c>
      <c r="F595" s="3">
        <v>950000</v>
      </c>
      <c r="G595" s="2">
        <f t="shared" si="18"/>
        <v>4773.869346733668</v>
      </c>
      <c r="H595" s="2">
        <f t="shared" si="19"/>
        <v>950000</v>
      </c>
      <c r="I595" t="s">
        <v>1160</v>
      </c>
      <c r="J595" t="s">
        <v>405</v>
      </c>
      <c r="K595" t="s">
        <v>2217</v>
      </c>
      <c r="L595" t="s">
        <v>406</v>
      </c>
      <c r="M595" t="s">
        <v>16</v>
      </c>
      <c r="N595" t="s">
        <v>407</v>
      </c>
    </row>
    <row r="596" spans="1:14" hidden="1" x14ac:dyDescent="0.35">
      <c r="A596" t="s">
        <v>1954</v>
      </c>
      <c r="B596" t="s">
        <v>12</v>
      </c>
      <c r="C596">
        <v>3</v>
      </c>
      <c r="D596">
        <v>3</v>
      </c>
      <c r="E596" s="1">
        <v>500</v>
      </c>
      <c r="F596" s="3">
        <v>950000</v>
      </c>
      <c r="G596" s="2">
        <f t="shared" si="18"/>
        <v>1900</v>
      </c>
      <c r="H596" s="2">
        <f t="shared" si="19"/>
        <v>950000</v>
      </c>
      <c r="I596" t="s">
        <v>1955</v>
      </c>
      <c r="J596" t="s">
        <v>48</v>
      </c>
      <c r="K596" t="s">
        <v>2218</v>
      </c>
      <c r="L596" t="s">
        <v>49</v>
      </c>
      <c r="M596" t="s">
        <v>16</v>
      </c>
      <c r="N596" t="s">
        <v>50</v>
      </c>
    </row>
    <row r="597" spans="1:14" hidden="1" x14ac:dyDescent="0.35">
      <c r="A597" t="s">
        <v>2062</v>
      </c>
      <c r="B597" t="s">
        <v>12</v>
      </c>
      <c r="C597">
        <v>3</v>
      </c>
      <c r="D597">
        <v>3</v>
      </c>
      <c r="E597" s="1">
        <v>177</v>
      </c>
      <c r="F597" s="3">
        <v>950000</v>
      </c>
      <c r="G597" s="2">
        <f t="shared" si="18"/>
        <v>5367.2316384180795</v>
      </c>
      <c r="H597" s="2">
        <f t="shared" si="19"/>
        <v>950000</v>
      </c>
      <c r="I597" t="s">
        <v>410</v>
      </c>
      <c r="J597" t="s">
        <v>169</v>
      </c>
      <c r="K597" t="s">
        <v>2217</v>
      </c>
      <c r="L597" t="s">
        <v>170</v>
      </c>
      <c r="M597" t="s">
        <v>16</v>
      </c>
      <c r="N597" t="s">
        <v>883</v>
      </c>
    </row>
    <row r="598" spans="1:14" hidden="1" x14ac:dyDescent="0.35">
      <c r="A598" t="s">
        <v>2131</v>
      </c>
      <c r="B598" t="s">
        <v>66</v>
      </c>
      <c r="C598">
        <v>3</v>
      </c>
      <c r="D598">
        <v>2</v>
      </c>
      <c r="E598" s="1">
        <v>108</v>
      </c>
      <c r="F598" s="3">
        <v>950000</v>
      </c>
      <c r="G598" s="2">
        <f t="shared" si="18"/>
        <v>8796.2962962962956</v>
      </c>
      <c r="H598" s="2">
        <f t="shared" si="19"/>
        <v>950000</v>
      </c>
      <c r="I598" t="s">
        <v>2132</v>
      </c>
      <c r="J598" t="s">
        <v>24</v>
      </c>
      <c r="K598" t="s">
        <v>2216</v>
      </c>
      <c r="L598" t="s">
        <v>25</v>
      </c>
      <c r="M598" t="s">
        <v>16</v>
      </c>
      <c r="N598" t="s">
        <v>2242</v>
      </c>
    </row>
    <row r="599" spans="1:14" x14ac:dyDescent="0.35">
      <c r="A599" t="s">
        <v>2162</v>
      </c>
      <c r="B599" t="s">
        <v>18</v>
      </c>
      <c r="C599">
        <v>4</v>
      </c>
      <c r="D599">
        <v>5</v>
      </c>
      <c r="E599" s="1">
        <v>260</v>
      </c>
      <c r="F599" s="3">
        <v>950000</v>
      </c>
      <c r="G599" s="2">
        <f t="shared" si="18"/>
        <v>3653.8461538461538</v>
      </c>
      <c r="H599" s="2">
        <f t="shared" si="19"/>
        <v>950000</v>
      </c>
      <c r="I599" t="s">
        <v>2163</v>
      </c>
      <c r="J599" t="s">
        <v>970</v>
      </c>
      <c r="K599" t="s">
        <v>2215</v>
      </c>
      <c r="L599" t="s">
        <v>971</v>
      </c>
      <c r="M599" t="s">
        <v>16</v>
      </c>
      <c r="N599" t="s">
        <v>50</v>
      </c>
    </row>
    <row r="600" spans="1:14" hidden="1" x14ac:dyDescent="0.35">
      <c r="A600" t="s">
        <v>575</v>
      </c>
      <c r="B600" t="s">
        <v>12</v>
      </c>
      <c r="C600">
        <v>4</v>
      </c>
      <c r="D600">
        <v>3</v>
      </c>
      <c r="E600" s="1">
        <v>195</v>
      </c>
      <c r="F600" s="3">
        <v>966000</v>
      </c>
      <c r="G600" s="2">
        <f t="shared" si="18"/>
        <v>4953.8461538461543</v>
      </c>
      <c r="H600" s="2">
        <f t="shared" si="19"/>
        <v>966000</v>
      </c>
      <c r="I600" t="s">
        <v>576</v>
      </c>
      <c r="J600" t="s">
        <v>373</v>
      </c>
      <c r="K600" t="s">
        <v>2218</v>
      </c>
      <c r="L600" t="s">
        <v>374</v>
      </c>
      <c r="M600" t="s">
        <v>16</v>
      </c>
      <c r="N600" t="s">
        <v>2242</v>
      </c>
    </row>
    <row r="601" spans="1:14" hidden="1" x14ac:dyDescent="0.35">
      <c r="A601" t="s">
        <v>1314</v>
      </c>
      <c r="B601" t="s">
        <v>66</v>
      </c>
      <c r="C601">
        <v>3</v>
      </c>
      <c r="D601">
        <v>3</v>
      </c>
      <c r="E601" s="1">
        <v>120</v>
      </c>
      <c r="F601" s="3">
        <v>969000</v>
      </c>
      <c r="G601" s="2">
        <f t="shared" si="18"/>
        <v>8075</v>
      </c>
      <c r="H601" s="2">
        <f t="shared" si="19"/>
        <v>969000</v>
      </c>
      <c r="I601" t="s">
        <v>501</v>
      </c>
      <c r="J601" t="s">
        <v>494</v>
      </c>
      <c r="K601" t="s">
        <v>2217</v>
      </c>
      <c r="L601" t="s">
        <v>495</v>
      </c>
      <c r="M601" t="s">
        <v>16</v>
      </c>
      <c r="N601" t="s">
        <v>496</v>
      </c>
    </row>
    <row r="602" spans="1:14" x14ac:dyDescent="0.35">
      <c r="A602" t="s">
        <v>502</v>
      </c>
      <c r="B602" t="s">
        <v>18</v>
      </c>
      <c r="C602">
        <v>8</v>
      </c>
      <c r="D602">
        <v>5</v>
      </c>
      <c r="E602" s="1">
        <v>278</v>
      </c>
      <c r="F602" s="3">
        <v>970000</v>
      </c>
      <c r="G602" s="2">
        <f t="shared" si="18"/>
        <v>3489.2086330935253</v>
      </c>
      <c r="H602" s="2">
        <f t="shared" si="19"/>
        <v>970000</v>
      </c>
      <c r="I602" t="s">
        <v>503</v>
      </c>
      <c r="J602" t="s">
        <v>80</v>
      </c>
      <c r="K602" t="s">
        <v>2215</v>
      </c>
      <c r="L602" t="s">
        <v>81</v>
      </c>
      <c r="M602" t="s">
        <v>16</v>
      </c>
      <c r="N602" t="s">
        <v>504</v>
      </c>
    </row>
    <row r="603" spans="1:14" hidden="1" x14ac:dyDescent="0.35">
      <c r="A603" t="s">
        <v>1117</v>
      </c>
      <c r="B603" t="s">
        <v>12</v>
      </c>
      <c r="C603">
        <v>5</v>
      </c>
      <c r="D603">
        <v>3</v>
      </c>
      <c r="E603" s="1">
        <v>375</v>
      </c>
      <c r="F603" s="3">
        <v>970000</v>
      </c>
      <c r="G603" s="2">
        <f t="shared" si="18"/>
        <v>2586.6666666666665</v>
      </c>
      <c r="H603" s="2">
        <f t="shared" si="19"/>
        <v>970000</v>
      </c>
      <c r="I603" t="s">
        <v>1118</v>
      </c>
      <c r="J603" t="s">
        <v>570</v>
      </c>
      <c r="K603" t="s">
        <v>2217</v>
      </c>
      <c r="L603" t="s">
        <v>571</v>
      </c>
      <c r="M603" t="s">
        <v>16</v>
      </c>
      <c r="N603" t="s">
        <v>624</v>
      </c>
    </row>
    <row r="604" spans="1:14" hidden="1" x14ac:dyDescent="0.35">
      <c r="A604" t="s">
        <v>1988</v>
      </c>
      <c r="B604" t="s">
        <v>12</v>
      </c>
      <c r="C604">
        <v>5</v>
      </c>
      <c r="D604">
        <v>3</v>
      </c>
      <c r="E604" s="1">
        <v>375</v>
      </c>
      <c r="F604" s="3">
        <v>970000</v>
      </c>
      <c r="G604" s="2">
        <f t="shared" si="18"/>
        <v>2586.6666666666665</v>
      </c>
      <c r="H604" s="2">
        <f t="shared" si="19"/>
        <v>970000</v>
      </c>
      <c r="I604" t="s">
        <v>1118</v>
      </c>
      <c r="J604" t="s">
        <v>570</v>
      </c>
      <c r="K604" t="s">
        <v>2217</v>
      </c>
      <c r="L604" t="s">
        <v>571</v>
      </c>
      <c r="M604" t="s">
        <v>16</v>
      </c>
      <c r="N604" t="s">
        <v>624</v>
      </c>
    </row>
    <row r="605" spans="1:14" hidden="1" x14ac:dyDescent="0.35">
      <c r="A605" t="s">
        <v>362</v>
      </c>
      <c r="B605" t="s">
        <v>66</v>
      </c>
      <c r="C605">
        <v>3</v>
      </c>
      <c r="D605">
        <v>3</v>
      </c>
      <c r="E605" s="1">
        <v>161</v>
      </c>
      <c r="F605" s="3">
        <v>975000</v>
      </c>
      <c r="G605" s="2">
        <f t="shared" si="18"/>
        <v>6055.9006211180122</v>
      </c>
      <c r="H605" s="2">
        <f t="shared" si="19"/>
        <v>975000</v>
      </c>
      <c r="I605" t="s">
        <v>363</v>
      </c>
      <c r="J605" t="s">
        <v>164</v>
      </c>
      <c r="K605" t="s">
        <v>2218</v>
      </c>
      <c r="L605" t="s">
        <v>165</v>
      </c>
      <c r="M605" t="s">
        <v>16</v>
      </c>
      <c r="N605" t="s">
        <v>2242</v>
      </c>
    </row>
    <row r="606" spans="1:14" x14ac:dyDescent="0.35">
      <c r="A606" t="s">
        <v>30</v>
      </c>
      <c r="B606" t="s">
        <v>18</v>
      </c>
      <c r="C606">
        <v>6</v>
      </c>
      <c r="D606">
        <v>6</v>
      </c>
      <c r="E606" s="1">
        <v>300</v>
      </c>
      <c r="F606" s="3">
        <v>980000</v>
      </c>
      <c r="G606" s="2">
        <f t="shared" si="18"/>
        <v>3266.6666666666665</v>
      </c>
      <c r="H606" s="2">
        <f t="shared" si="19"/>
        <v>980000</v>
      </c>
      <c r="I606" t="s">
        <v>31</v>
      </c>
      <c r="J606" t="s">
        <v>14</v>
      </c>
      <c r="K606" t="s">
        <v>2215</v>
      </c>
      <c r="L606" t="s">
        <v>15</v>
      </c>
      <c r="M606" t="s">
        <v>16</v>
      </c>
      <c r="N606" t="s">
        <v>32</v>
      </c>
    </row>
    <row r="607" spans="1:14" hidden="1" x14ac:dyDescent="0.35">
      <c r="A607" t="s">
        <v>798</v>
      </c>
      <c r="B607" t="s">
        <v>12</v>
      </c>
      <c r="C607">
        <v>3</v>
      </c>
      <c r="D607">
        <v>3</v>
      </c>
      <c r="E607" s="1">
        <v>193</v>
      </c>
      <c r="F607" s="3">
        <v>980000</v>
      </c>
      <c r="G607" s="2">
        <f t="shared" si="18"/>
        <v>5077.7202072538857</v>
      </c>
      <c r="H607" s="2">
        <f t="shared" si="19"/>
        <v>980000</v>
      </c>
      <c r="I607" t="s">
        <v>799</v>
      </c>
      <c r="J607" t="s">
        <v>405</v>
      </c>
      <c r="K607" t="s">
        <v>2217</v>
      </c>
      <c r="L607" t="s">
        <v>406</v>
      </c>
      <c r="M607" t="s">
        <v>16</v>
      </c>
      <c r="N607" t="s">
        <v>407</v>
      </c>
    </row>
    <row r="608" spans="1:14" hidden="1" x14ac:dyDescent="0.35">
      <c r="A608" t="s">
        <v>916</v>
      </c>
      <c r="B608" t="s">
        <v>12</v>
      </c>
      <c r="C608">
        <v>5</v>
      </c>
      <c r="D608">
        <v>4</v>
      </c>
      <c r="E608" s="1">
        <v>800</v>
      </c>
      <c r="F608" s="3">
        <v>980000</v>
      </c>
      <c r="G608" s="2">
        <f t="shared" si="18"/>
        <v>1225</v>
      </c>
      <c r="H608" s="2">
        <f t="shared" si="19"/>
        <v>980000</v>
      </c>
      <c r="I608" t="s">
        <v>917</v>
      </c>
      <c r="J608" t="s">
        <v>73</v>
      </c>
      <c r="K608" t="s">
        <v>2218</v>
      </c>
      <c r="L608" t="s">
        <v>74</v>
      </c>
      <c r="M608" t="s">
        <v>16</v>
      </c>
      <c r="N608" t="s">
        <v>918</v>
      </c>
    </row>
    <row r="609" spans="1:14" hidden="1" x14ac:dyDescent="0.35">
      <c r="A609" t="s">
        <v>1995</v>
      </c>
      <c r="B609" t="s">
        <v>12</v>
      </c>
      <c r="C609">
        <v>5</v>
      </c>
      <c r="D609">
        <v>3</v>
      </c>
      <c r="E609" s="1">
        <v>168</v>
      </c>
      <c r="F609" s="3">
        <v>990000</v>
      </c>
      <c r="G609" s="2">
        <f t="shared" si="18"/>
        <v>5892.8571428571431</v>
      </c>
      <c r="H609" s="2">
        <f t="shared" si="19"/>
        <v>990000</v>
      </c>
      <c r="I609" t="s">
        <v>1051</v>
      </c>
      <c r="J609" t="s">
        <v>169</v>
      </c>
      <c r="K609" t="s">
        <v>2217</v>
      </c>
      <c r="L609" t="s">
        <v>170</v>
      </c>
      <c r="M609" t="s">
        <v>16</v>
      </c>
      <c r="N609" t="s">
        <v>624</v>
      </c>
    </row>
    <row r="610" spans="1:14" hidden="1" x14ac:dyDescent="0.35">
      <c r="A610" t="s">
        <v>1170</v>
      </c>
      <c r="B610" t="s">
        <v>66</v>
      </c>
      <c r="C610">
        <v>3</v>
      </c>
      <c r="D610">
        <v>3</v>
      </c>
      <c r="E610" s="1">
        <v>194</v>
      </c>
      <c r="F610" s="3">
        <v>995000</v>
      </c>
      <c r="G610" s="2">
        <f t="shared" si="18"/>
        <v>5128.8659793814431</v>
      </c>
      <c r="H610" s="2">
        <f t="shared" si="19"/>
        <v>995000</v>
      </c>
      <c r="I610" t="s">
        <v>1171</v>
      </c>
      <c r="J610" t="s">
        <v>169</v>
      </c>
      <c r="K610" t="s">
        <v>2217</v>
      </c>
      <c r="L610" t="s">
        <v>170</v>
      </c>
      <c r="M610" t="s">
        <v>16</v>
      </c>
      <c r="N610" t="s">
        <v>1172</v>
      </c>
    </row>
    <row r="611" spans="1:14" hidden="1" x14ac:dyDescent="0.35">
      <c r="A611" t="s">
        <v>492</v>
      </c>
      <c r="B611" t="s">
        <v>66</v>
      </c>
      <c r="C611">
        <v>3</v>
      </c>
      <c r="D611">
        <v>3</v>
      </c>
      <c r="E611" s="1">
        <v>132</v>
      </c>
      <c r="F611" s="3">
        <v>999000</v>
      </c>
      <c r="G611" s="2">
        <f t="shared" si="18"/>
        <v>7568.181818181818</v>
      </c>
      <c r="H611" s="2">
        <f t="shared" si="19"/>
        <v>999000</v>
      </c>
      <c r="I611" t="s">
        <v>493</v>
      </c>
      <c r="J611" t="s">
        <v>494</v>
      </c>
      <c r="K611" t="s">
        <v>2217</v>
      </c>
      <c r="L611" t="s">
        <v>495</v>
      </c>
      <c r="M611" t="s">
        <v>16</v>
      </c>
      <c r="N611" t="s">
        <v>496</v>
      </c>
    </row>
    <row r="612" spans="1:14" x14ac:dyDescent="0.35">
      <c r="A612" t="s">
        <v>82</v>
      </c>
      <c r="B612" t="s">
        <v>18</v>
      </c>
      <c r="C612">
        <v>3</v>
      </c>
      <c r="D612">
        <v>4</v>
      </c>
      <c r="E612" s="1">
        <v>312</v>
      </c>
      <c r="F612" s="3">
        <v>1000000</v>
      </c>
      <c r="G612" s="2">
        <f t="shared" si="18"/>
        <v>3205.1282051282051</v>
      </c>
      <c r="H612" s="2">
        <f t="shared" si="19"/>
        <v>1000000</v>
      </c>
      <c r="I612" t="s">
        <v>83</v>
      </c>
      <c r="J612" t="s">
        <v>84</v>
      </c>
      <c r="K612" t="s">
        <v>2218</v>
      </c>
      <c r="L612" t="s">
        <v>85</v>
      </c>
      <c r="M612" t="s">
        <v>16</v>
      </c>
      <c r="N612" t="s">
        <v>86</v>
      </c>
    </row>
    <row r="613" spans="1:14" hidden="1" x14ac:dyDescent="0.35">
      <c r="A613" t="s">
        <v>167</v>
      </c>
      <c r="B613" t="s">
        <v>12</v>
      </c>
      <c r="C613">
        <v>3</v>
      </c>
      <c r="D613">
        <v>3</v>
      </c>
      <c r="E613" s="1">
        <v>191</v>
      </c>
      <c r="F613" s="3">
        <v>1000000</v>
      </c>
      <c r="G613" s="2">
        <f t="shared" si="18"/>
        <v>5235.6020942408377</v>
      </c>
      <c r="H613" s="2">
        <f t="shared" si="19"/>
        <v>1000000</v>
      </c>
      <c r="I613" t="s">
        <v>168</v>
      </c>
      <c r="J613" t="s">
        <v>169</v>
      </c>
      <c r="K613" t="s">
        <v>2217</v>
      </c>
      <c r="L613" t="s">
        <v>170</v>
      </c>
      <c r="M613" t="s">
        <v>16</v>
      </c>
      <c r="N613" t="s">
        <v>171</v>
      </c>
    </row>
    <row r="614" spans="1:14" hidden="1" x14ac:dyDescent="0.35">
      <c r="A614" t="s">
        <v>460</v>
      </c>
      <c r="B614" t="s">
        <v>66</v>
      </c>
      <c r="C614">
        <v>3</v>
      </c>
      <c r="D614">
        <v>3</v>
      </c>
      <c r="E614" s="1">
        <v>135</v>
      </c>
      <c r="F614" s="3">
        <v>1000000</v>
      </c>
      <c r="G614" s="2">
        <f t="shared" si="18"/>
        <v>7407.4074074074078</v>
      </c>
      <c r="H614" s="2">
        <f t="shared" si="19"/>
        <v>1000000</v>
      </c>
      <c r="I614" t="s">
        <v>461</v>
      </c>
      <c r="J614" t="s">
        <v>382</v>
      </c>
      <c r="K614" t="s">
        <v>2217</v>
      </c>
      <c r="L614" t="s">
        <v>383</v>
      </c>
      <c r="M614" t="s">
        <v>16</v>
      </c>
      <c r="N614" t="s">
        <v>257</v>
      </c>
    </row>
    <row r="615" spans="1:14" hidden="1" x14ac:dyDescent="0.35">
      <c r="A615" t="s">
        <v>689</v>
      </c>
      <c r="B615" t="s">
        <v>66</v>
      </c>
      <c r="C615">
        <v>6</v>
      </c>
      <c r="D615">
        <v>3</v>
      </c>
      <c r="E615" s="1">
        <v>138</v>
      </c>
      <c r="F615" s="3">
        <v>1000000</v>
      </c>
      <c r="G615" s="2">
        <f t="shared" si="18"/>
        <v>7246.376811594203</v>
      </c>
      <c r="H615" s="2">
        <f t="shared" si="19"/>
        <v>1000000</v>
      </c>
      <c r="I615" t="s">
        <v>690</v>
      </c>
      <c r="J615" t="s">
        <v>382</v>
      </c>
      <c r="K615" t="s">
        <v>2217</v>
      </c>
      <c r="L615" t="s">
        <v>383</v>
      </c>
      <c r="M615" t="s">
        <v>16</v>
      </c>
      <c r="N615" t="s">
        <v>2242</v>
      </c>
    </row>
    <row r="616" spans="1:14" hidden="1" x14ac:dyDescent="0.35">
      <c r="A616" t="s">
        <v>819</v>
      </c>
      <c r="B616" t="s">
        <v>12</v>
      </c>
      <c r="C616">
        <v>5</v>
      </c>
      <c r="D616">
        <v>5</v>
      </c>
      <c r="E616" s="1">
        <v>236</v>
      </c>
      <c r="F616" s="3">
        <v>1000000</v>
      </c>
      <c r="G616" s="2">
        <f t="shared" si="18"/>
        <v>4237.2881355932204</v>
      </c>
      <c r="H616" s="2">
        <f t="shared" si="19"/>
        <v>1000000</v>
      </c>
      <c r="I616" t="s">
        <v>820</v>
      </c>
      <c r="J616" t="s">
        <v>264</v>
      </c>
      <c r="K616" t="s">
        <v>2217</v>
      </c>
      <c r="L616" t="s">
        <v>265</v>
      </c>
      <c r="M616" t="s">
        <v>16</v>
      </c>
      <c r="N616" t="s">
        <v>2242</v>
      </c>
    </row>
    <row r="617" spans="1:14" hidden="1" x14ac:dyDescent="0.35">
      <c r="A617" t="s">
        <v>919</v>
      </c>
      <c r="B617" t="s">
        <v>12</v>
      </c>
      <c r="C617">
        <v>5</v>
      </c>
      <c r="D617">
        <v>4</v>
      </c>
      <c r="E617" s="1">
        <v>177</v>
      </c>
      <c r="F617" s="3">
        <v>1000000</v>
      </c>
      <c r="G617" s="2">
        <f t="shared" si="18"/>
        <v>5649.7175141242942</v>
      </c>
      <c r="H617" s="2">
        <f t="shared" si="19"/>
        <v>1000000</v>
      </c>
      <c r="I617" t="s">
        <v>920</v>
      </c>
      <c r="J617" t="s">
        <v>264</v>
      </c>
      <c r="K617" t="s">
        <v>2217</v>
      </c>
      <c r="L617" t="s">
        <v>265</v>
      </c>
      <c r="M617" t="s">
        <v>16</v>
      </c>
      <c r="N617" t="s">
        <v>45</v>
      </c>
    </row>
    <row r="618" spans="1:14" x14ac:dyDescent="0.35">
      <c r="A618" t="s">
        <v>946</v>
      </c>
      <c r="B618" t="s">
        <v>18</v>
      </c>
      <c r="C618">
        <v>11</v>
      </c>
      <c r="D618">
        <v>11</v>
      </c>
      <c r="E618" s="1">
        <v>367</v>
      </c>
      <c r="F618" s="3">
        <v>1000000</v>
      </c>
      <c r="G618" s="2">
        <f t="shared" si="18"/>
        <v>2724.7956403269754</v>
      </c>
      <c r="H618" s="2">
        <f t="shared" si="19"/>
        <v>1000000</v>
      </c>
      <c r="I618" t="s">
        <v>947</v>
      </c>
      <c r="J618" t="s">
        <v>141</v>
      </c>
      <c r="K618" t="s">
        <v>2215</v>
      </c>
      <c r="L618" t="s">
        <v>142</v>
      </c>
      <c r="M618" t="s">
        <v>16</v>
      </c>
      <c r="N618" t="s">
        <v>948</v>
      </c>
    </row>
    <row r="619" spans="1:14" ht="16" hidden="1" x14ac:dyDescent="0.45">
      <c r="A619" t="s">
        <v>1358</v>
      </c>
      <c r="B619" t="s">
        <v>66</v>
      </c>
      <c r="C619">
        <v>5</v>
      </c>
      <c r="D619">
        <v>3</v>
      </c>
      <c r="E619" s="1">
        <v>170</v>
      </c>
      <c r="F619" s="3">
        <v>1000000</v>
      </c>
      <c r="G619" s="2">
        <f t="shared" si="18"/>
        <v>5882.3529411764703</v>
      </c>
      <c r="H619" s="2">
        <f t="shared" si="19"/>
        <v>1000000</v>
      </c>
      <c r="I619" s="4" t="s">
        <v>2229</v>
      </c>
      <c r="J619" t="s">
        <v>145</v>
      </c>
      <c r="K619" t="s">
        <v>2216</v>
      </c>
      <c r="L619" t="s">
        <v>146</v>
      </c>
      <c r="M619" t="s">
        <v>16</v>
      </c>
      <c r="N619" t="s">
        <v>2242</v>
      </c>
    </row>
    <row r="620" spans="1:14" hidden="1" x14ac:dyDescent="0.35">
      <c r="A620" t="s">
        <v>1366</v>
      </c>
      <c r="B620" t="s">
        <v>12</v>
      </c>
      <c r="C620">
        <v>3</v>
      </c>
      <c r="D620">
        <v>4</v>
      </c>
      <c r="E620" s="1">
        <v>193</v>
      </c>
      <c r="F620" s="3">
        <v>1000000</v>
      </c>
      <c r="G620" s="2">
        <f t="shared" si="18"/>
        <v>5181.3471502590673</v>
      </c>
      <c r="H620" s="2">
        <f t="shared" si="19"/>
        <v>1000000</v>
      </c>
      <c r="I620" t="s">
        <v>1367</v>
      </c>
      <c r="J620" t="s">
        <v>405</v>
      </c>
      <c r="K620" t="s">
        <v>2217</v>
      </c>
      <c r="L620" t="s">
        <v>406</v>
      </c>
      <c r="M620" t="s">
        <v>16</v>
      </c>
      <c r="N620" t="s">
        <v>407</v>
      </c>
    </row>
    <row r="621" spans="1:14" hidden="1" x14ac:dyDescent="0.35">
      <c r="A621" t="s">
        <v>1447</v>
      </c>
      <c r="B621" t="s">
        <v>12</v>
      </c>
      <c r="C621">
        <v>7</v>
      </c>
      <c r="D621">
        <v>5</v>
      </c>
      <c r="E621" s="1">
        <v>230</v>
      </c>
      <c r="F621" s="3">
        <v>1000000</v>
      </c>
      <c r="G621" s="2">
        <f t="shared" si="18"/>
        <v>4347.826086956522</v>
      </c>
      <c r="H621" s="2">
        <f t="shared" si="19"/>
        <v>1000000</v>
      </c>
      <c r="I621" t="s">
        <v>47</v>
      </c>
      <c r="J621" t="s">
        <v>48</v>
      </c>
      <c r="K621" t="s">
        <v>2218</v>
      </c>
      <c r="L621" t="s">
        <v>49</v>
      </c>
      <c r="M621" t="s">
        <v>16</v>
      </c>
      <c r="N621" t="s">
        <v>1448</v>
      </c>
    </row>
    <row r="622" spans="1:14" hidden="1" x14ac:dyDescent="0.35">
      <c r="A622" t="s">
        <v>1527</v>
      </c>
      <c r="B622" t="s">
        <v>66</v>
      </c>
      <c r="C622">
        <v>5</v>
      </c>
      <c r="D622">
        <v>4</v>
      </c>
      <c r="E622" s="1">
        <v>175</v>
      </c>
      <c r="F622" s="3">
        <v>1000000</v>
      </c>
      <c r="G622" s="2">
        <f t="shared" si="18"/>
        <v>5714.2857142857147</v>
      </c>
      <c r="H622" s="2">
        <f t="shared" si="19"/>
        <v>1000000</v>
      </c>
      <c r="I622" t="s">
        <v>273</v>
      </c>
      <c r="J622" t="s">
        <v>169</v>
      </c>
      <c r="K622" t="s">
        <v>2217</v>
      </c>
      <c r="L622" t="s">
        <v>170</v>
      </c>
      <c r="M622" t="s">
        <v>16</v>
      </c>
      <c r="N622" t="s">
        <v>624</v>
      </c>
    </row>
    <row r="623" spans="1:14" hidden="1" x14ac:dyDescent="0.35">
      <c r="A623" t="s">
        <v>1528</v>
      </c>
      <c r="B623" t="s">
        <v>66</v>
      </c>
      <c r="C623">
        <v>5</v>
      </c>
      <c r="D623">
        <v>4</v>
      </c>
      <c r="E623" s="1">
        <v>175</v>
      </c>
      <c r="F623" s="3">
        <v>1000000</v>
      </c>
      <c r="G623" s="2">
        <f t="shared" si="18"/>
        <v>5714.2857142857147</v>
      </c>
      <c r="H623" s="2">
        <f t="shared" si="19"/>
        <v>1000000</v>
      </c>
      <c r="I623" t="s">
        <v>1529</v>
      </c>
      <c r="J623" t="s">
        <v>169</v>
      </c>
      <c r="K623" t="s">
        <v>2217</v>
      </c>
      <c r="L623" t="s">
        <v>170</v>
      </c>
      <c r="M623" t="s">
        <v>16</v>
      </c>
      <c r="N623" t="s">
        <v>624</v>
      </c>
    </row>
    <row r="624" spans="1:14" x14ac:dyDescent="0.35">
      <c r="A624" t="s">
        <v>1535</v>
      </c>
      <c r="B624" t="s">
        <v>18</v>
      </c>
      <c r="C624">
        <v>7</v>
      </c>
      <c r="D624">
        <v>5</v>
      </c>
      <c r="E624" s="1">
        <v>367</v>
      </c>
      <c r="F624" s="3">
        <v>1000000</v>
      </c>
      <c r="G624" s="2">
        <f t="shared" si="18"/>
        <v>2724.7956403269754</v>
      </c>
      <c r="H624" s="2">
        <f t="shared" si="19"/>
        <v>1000000</v>
      </c>
      <c r="I624" t="s">
        <v>1536</v>
      </c>
      <c r="J624" t="s">
        <v>141</v>
      </c>
      <c r="K624" t="s">
        <v>2215</v>
      </c>
      <c r="L624" t="s">
        <v>142</v>
      </c>
      <c r="M624" t="s">
        <v>16</v>
      </c>
      <c r="N624" t="s">
        <v>948</v>
      </c>
    </row>
    <row r="625" spans="1:14" hidden="1" x14ac:dyDescent="0.35">
      <c r="A625" t="s">
        <v>2042</v>
      </c>
      <c r="B625" t="s">
        <v>66</v>
      </c>
      <c r="C625">
        <v>3</v>
      </c>
      <c r="D625">
        <v>3</v>
      </c>
      <c r="E625" s="1">
        <v>186</v>
      </c>
      <c r="F625" s="3">
        <v>1000000</v>
      </c>
      <c r="G625" s="2">
        <f t="shared" si="18"/>
        <v>5376.3440860215051</v>
      </c>
      <c r="H625" s="2">
        <f t="shared" si="19"/>
        <v>1000000</v>
      </c>
      <c r="I625" t="s">
        <v>2043</v>
      </c>
      <c r="J625" t="s">
        <v>97</v>
      </c>
      <c r="K625" t="s">
        <v>2217</v>
      </c>
      <c r="L625" t="s">
        <v>98</v>
      </c>
      <c r="M625" t="s">
        <v>16</v>
      </c>
      <c r="N625" t="s">
        <v>2242</v>
      </c>
    </row>
    <row r="626" spans="1:14" hidden="1" x14ac:dyDescent="0.35">
      <c r="A626" t="s">
        <v>2052</v>
      </c>
      <c r="B626" t="s">
        <v>1033</v>
      </c>
      <c r="C626">
        <v>0</v>
      </c>
      <c r="D626">
        <v>0</v>
      </c>
      <c r="E626" s="1">
        <v>352</v>
      </c>
      <c r="F626" s="3">
        <v>1000000</v>
      </c>
      <c r="G626" s="2">
        <f t="shared" si="18"/>
        <v>2840.909090909091</v>
      </c>
      <c r="H626" s="2">
        <f t="shared" si="19"/>
        <v>1000000</v>
      </c>
      <c r="I626" t="s">
        <v>2053</v>
      </c>
      <c r="J626" t="s">
        <v>58</v>
      </c>
      <c r="K626" t="s">
        <v>2216</v>
      </c>
      <c r="L626" t="s">
        <v>59</v>
      </c>
      <c r="M626" t="s">
        <v>16</v>
      </c>
      <c r="N626" t="s">
        <v>2242</v>
      </c>
    </row>
    <row r="627" spans="1:14" hidden="1" x14ac:dyDescent="0.35">
      <c r="A627" t="s">
        <v>752</v>
      </c>
      <c r="B627" t="s">
        <v>66</v>
      </c>
      <c r="C627">
        <v>3</v>
      </c>
      <c r="D627">
        <v>3</v>
      </c>
      <c r="E627" s="1">
        <v>135</v>
      </c>
      <c r="F627" s="3">
        <v>1009000</v>
      </c>
      <c r="G627" s="2">
        <f t="shared" si="18"/>
        <v>7474.0740740740739</v>
      </c>
      <c r="H627" s="2">
        <f t="shared" si="19"/>
        <v>1009000</v>
      </c>
      <c r="I627" t="s">
        <v>547</v>
      </c>
      <c r="J627" t="s">
        <v>173</v>
      </c>
      <c r="K627" t="s">
        <v>2216</v>
      </c>
      <c r="L627" t="s">
        <v>174</v>
      </c>
      <c r="M627" t="s">
        <v>16</v>
      </c>
      <c r="N627" t="s">
        <v>496</v>
      </c>
    </row>
    <row r="628" spans="1:14" hidden="1" x14ac:dyDescent="0.35">
      <c r="A628" t="s">
        <v>1040</v>
      </c>
      <c r="B628" t="s">
        <v>66</v>
      </c>
      <c r="C628">
        <v>3</v>
      </c>
      <c r="D628">
        <v>3</v>
      </c>
      <c r="E628" s="1">
        <v>135</v>
      </c>
      <c r="F628" s="3">
        <v>1009000</v>
      </c>
      <c r="G628" s="2">
        <f t="shared" si="18"/>
        <v>7474.0740740740739</v>
      </c>
      <c r="H628" s="2">
        <f t="shared" si="19"/>
        <v>1009000</v>
      </c>
      <c r="I628" t="s">
        <v>351</v>
      </c>
      <c r="J628" t="s">
        <v>173</v>
      </c>
      <c r="K628" t="s">
        <v>2216</v>
      </c>
      <c r="L628" t="s">
        <v>174</v>
      </c>
      <c r="M628" t="s">
        <v>16</v>
      </c>
      <c r="N628" t="s">
        <v>496</v>
      </c>
    </row>
    <row r="629" spans="1:14" hidden="1" x14ac:dyDescent="0.35">
      <c r="A629" t="s">
        <v>1378</v>
      </c>
      <c r="B629" t="s">
        <v>66</v>
      </c>
      <c r="C629">
        <v>3</v>
      </c>
      <c r="D629">
        <v>3</v>
      </c>
      <c r="E629" s="1">
        <v>131</v>
      </c>
      <c r="F629" s="3">
        <v>1017000</v>
      </c>
      <c r="G629" s="2">
        <f t="shared" si="18"/>
        <v>7763.3587786259541</v>
      </c>
      <c r="H629" s="2">
        <f t="shared" si="19"/>
        <v>1017000</v>
      </c>
      <c r="I629" t="s">
        <v>1379</v>
      </c>
      <c r="J629" t="s">
        <v>825</v>
      </c>
      <c r="K629" t="s">
        <v>2217</v>
      </c>
      <c r="L629" t="s">
        <v>826</v>
      </c>
      <c r="M629" t="s">
        <v>16</v>
      </c>
      <c r="N629" t="s">
        <v>1074</v>
      </c>
    </row>
    <row r="630" spans="1:14" hidden="1" x14ac:dyDescent="0.35">
      <c r="A630" t="s">
        <v>2006</v>
      </c>
      <c r="B630" t="s">
        <v>66</v>
      </c>
      <c r="C630">
        <v>3</v>
      </c>
      <c r="D630">
        <v>3</v>
      </c>
      <c r="E630" s="1">
        <v>131</v>
      </c>
      <c r="F630" s="3">
        <v>1017000</v>
      </c>
      <c r="G630" s="2">
        <f t="shared" si="18"/>
        <v>7763.3587786259541</v>
      </c>
      <c r="H630" s="2">
        <f t="shared" si="19"/>
        <v>1017000</v>
      </c>
      <c r="I630" t="s">
        <v>1379</v>
      </c>
      <c r="J630" t="s">
        <v>825</v>
      </c>
      <c r="K630" t="s">
        <v>2217</v>
      </c>
      <c r="L630" t="s">
        <v>826</v>
      </c>
      <c r="M630" t="s">
        <v>16</v>
      </c>
      <c r="N630" t="s">
        <v>1074</v>
      </c>
    </row>
    <row r="631" spans="1:14" hidden="1" x14ac:dyDescent="0.35">
      <c r="A631" t="s">
        <v>2015</v>
      </c>
      <c r="B631" t="s">
        <v>66</v>
      </c>
      <c r="C631">
        <v>3</v>
      </c>
      <c r="D631">
        <v>3</v>
      </c>
      <c r="E631" s="1">
        <v>131</v>
      </c>
      <c r="F631" s="3">
        <v>1017000</v>
      </c>
      <c r="G631" s="2">
        <f t="shared" si="18"/>
        <v>7763.3587786259541</v>
      </c>
      <c r="H631" s="2">
        <f t="shared" si="19"/>
        <v>1017000</v>
      </c>
      <c r="I631" t="s">
        <v>1379</v>
      </c>
      <c r="J631" t="s">
        <v>825</v>
      </c>
      <c r="K631" t="s">
        <v>2217</v>
      </c>
      <c r="L631" t="s">
        <v>826</v>
      </c>
      <c r="M631" t="s">
        <v>16</v>
      </c>
      <c r="N631" t="s">
        <v>2242</v>
      </c>
    </row>
    <row r="632" spans="1:14" hidden="1" x14ac:dyDescent="0.35">
      <c r="A632" t="s">
        <v>348</v>
      </c>
      <c r="B632" t="s">
        <v>66</v>
      </c>
      <c r="C632">
        <v>3</v>
      </c>
      <c r="D632">
        <v>3</v>
      </c>
      <c r="E632" s="1">
        <v>146</v>
      </c>
      <c r="F632" s="3">
        <v>1019000</v>
      </c>
      <c r="G632" s="2">
        <f t="shared" si="18"/>
        <v>6979.4520547945203</v>
      </c>
      <c r="H632" s="2">
        <f t="shared" si="19"/>
        <v>1019000</v>
      </c>
      <c r="I632" t="s">
        <v>349</v>
      </c>
      <c r="J632" t="s">
        <v>291</v>
      </c>
      <c r="K632" t="s">
        <v>2217</v>
      </c>
      <c r="L632" t="s">
        <v>292</v>
      </c>
      <c r="M632" t="s">
        <v>16</v>
      </c>
      <c r="N632" t="s">
        <v>171</v>
      </c>
    </row>
    <row r="633" spans="1:14" hidden="1" x14ac:dyDescent="0.35">
      <c r="A633" t="s">
        <v>862</v>
      </c>
      <c r="B633" t="s">
        <v>66</v>
      </c>
      <c r="C633">
        <v>3</v>
      </c>
      <c r="D633">
        <v>4</v>
      </c>
      <c r="E633" s="1">
        <v>139</v>
      </c>
      <c r="F633" s="3">
        <v>1019000</v>
      </c>
      <c r="G633" s="2">
        <f t="shared" si="18"/>
        <v>7330.9352517985608</v>
      </c>
      <c r="H633" s="2">
        <f t="shared" si="19"/>
        <v>1019000</v>
      </c>
      <c r="I633" t="s">
        <v>863</v>
      </c>
      <c r="J633" t="s">
        <v>173</v>
      </c>
      <c r="K633" t="s">
        <v>2216</v>
      </c>
      <c r="L633" t="s">
        <v>174</v>
      </c>
      <c r="M633" t="s">
        <v>16</v>
      </c>
      <c r="N633" t="s">
        <v>496</v>
      </c>
    </row>
    <row r="634" spans="1:14" x14ac:dyDescent="0.35">
      <c r="A634" t="s">
        <v>776</v>
      </c>
      <c r="B634" t="s">
        <v>18</v>
      </c>
      <c r="C634">
        <v>3</v>
      </c>
      <c r="D634">
        <v>2</v>
      </c>
      <c r="E634" s="1">
        <v>173</v>
      </c>
      <c r="F634" s="3">
        <v>1030000</v>
      </c>
      <c r="G634" s="2">
        <f t="shared" si="18"/>
        <v>5953.7572254335264</v>
      </c>
      <c r="H634" s="2">
        <f t="shared" si="19"/>
        <v>1030000</v>
      </c>
      <c r="I634" t="s">
        <v>777</v>
      </c>
      <c r="J634" t="s">
        <v>169</v>
      </c>
      <c r="K634" t="s">
        <v>2217</v>
      </c>
      <c r="L634" t="s">
        <v>170</v>
      </c>
      <c r="M634" t="s">
        <v>16</v>
      </c>
      <c r="N634" t="s">
        <v>230</v>
      </c>
    </row>
    <row r="635" spans="1:14" hidden="1" x14ac:dyDescent="0.35">
      <c r="A635" t="s">
        <v>908</v>
      </c>
      <c r="B635" t="s">
        <v>66</v>
      </c>
      <c r="C635">
        <v>3</v>
      </c>
      <c r="D635">
        <v>3</v>
      </c>
      <c r="E635" s="1">
        <v>130</v>
      </c>
      <c r="F635" s="3">
        <v>1030000</v>
      </c>
      <c r="G635" s="2">
        <f t="shared" si="18"/>
        <v>7923.0769230769229</v>
      </c>
      <c r="H635" s="2">
        <f t="shared" si="19"/>
        <v>1030000</v>
      </c>
      <c r="I635" t="s">
        <v>909</v>
      </c>
      <c r="J635" t="s">
        <v>382</v>
      </c>
      <c r="K635" t="s">
        <v>2217</v>
      </c>
      <c r="L635" t="s">
        <v>383</v>
      </c>
      <c r="M635" t="s">
        <v>16</v>
      </c>
      <c r="N635" t="s">
        <v>77</v>
      </c>
    </row>
    <row r="636" spans="1:14" hidden="1" x14ac:dyDescent="0.35">
      <c r="A636" t="s">
        <v>1175</v>
      </c>
      <c r="B636" t="s">
        <v>66</v>
      </c>
      <c r="C636">
        <v>3</v>
      </c>
      <c r="D636">
        <v>3</v>
      </c>
      <c r="E636" s="1">
        <v>122</v>
      </c>
      <c r="F636" s="3">
        <v>1049000</v>
      </c>
      <c r="G636" s="2">
        <f t="shared" si="18"/>
        <v>8598.3606557377043</v>
      </c>
      <c r="H636" s="2">
        <f t="shared" si="19"/>
        <v>1049000</v>
      </c>
      <c r="I636" t="s">
        <v>351</v>
      </c>
      <c r="J636" t="s">
        <v>173</v>
      </c>
      <c r="K636" t="s">
        <v>2216</v>
      </c>
      <c r="L636" t="s">
        <v>174</v>
      </c>
      <c r="M636" t="s">
        <v>16</v>
      </c>
      <c r="N636" t="s">
        <v>496</v>
      </c>
    </row>
    <row r="637" spans="1:14" hidden="1" x14ac:dyDescent="0.35">
      <c r="A637" t="s">
        <v>1086</v>
      </c>
      <c r="B637" t="s">
        <v>12</v>
      </c>
      <c r="C637">
        <v>4</v>
      </c>
      <c r="D637">
        <v>4</v>
      </c>
      <c r="E637" s="1">
        <v>172</v>
      </c>
      <c r="F637" s="3">
        <v>1050000</v>
      </c>
      <c r="G637" s="2">
        <f t="shared" si="18"/>
        <v>6104.6511627906975</v>
      </c>
      <c r="H637" s="2">
        <f t="shared" si="19"/>
        <v>1050000</v>
      </c>
      <c r="I637" t="s">
        <v>1087</v>
      </c>
      <c r="J637" t="s">
        <v>209</v>
      </c>
      <c r="K637" t="s">
        <v>2217</v>
      </c>
      <c r="L637" t="s">
        <v>210</v>
      </c>
      <c r="M637" t="s">
        <v>16</v>
      </c>
      <c r="N637" t="s">
        <v>624</v>
      </c>
    </row>
    <row r="638" spans="1:14" hidden="1" x14ac:dyDescent="0.35">
      <c r="A638" t="s">
        <v>1292</v>
      </c>
      <c r="B638" t="s">
        <v>12</v>
      </c>
      <c r="C638">
        <v>3</v>
      </c>
      <c r="D638">
        <v>2</v>
      </c>
      <c r="E638" s="1">
        <v>172</v>
      </c>
      <c r="F638" s="3">
        <v>1050000</v>
      </c>
      <c r="G638" s="2">
        <f t="shared" si="18"/>
        <v>6104.6511627906975</v>
      </c>
      <c r="H638" s="2">
        <f t="shared" si="19"/>
        <v>1050000</v>
      </c>
      <c r="I638" t="s">
        <v>1293</v>
      </c>
      <c r="J638" t="s">
        <v>169</v>
      </c>
      <c r="K638" t="s">
        <v>2217</v>
      </c>
      <c r="L638" t="s">
        <v>170</v>
      </c>
      <c r="M638" t="s">
        <v>16</v>
      </c>
      <c r="N638" t="s">
        <v>1294</v>
      </c>
    </row>
    <row r="639" spans="1:14" hidden="1" x14ac:dyDescent="0.35">
      <c r="A639" t="s">
        <v>1361</v>
      </c>
      <c r="B639" t="s">
        <v>12</v>
      </c>
      <c r="C639">
        <v>3</v>
      </c>
      <c r="D639">
        <v>4</v>
      </c>
      <c r="E639" s="1">
        <v>168</v>
      </c>
      <c r="F639" s="3">
        <v>1050000</v>
      </c>
      <c r="G639" s="2">
        <f t="shared" si="18"/>
        <v>6250</v>
      </c>
      <c r="H639" s="2">
        <f t="shared" si="19"/>
        <v>1050000</v>
      </c>
      <c r="I639" t="s">
        <v>1362</v>
      </c>
      <c r="J639" t="s">
        <v>405</v>
      </c>
      <c r="K639" t="s">
        <v>2217</v>
      </c>
      <c r="L639" t="s">
        <v>406</v>
      </c>
      <c r="M639" t="s">
        <v>16</v>
      </c>
      <c r="N639" t="s">
        <v>407</v>
      </c>
    </row>
    <row r="640" spans="1:14" hidden="1" x14ac:dyDescent="0.35">
      <c r="A640" t="s">
        <v>1363</v>
      </c>
      <c r="B640" t="s">
        <v>12</v>
      </c>
      <c r="C640">
        <v>3</v>
      </c>
      <c r="D640">
        <v>3</v>
      </c>
      <c r="E640" s="1">
        <v>168</v>
      </c>
      <c r="F640" s="3">
        <v>1050000</v>
      </c>
      <c r="G640" s="2">
        <f t="shared" si="18"/>
        <v>6250</v>
      </c>
      <c r="H640" s="2">
        <f t="shared" si="19"/>
        <v>1050000</v>
      </c>
      <c r="I640" t="s">
        <v>1364</v>
      </c>
      <c r="J640" t="s">
        <v>405</v>
      </c>
      <c r="K640" t="s">
        <v>2217</v>
      </c>
      <c r="L640" t="s">
        <v>406</v>
      </c>
      <c r="M640" t="s">
        <v>16</v>
      </c>
      <c r="N640" t="s">
        <v>407</v>
      </c>
    </row>
    <row r="641" spans="1:14" hidden="1" x14ac:dyDescent="0.35">
      <c r="A641" t="s">
        <v>1388</v>
      </c>
      <c r="B641" t="s">
        <v>12</v>
      </c>
      <c r="C641">
        <v>3</v>
      </c>
      <c r="D641">
        <v>2</v>
      </c>
      <c r="E641" s="1">
        <v>540</v>
      </c>
      <c r="F641" s="3">
        <v>1050000</v>
      </c>
      <c r="G641" s="2">
        <f t="shared" si="18"/>
        <v>1944.4444444444443</v>
      </c>
      <c r="H641" s="2">
        <f t="shared" si="19"/>
        <v>1050000</v>
      </c>
      <c r="I641" t="s">
        <v>1293</v>
      </c>
      <c r="J641" t="s">
        <v>169</v>
      </c>
      <c r="K641" t="s">
        <v>2217</v>
      </c>
      <c r="L641" t="s">
        <v>170</v>
      </c>
      <c r="M641" t="s">
        <v>16</v>
      </c>
      <c r="N641" t="s">
        <v>1294</v>
      </c>
    </row>
    <row r="642" spans="1:14" x14ac:dyDescent="0.35">
      <c r="A642" t="s">
        <v>1490</v>
      </c>
      <c r="B642" t="s">
        <v>18</v>
      </c>
      <c r="C642">
        <v>7</v>
      </c>
      <c r="D642">
        <v>5</v>
      </c>
      <c r="E642" s="1">
        <v>300</v>
      </c>
      <c r="F642" s="3">
        <v>1050000</v>
      </c>
      <c r="G642" s="2">
        <f t="shared" si="18"/>
        <v>3500</v>
      </c>
      <c r="H642" s="2">
        <f t="shared" si="19"/>
        <v>1050000</v>
      </c>
      <c r="I642" t="s">
        <v>1491</v>
      </c>
      <c r="J642" t="s">
        <v>154</v>
      </c>
      <c r="K642" t="s">
        <v>2218</v>
      </c>
      <c r="L642" t="s">
        <v>155</v>
      </c>
      <c r="M642" t="s">
        <v>16</v>
      </c>
      <c r="N642" t="s">
        <v>948</v>
      </c>
    </row>
    <row r="643" spans="1:14" hidden="1" x14ac:dyDescent="0.35">
      <c r="A643" t="s">
        <v>1500</v>
      </c>
      <c r="B643" t="s">
        <v>12</v>
      </c>
      <c r="C643">
        <v>4</v>
      </c>
      <c r="D643">
        <v>4</v>
      </c>
      <c r="E643" s="1">
        <v>172</v>
      </c>
      <c r="F643" s="3">
        <v>1050000</v>
      </c>
      <c r="G643" s="2">
        <f t="shared" si="18"/>
        <v>6104.6511627906975</v>
      </c>
      <c r="H643" s="2">
        <f t="shared" si="19"/>
        <v>1050000</v>
      </c>
      <c r="I643" t="s">
        <v>1501</v>
      </c>
      <c r="J643" t="s">
        <v>209</v>
      </c>
      <c r="K643" t="s">
        <v>2217</v>
      </c>
      <c r="L643" t="s">
        <v>210</v>
      </c>
      <c r="M643" t="s">
        <v>16</v>
      </c>
      <c r="N643" t="s">
        <v>624</v>
      </c>
    </row>
    <row r="644" spans="1:14" hidden="1" x14ac:dyDescent="0.35">
      <c r="A644" t="s">
        <v>1911</v>
      </c>
      <c r="B644" t="s">
        <v>12</v>
      </c>
      <c r="C644">
        <v>6</v>
      </c>
      <c r="D644">
        <v>4</v>
      </c>
      <c r="E644" s="1">
        <v>216</v>
      </c>
      <c r="F644" s="3">
        <v>1050000</v>
      </c>
      <c r="G644" s="2">
        <f t="shared" si="18"/>
        <v>4861.1111111111113</v>
      </c>
      <c r="H644" s="2">
        <f t="shared" si="19"/>
        <v>1050000</v>
      </c>
      <c r="I644" t="s">
        <v>1293</v>
      </c>
      <c r="J644" t="s">
        <v>169</v>
      </c>
      <c r="K644" t="s">
        <v>2217</v>
      </c>
      <c r="L644" t="s">
        <v>170</v>
      </c>
      <c r="M644" t="s">
        <v>16</v>
      </c>
      <c r="N644" t="s">
        <v>2242</v>
      </c>
    </row>
    <row r="645" spans="1:14" hidden="1" x14ac:dyDescent="0.35">
      <c r="A645" t="s">
        <v>2044</v>
      </c>
      <c r="B645" t="s">
        <v>66</v>
      </c>
      <c r="C645">
        <v>3</v>
      </c>
      <c r="D645">
        <v>4</v>
      </c>
      <c r="E645" s="1">
        <v>244</v>
      </c>
      <c r="F645" s="3">
        <v>1050000</v>
      </c>
      <c r="G645" s="2">
        <f t="shared" ref="G645:G708" si="20">IF(F645&lt;50000,F645,F645/E645)</f>
        <v>4303.2786885245905</v>
      </c>
      <c r="H645" s="2">
        <f t="shared" ref="H645:H708" si="21">IF(F645&lt;50000,E645*F645,F645)</f>
        <v>1050000</v>
      </c>
      <c r="I645" t="s">
        <v>2043</v>
      </c>
      <c r="J645" t="s">
        <v>97</v>
      </c>
      <c r="K645" t="s">
        <v>2217</v>
      </c>
      <c r="L645" t="s">
        <v>98</v>
      </c>
      <c r="M645" t="s">
        <v>16</v>
      </c>
      <c r="N645" t="s">
        <v>2242</v>
      </c>
    </row>
    <row r="646" spans="1:14" hidden="1" x14ac:dyDescent="0.35">
      <c r="A646" t="s">
        <v>2110</v>
      </c>
      <c r="B646" t="s">
        <v>12</v>
      </c>
      <c r="C646">
        <v>3</v>
      </c>
      <c r="D646">
        <v>5</v>
      </c>
      <c r="E646" s="1">
        <v>219</v>
      </c>
      <c r="F646" s="3">
        <v>1050000</v>
      </c>
      <c r="G646" s="2">
        <f t="shared" si="20"/>
        <v>4794.5205479452052</v>
      </c>
      <c r="H646" s="2">
        <f t="shared" si="21"/>
        <v>1050000</v>
      </c>
      <c r="I646" t="s">
        <v>2111</v>
      </c>
      <c r="J646" t="s">
        <v>169</v>
      </c>
      <c r="K646" t="s">
        <v>2217</v>
      </c>
      <c r="L646" t="s">
        <v>170</v>
      </c>
      <c r="M646" t="s">
        <v>16</v>
      </c>
      <c r="N646" t="s">
        <v>77</v>
      </c>
    </row>
    <row r="647" spans="1:14" hidden="1" x14ac:dyDescent="0.35">
      <c r="A647" t="s">
        <v>2148</v>
      </c>
      <c r="B647" t="s">
        <v>12</v>
      </c>
      <c r="C647">
        <v>3</v>
      </c>
      <c r="D647">
        <v>3</v>
      </c>
      <c r="E647" s="1">
        <v>168</v>
      </c>
      <c r="F647" s="3">
        <v>1050000</v>
      </c>
      <c r="G647" s="2">
        <f t="shared" si="20"/>
        <v>6250</v>
      </c>
      <c r="H647" s="2">
        <f t="shared" si="21"/>
        <v>1050000</v>
      </c>
      <c r="I647" t="s">
        <v>975</v>
      </c>
      <c r="J647" t="s">
        <v>405</v>
      </c>
      <c r="K647" t="s">
        <v>2217</v>
      </c>
      <c r="L647" t="s">
        <v>406</v>
      </c>
      <c r="M647" t="s">
        <v>16</v>
      </c>
      <c r="N647" t="s">
        <v>407</v>
      </c>
    </row>
    <row r="648" spans="1:14" hidden="1" x14ac:dyDescent="0.35">
      <c r="A648" t="s">
        <v>1924</v>
      </c>
      <c r="B648" t="s">
        <v>66</v>
      </c>
      <c r="C648">
        <v>3</v>
      </c>
      <c r="D648">
        <v>3</v>
      </c>
      <c r="E648" s="1">
        <v>250</v>
      </c>
      <c r="F648" s="3">
        <v>1059000</v>
      </c>
      <c r="G648" s="2">
        <f t="shared" si="20"/>
        <v>4236</v>
      </c>
      <c r="H648" s="2">
        <f t="shared" si="21"/>
        <v>1059000</v>
      </c>
      <c r="I648" t="s">
        <v>1925</v>
      </c>
      <c r="J648" t="s">
        <v>291</v>
      </c>
      <c r="K648" t="s">
        <v>2217</v>
      </c>
      <c r="L648" t="s">
        <v>292</v>
      </c>
      <c r="M648" t="s">
        <v>16</v>
      </c>
      <c r="N648" t="s">
        <v>1409</v>
      </c>
    </row>
    <row r="649" spans="1:14" hidden="1" x14ac:dyDescent="0.35">
      <c r="A649" t="s">
        <v>1633</v>
      </c>
      <c r="B649" t="s">
        <v>66</v>
      </c>
      <c r="C649">
        <v>4</v>
      </c>
      <c r="D649">
        <v>5</v>
      </c>
      <c r="E649" s="1">
        <v>186</v>
      </c>
      <c r="F649" s="3">
        <v>1060000</v>
      </c>
      <c r="G649" s="2">
        <f t="shared" si="20"/>
        <v>5698.9247311827958</v>
      </c>
      <c r="H649" s="2">
        <f t="shared" si="21"/>
        <v>1060000</v>
      </c>
      <c r="I649" t="s">
        <v>670</v>
      </c>
      <c r="J649" t="s">
        <v>145</v>
      </c>
      <c r="K649" t="s">
        <v>2216</v>
      </c>
      <c r="L649" t="s">
        <v>146</v>
      </c>
      <c r="M649" t="s">
        <v>16</v>
      </c>
      <c r="N649" t="s">
        <v>77</v>
      </c>
    </row>
    <row r="650" spans="1:14" hidden="1" x14ac:dyDescent="0.35">
      <c r="A650" t="s">
        <v>1438</v>
      </c>
      <c r="B650" t="s">
        <v>66</v>
      </c>
      <c r="C650">
        <v>5</v>
      </c>
      <c r="D650">
        <v>4</v>
      </c>
      <c r="E650" s="1">
        <v>189</v>
      </c>
      <c r="F650" s="3">
        <v>1078000</v>
      </c>
      <c r="G650" s="2">
        <f t="shared" si="20"/>
        <v>5703.7037037037035</v>
      </c>
      <c r="H650" s="2">
        <f t="shared" si="21"/>
        <v>1078000</v>
      </c>
      <c r="I650" t="s">
        <v>670</v>
      </c>
      <c r="J650" t="s">
        <v>145</v>
      </c>
      <c r="K650" t="s">
        <v>2216</v>
      </c>
      <c r="L650" t="s">
        <v>146</v>
      </c>
      <c r="M650" t="s">
        <v>16</v>
      </c>
      <c r="N650" t="s">
        <v>77</v>
      </c>
    </row>
    <row r="651" spans="1:14" hidden="1" x14ac:dyDescent="0.35">
      <c r="A651" t="s">
        <v>500</v>
      </c>
      <c r="B651" t="s">
        <v>66</v>
      </c>
      <c r="C651">
        <v>3</v>
      </c>
      <c r="D651">
        <v>3</v>
      </c>
      <c r="E651" s="1">
        <v>146</v>
      </c>
      <c r="F651" s="3">
        <v>1079000</v>
      </c>
      <c r="G651" s="2">
        <f t="shared" si="20"/>
        <v>7390.41095890411</v>
      </c>
      <c r="H651" s="2">
        <f t="shared" si="21"/>
        <v>1079000</v>
      </c>
      <c r="I651" t="s">
        <v>501</v>
      </c>
      <c r="J651" t="s">
        <v>494</v>
      </c>
      <c r="K651" t="s">
        <v>2217</v>
      </c>
      <c r="L651" t="s">
        <v>495</v>
      </c>
      <c r="M651" t="s">
        <v>16</v>
      </c>
      <c r="N651" t="s">
        <v>496</v>
      </c>
    </row>
    <row r="652" spans="1:14" hidden="1" x14ac:dyDescent="0.35">
      <c r="A652" t="s">
        <v>553</v>
      </c>
      <c r="B652" t="s">
        <v>66</v>
      </c>
      <c r="C652">
        <v>3</v>
      </c>
      <c r="D652">
        <v>3</v>
      </c>
      <c r="E652" s="1">
        <v>147</v>
      </c>
      <c r="F652" s="3">
        <v>1079000</v>
      </c>
      <c r="G652" s="2">
        <f t="shared" si="20"/>
        <v>7340.1360544217687</v>
      </c>
      <c r="H652" s="2">
        <f t="shared" si="21"/>
        <v>1079000</v>
      </c>
      <c r="I652" t="s">
        <v>547</v>
      </c>
      <c r="J652" t="s">
        <v>173</v>
      </c>
      <c r="K652" t="s">
        <v>2216</v>
      </c>
      <c r="L652" t="s">
        <v>174</v>
      </c>
      <c r="M652" t="s">
        <v>16</v>
      </c>
      <c r="N652" t="s">
        <v>496</v>
      </c>
    </row>
    <row r="653" spans="1:14" hidden="1" x14ac:dyDescent="0.35">
      <c r="A653" t="s">
        <v>959</v>
      </c>
      <c r="B653" t="s">
        <v>66</v>
      </c>
      <c r="C653">
        <v>3</v>
      </c>
      <c r="D653">
        <v>3</v>
      </c>
      <c r="E653" s="1">
        <v>233</v>
      </c>
      <c r="F653" s="3">
        <v>1079000</v>
      </c>
      <c r="G653" s="2">
        <f t="shared" si="20"/>
        <v>4630.9012875536482</v>
      </c>
      <c r="H653" s="2">
        <f t="shared" si="21"/>
        <v>1079000</v>
      </c>
      <c r="I653" t="s">
        <v>290</v>
      </c>
      <c r="J653" t="s">
        <v>291</v>
      </c>
      <c r="K653" t="s">
        <v>2217</v>
      </c>
      <c r="L653" t="s">
        <v>292</v>
      </c>
      <c r="M653" t="s">
        <v>16</v>
      </c>
      <c r="N653" t="s">
        <v>496</v>
      </c>
    </row>
    <row r="654" spans="1:14" hidden="1" x14ac:dyDescent="0.35">
      <c r="A654" t="s">
        <v>91</v>
      </c>
      <c r="B654" t="s">
        <v>1033</v>
      </c>
      <c r="C654">
        <v>0</v>
      </c>
      <c r="D654">
        <v>0</v>
      </c>
      <c r="E654" s="1">
        <v>360</v>
      </c>
      <c r="F654" s="3">
        <v>3000</v>
      </c>
      <c r="G654" s="2">
        <f t="shared" si="20"/>
        <v>3000</v>
      </c>
      <c r="H654" s="2">
        <f t="shared" si="21"/>
        <v>1080000</v>
      </c>
      <c r="I654" t="s">
        <v>92</v>
      </c>
      <c r="J654" t="s">
        <v>93</v>
      </c>
      <c r="K654" t="s">
        <v>2217</v>
      </c>
      <c r="L654" t="s">
        <v>94</v>
      </c>
      <c r="M654" t="s">
        <v>16</v>
      </c>
      <c r="N654" t="s">
        <v>2242</v>
      </c>
    </row>
    <row r="655" spans="1:14" hidden="1" x14ac:dyDescent="0.35">
      <c r="A655" t="s">
        <v>409</v>
      </c>
      <c r="B655" t="s">
        <v>12</v>
      </c>
      <c r="C655">
        <v>5</v>
      </c>
      <c r="D655">
        <v>4</v>
      </c>
      <c r="E655" s="1">
        <v>196</v>
      </c>
      <c r="F655" s="3">
        <v>1080000</v>
      </c>
      <c r="G655" s="2">
        <f t="shared" si="20"/>
        <v>5510.2040816326535</v>
      </c>
      <c r="H655" s="2">
        <f t="shared" si="21"/>
        <v>1080000</v>
      </c>
      <c r="I655" t="s">
        <v>410</v>
      </c>
      <c r="J655" t="s">
        <v>169</v>
      </c>
      <c r="K655" t="s">
        <v>2217</v>
      </c>
      <c r="L655" t="s">
        <v>170</v>
      </c>
      <c r="M655" t="s">
        <v>16</v>
      </c>
      <c r="N655" t="s">
        <v>392</v>
      </c>
    </row>
    <row r="656" spans="1:14" hidden="1" x14ac:dyDescent="0.35">
      <c r="A656" t="s">
        <v>864</v>
      </c>
      <c r="B656" t="s">
        <v>66</v>
      </c>
      <c r="C656">
        <v>3</v>
      </c>
      <c r="D656">
        <v>4</v>
      </c>
      <c r="E656" s="1">
        <v>101</v>
      </c>
      <c r="F656" s="3">
        <v>1090000</v>
      </c>
      <c r="G656" s="2">
        <f t="shared" si="20"/>
        <v>10792.079207920791</v>
      </c>
      <c r="H656" s="2">
        <f t="shared" si="21"/>
        <v>1090000</v>
      </c>
      <c r="I656" t="s">
        <v>865</v>
      </c>
      <c r="J656" t="s">
        <v>494</v>
      </c>
      <c r="K656" t="s">
        <v>2217</v>
      </c>
      <c r="L656" t="s">
        <v>495</v>
      </c>
      <c r="M656" t="s">
        <v>16</v>
      </c>
      <c r="N656" t="s">
        <v>496</v>
      </c>
    </row>
    <row r="657" spans="1:14" hidden="1" x14ac:dyDescent="0.35">
      <c r="A657" t="s">
        <v>1014</v>
      </c>
      <c r="B657" t="s">
        <v>66</v>
      </c>
      <c r="C657">
        <v>3</v>
      </c>
      <c r="D657">
        <v>3</v>
      </c>
      <c r="E657" s="1">
        <v>160</v>
      </c>
      <c r="F657" s="3">
        <v>1090000</v>
      </c>
      <c r="G657" s="2">
        <f t="shared" si="20"/>
        <v>6812.5</v>
      </c>
      <c r="H657" s="2">
        <f t="shared" si="21"/>
        <v>1090000</v>
      </c>
      <c r="I657" t="s">
        <v>1015</v>
      </c>
      <c r="J657" t="s">
        <v>28</v>
      </c>
      <c r="K657" t="s">
        <v>2217</v>
      </c>
      <c r="L657" t="s">
        <v>29</v>
      </c>
      <c r="M657" t="s">
        <v>16</v>
      </c>
      <c r="N657" t="s">
        <v>1016</v>
      </c>
    </row>
    <row r="658" spans="1:14" hidden="1" x14ac:dyDescent="0.35">
      <c r="A658" t="s">
        <v>244</v>
      </c>
      <c r="B658" t="s">
        <v>1033</v>
      </c>
      <c r="C658">
        <v>0</v>
      </c>
      <c r="D658">
        <v>0</v>
      </c>
      <c r="E658" s="1">
        <v>319</v>
      </c>
      <c r="F658" s="3">
        <v>3435</v>
      </c>
      <c r="G658" s="2">
        <f t="shared" si="20"/>
        <v>3435</v>
      </c>
      <c r="H658" s="2">
        <f t="shared" si="21"/>
        <v>1095765</v>
      </c>
      <c r="I658" t="s">
        <v>245</v>
      </c>
      <c r="J658" t="s">
        <v>169</v>
      </c>
      <c r="K658" t="s">
        <v>2217</v>
      </c>
      <c r="L658" t="s">
        <v>170</v>
      </c>
      <c r="M658" t="s">
        <v>16</v>
      </c>
      <c r="N658" t="s">
        <v>243</v>
      </c>
    </row>
    <row r="659" spans="1:14" hidden="1" x14ac:dyDescent="0.35">
      <c r="A659" t="s">
        <v>1625</v>
      </c>
      <c r="B659" t="s">
        <v>66</v>
      </c>
      <c r="C659">
        <v>3</v>
      </c>
      <c r="D659">
        <v>2</v>
      </c>
      <c r="E659" s="1">
        <v>1050</v>
      </c>
      <c r="F659" s="3">
        <v>1099000</v>
      </c>
      <c r="G659" s="2">
        <f t="shared" si="20"/>
        <v>1046.6666666666667</v>
      </c>
      <c r="H659" s="2">
        <f t="shared" si="21"/>
        <v>1099000</v>
      </c>
      <c r="I659" t="s">
        <v>2211</v>
      </c>
      <c r="J659" t="s">
        <v>734</v>
      </c>
      <c r="K659" t="s">
        <v>2216</v>
      </c>
      <c r="L659" t="s">
        <v>735</v>
      </c>
      <c r="M659" t="s">
        <v>16</v>
      </c>
      <c r="N659" t="s">
        <v>171</v>
      </c>
    </row>
    <row r="660" spans="1:14" hidden="1" x14ac:dyDescent="0.35">
      <c r="A660" t="s">
        <v>134</v>
      </c>
      <c r="B660" t="s">
        <v>66</v>
      </c>
      <c r="C660">
        <v>4</v>
      </c>
      <c r="D660">
        <v>3</v>
      </c>
      <c r="E660" s="1">
        <v>3098</v>
      </c>
      <c r="F660" s="3">
        <v>1100000</v>
      </c>
      <c r="G660" s="2">
        <f t="shared" si="20"/>
        <v>355.06778566817303</v>
      </c>
      <c r="H660" s="2">
        <f t="shared" si="21"/>
        <v>1100000</v>
      </c>
      <c r="I660" t="s">
        <v>2203</v>
      </c>
      <c r="J660" t="s">
        <v>43</v>
      </c>
      <c r="K660" t="s">
        <v>2219</v>
      </c>
      <c r="L660" t="s">
        <v>44</v>
      </c>
      <c r="M660" t="s">
        <v>16</v>
      </c>
      <c r="N660" t="s">
        <v>45</v>
      </c>
    </row>
    <row r="661" spans="1:14" hidden="1" x14ac:dyDescent="0.35">
      <c r="A661" t="s">
        <v>214</v>
      </c>
      <c r="B661" t="s">
        <v>66</v>
      </c>
      <c r="C661">
        <v>3</v>
      </c>
      <c r="D661">
        <v>5</v>
      </c>
      <c r="E661" s="1">
        <v>600</v>
      </c>
      <c r="F661" s="3">
        <v>1100000</v>
      </c>
      <c r="G661" s="2">
        <f t="shared" si="20"/>
        <v>1833.3333333333333</v>
      </c>
      <c r="H661" s="2">
        <f t="shared" si="21"/>
        <v>1100000</v>
      </c>
      <c r="I661" t="s">
        <v>215</v>
      </c>
      <c r="J661" t="s">
        <v>97</v>
      </c>
      <c r="K661" t="s">
        <v>2217</v>
      </c>
      <c r="L661" t="s">
        <v>98</v>
      </c>
      <c r="M661" t="s">
        <v>16</v>
      </c>
      <c r="N661" t="s">
        <v>2242</v>
      </c>
    </row>
    <row r="662" spans="1:14" hidden="1" x14ac:dyDescent="0.35">
      <c r="A662" t="s">
        <v>246</v>
      </c>
      <c r="B662" t="s">
        <v>12</v>
      </c>
      <c r="C662">
        <v>3</v>
      </c>
      <c r="D662">
        <v>1</v>
      </c>
      <c r="E662" s="1">
        <v>187</v>
      </c>
      <c r="F662" s="3">
        <v>1100000</v>
      </c>
      <c r="G662" s="2">
        <f t="shared" si="20"/>
        <v>5882.3529411764703</v>
      </c>
      <c r="H662" s="2">
        <f t="shared" si="21"/>
        <v>1100000</v>
      </c>
      <c r="I662" t="s">
        <v>2208</v>
      </c>
      <c r="J662" t="s">
        <v>169</v>
      </c>
      <c r="K662" t="s">
        <v>2217</v>
      </c>
      <c r="L662" t="s">
        <v>170</v>
      </c>
      <c r="M662" t="s">
        <v>16</v>
      </c>
      <c r="N662" t="s">
        <v>171</v>
      </c>
    </row>
    <row r="663" spans="1:14" hidden="1" x14ac:dyDescent="0.35">
      <c r="A663" t="s">
        <v>393</v>
      </c>
      <c r="B663" t="s">
        <v>12</v>
      </c>
      <c r="C663">
        <v>3</v>
      </c>
      <c r="D663">
        <v>3</v>
      </c>
      <c r="E663" s="1">
        <v>194</v>
      </c>
      <c r="F663" s="3">
        <v>1100000</v>
      </c>
      <c r="G663" s="2">
        <f t="shared" si="20"/>
        <v>5670.1030927835054</v>
      </c>
      <c r="H663" s="2">
        <f t="shared" si="21"/>
        <v>1100000</v>
      </c>
      <c r="I663" t="s">
        <v>394</v>
      </c>
      <c r="J663" t="s">
        <v>35</v>
      </c>
      <c r="K663" t="s">
        <v>2217</v>
      </c>
      <c r="L663" t="s">
        <v>36</v>
      </c>
      <c r="M663" t="s">
        <v>16</v>
      </c>
      <c r="N663" t="s">
        <v>392</v>
      </c>
    </row>
    <row r="664" spans="1:14" hidden="1" x14ac:dyDescent="0.35">
      <c r="A664" t="s">
        <v>1324</v>
      </c>
      <c r="B664" t="s">
        <v>12</v>
      </c>
      <c r="C664">
        <v>3</v>
      </c>
      <c r="D664">
        <v>3</v>
      </c>
      <c r="E664" s="1">
        <v>141</v>
      </c>
      <c r="F664" s="3">
        <v>1100000</v>
      </c>
      <c r="G664" s="2">
        <f t="shared" si="20"/>
        <v>7801.4184397163117</v>
      </c>
      <c r="H664" s="2">
        <f t="shared" si="21"/>
        <v>1100000</v>
      </c>
      <c r="I664" t="s">
        <v>76</v>
      </c>
      <c r="J664" t="s">
        <v>28</v>
      </c>
      <c r="K664" t="s">
        <v>2217</v>
      </c>
      <c r="L664" t="s">
        <v>29</v>
      </c>
      <c r="M664" t="s">
        <v>16</v>
      </c>
      <c r="N664" t="s">
        <v>77</v>
      </c>
    </row>
    <row r="665" spans="1:14" hidden="1" x14ac:dyDescent="0.35">
      <c r="A665" t="s">
        <v>1396</v>
      </c>
      <c r="B665" t="s">
        <v>12</v>
      </c>
      <c r="C665">
        <v>3</v>
      </c>
      <c r="D665">
        <v>3</v>
      </c>
      <c r="E665" s="1">
        <v>153</v>
      </c>
      <c r="F665" s="3">
        <v>1100000</v>
      </c>
      <c r="G665" s="2">
        <f t="shared" si="20"/>
        <v>7189.5424836601305</v>
      </c>
      <c r="H665" s="2">
        <f t="shared" si="21"/>
        <v>1100000</v>
      </c>
      <c r="I665" t="s">
        <v>1397</v>
      </c>
      <c r="J665" t="s">
        <v>125</v>
      </c>
      <c r="K665" t="s">
        <v>2217</v>
      </c>
      <c r="L665" t="s">
        <v>126</v>
      </c>
      <c r="M665" t="s">
        <v>16</v>
      </c>
      <c r="N665" t="s">
        <v>77</v>
      </c>
    </row>
    <row r="666" spans="1:14" hidden="1" x14ac:dyDescent="0.35">
      <c r="A666" t="s">
        <v>1399</v>
      </c>
      <c r="B666" t="s">
        <v>12</v>
      </c>
      <c r="C666">
        <v>2</v>
      </c>
      <c r="D666">
        <v>2</v>
      </c>
      <c r="E666" s="1">
        <v>86</v>
      </c>
      <c r="F666" s="3">
        <v>1100000</v>
      </c>
      <c r="G666" s="2">
        <f t="shared" si="20"/>
        <v>12790.697674418605</v>
      </c>
      <c r="H666" s="2">
        <f t="shared" si="21"/>
        <v>1100000</v>
      </c>
      <c r="I666" t="s">
        <v>343</v>
      </c>
      <c r="J666" t="s">
        <v>40</v>
      </c>
      <c r="K666" t="s">
        <v>2217</v>
      </c>
      <c r="L666" t="s">
        <v>41</v>
      </c>
      <c r="M666" t="s">
        <v>16</v>
      </c>
      <c r="N666" t="s">
        <v>2242</v>
      </c>
    </row>
    <row r="667" spans="1:14" x14ac:dyDescent="0.35">
      <c r="A667" t="s">
        <v>1475</v>
      </c>
      <c r="B667" t="s">
        <v>18</v>
      </c>
      <c r="C667">
        <v>7</v>
      </c>
      <c r="D667">
        <v>5</v>
      </c>
      <c r="E667" s="1">
        <v>302</v>
      </c>
      <c r="F667" s="3">
        <v>1100000</v>
      </c>
      <c r="G667" s="2">
        <f t="shared" si="20"/>
        <v>3642.3841059602651</v>
      </c>
      <c r="H667" s="2">
        <f t="shared" si="21"/>
        <v>1100000</v>
      </c>
      <c r="I667" t="s">
        <v>1476</v>
      </c>
      <c r="J667" t="s">
        <v>80</v>
      </c>
      <c r="K667" t="s">
        <v>2215</v>
      </c>
      <c r="L667" t="s">
        <v>81</v>
      </c>
      <c r="M667" t="s">
        <v>16</v>
      </c>
      <c r="N667" t="s">
        <v>948</v>
      </c>
    </row>
    <row r="668" spans="1:14" x14ac:dyDescent="0.35">
      <c r="A668" t="s">
        <v>1550</v>
      </c>
      <c r="B668" t="s">
        <v>18</v>
      </c>
      <c r="C668">
        <v>7</v>
      </c>
      <c r="D668">
        <v>5</v>
      </c>
      <c r="E668" s="1">
        <v>200</v>
      </c>
      <c r="F668" s="3">
        <v>1100000</v>
      </c>
      <c r="G668" s="2">
        <f t="shared" si="20"/>
        <v>5500</v>
      </c>
      <c r="H668" s="2">
        <f t="shared" si="21"/>
        <v>1100000</v>
      </c>
      <c r="I668" t="s">
        <v>1551</v>
      </c>
      <c r="J668" t="s">
        <v>430</v>
      </c>
      <c r="K668" t="s">
        <v>2215</v>
      </c>
      <c r="L668" t="s">
        <v>431</v>
      </c>
      <c r="M668" t="s">
        <v>16</v>
      </c>
      <c r="N668" t="s">
        <v>948</v>
      </c>
    </row>
    <row r="669" spans="1:14" hidden="1" x14ac:dyDescent="0.35">
      <c r="A669" t="s">
        <v>1672</v>
      </c>
      <c r="B669" t="s">
        <v>12</v>
      </c>
      <c r="C669">
        <v>4</v>
      </c>
      <c r="D669">
        <v>5</v>
      </c>
      <c r="E669" s="1">
        <v>185</v>
      </c>
      <c r="F669" s="3">
        <v>1100000</v>
      </c>
      <c r="G669" s="2">
        <f t="shared" si="20"/>
        <v>5945.9459459459458</v>
      </c>
      <c r="H669" s="2">
        <f t="shared" si="21"/>
        <v>1100000</v>
      </c>
      <c r="I669" t="s">
        <v>469</v>
      </c>
      <c r="J669" t="s">
        <v>97</v>
      </c>
      <c r="K669" t="s">
        <v>2217</v>
      </c>
      <c r="L669" t="s">
        <v>98</v>
      </c>
      <c r="M669" t="s">
        <v>16</v>
      </c>
      <c r="N669" t="s">
        <v>407</v>
      </c>
    </row>
    <row r="670" spans="1:14" hidden="1" x14ac:dyDescent="0.35">
      <c r="A670" t="s">
        <v>1675</v>
      </c>
      <c r="B670" t="s">
        <v>12</v>
      </c>
      <c r="C670">
        <v>6</v>
      </c>
      <c r="D670">
        <v>6</v>
      </c>
      <c r="E670" s="1">
        <v>168</v>
      </c>
      <c r="F670" s="3">
        <v>1100000</v>
      </c>
      <c r="G670" s="2">
        <f t="shared" si="20"/>
        <v>6547.6190476190477</v>
      </c>
      <c r="H670" s="2">
        <f t="shared" si="21"/>
        <v>1100000</v>
      </c>
      <c r="I670" t="s">
        <v>1160</v>
      </c>
      <c r="J670" t="s">
        <v>405</v>
      </c>
      <c r="K670" t="s">
        <v>2217</v>
      </c>
      <c r="L670" t="s">
        <v>406</v>
      </c>
      <c r="M670" t="s">
        <v>16</v>
      </c>
      <c r="N670" t="s">
        <v>407</v>
      </c>
    </row>
    <row r="671" spans="1:14" hidden="1" x14ac:dyDescent="0.35">
      <c r="A671" t="s">
        <v>1914</v>
      </c>
      <c r="B671" t="s">
        <v>12</v>
      </c>
      <c r="C671">
        <v>3</v>
      </c>
      <c r="D671">
        <v>3</v>
      </c>
      <c r="E671" s="1">
        <v>153</v>
      </c>
      <c r="F671" s="3">
        <v>1100000</v>
      </c>
      <c r="G671" s="2">
        <f t="shared" si="20"/>
        <v>7189.5424836601305</v>
      </c>
      <c r="H671" s="2">
        <f t="shared" si="21"/>
        <v>1100000</v>
      </c>
      <c r="I671" t="s">
        <v>1397</v>
      </c>
      <c r="J671" t="s">
        <v>125</v>
      </c>
      <c r="K671" t="s">
        <v>2217</v>
      </c>
      <c r="L671" t="s">
        <v>126</v>
      </c>
      <c r="M671" t="s">
        <v>16</v>
      </c>
      <c r="N671" t="s">
        <v>77</v>
      </c>
    </row>
    <row r="672" spans="1:14" hidden="1" x14ac:dyDescent="0.35">
      <c r="A672" t="s">
        <v>1920</v>
      </c>
      <c r="B672" t="s">
        <v>66</v>
      </c>
      <c r="C672">
        <v>3</v>
      </c>
      <c r="D672">
        <v>2</v>
      </c>
      <c r="E672" s="1">
        <v>97</v>
      </c>
      <c r="F672" s="3">
        <v>1100000</v>
      </c>
      <c r="G672" s="2">
        <f t="shared" si="20"/>
        <v>11340.206185567011</v>
      </c>
      <c r="H672" s="2">
        <f t="shared" si="21"/>
        <v>1100000</v>
      </c>
      <c r="I672" t="s">
        <v>1921</v>
      </c>
      <c r="J672" t="s">
        <v>1922</v>
      </c>
      <c r="K672" t="s">
        <v>2216</v>
      </c>
      <c r="L672" t="s">
        <v>1923</v>
      </c>
      <c r="M672" t="s">
        <v>16</v>
      </c>
      <c r="N672" t="s">
        <v>1861</v>
      </c>
    </row>
    <row r="673" spans="1:14" x14ac:dyDescent="0.35">
      <c r="A673" t="s">
        <v>1952</v>
      </c>
      <c r="B673" t="s">
        <v>18</v>
      </c>
      <c r="C673">
        <v>7</v>
      </c>
      <c r="D673">
        <v>6</v>
      </c>
      <c r="E673" s="1">
        <v>302</v>
      </c>
      <c r="F673" s="3">
        <v>1100000</v>
      </c>
      <c r="G673" s="2">
        <f t="shared" si="20"/>
        <v>3642.3841059602651</v>
      </c>
      <c r="H673" s="2">
        <f t="shared" si="21"/>
        <v>1100000</v>
      </c>
      <c r="I673" t="s">
        <v>1953</v>
      </c>
      <c r="J673" t="s">
        <v>80</v>
      </c>
      <c r="K673" t="s">
        <v>2215</v>
      </c>
      <c r="L673" t="s">
        <v>81</v>
      </c>
      <c r="M673" t="s">
        <v>16</v>
      </c>
      <c r="N673" t="s">
        <v>948</v>
      </c>
    </row>
    <row r="674" spans="1:14" x14ac:dyDescent="0.35">
      <c r="A674" t="s">
        <v>1956</v>
      </c>
      <c r="B674" t="s">
        <v>18</v>
      </c>
      <c r="C674">
        <v>7</v>
      </c>
      <c r="D674">
        <v>5</v>
      </c>
      <c r="E674" s="1">
        <v>200</v>
      </c>
      <c r="F674" s="3">
        <v>1100000</v>
      </c>
      <c r="G674" s="2">
        <f t="shared" si="20"/>
        <v>5500</v>
      </c>
      <c r="H674" s="2">
        <f t="shared" si="21"/>
        <v>1100000</v>
      </c>
      <c r="I674" t="s">
        <v>1957</v>
      </c>
      <c r="J674" t="s">
        <v>430</v>
      </c>
      <c r="K674" t="s">
        <v>2215</v>
      </c>
      <c r="L674" t="s">
        <v>431</v>
      </c>
      <c r="M674" t="s">
        <v>16</v>
      </c>
      <c r="N674" t="s">
        <v>948</v>
      </c>
    </row>
    <row r="675" spans="1:14" x14ac:dyDescent="0.35">
      <c r="A675" t="s">
        <v>1967</v>
      </c>
      <c r="B675" t="s">
        <v>18</v>
      </c>
      <c r="C675">
        <v>11</v>
      </c>
      <c r="D675">
        <v>7</v>
      </c>
      <c r="E675" s="1">
        <v>250</v>
      </c>
      <c r="F675" s="3">
        <v>1100000</v>
      </c>
      <c r="G675" s="2">
        <f t="shared" si="20"/>
        <v>4400</v>
      </c>
      <c r="H675" s="2">
        <f t="shared" si="21"/>
        <v>1100000</v>
      </c>
      <c r="I675" t="s">
        <v>1968</v>
      </c>
      <c r="J675" t="s">
        <v>430</v>
      </c>
      <c r="K675" t="s">
        <v>2215</v>
      </c>
      <c r="L675" t="s">
        <v>431</v>
      </c>
      <c r="M675" t="s">
        <v>16</v>
      </c>
      <c r="N675" t="s">
        <v>1969</v>
      </c>
    </row>
    <row r="676" spans="1:14" x14ac:dyDescent="0.35">
      <c r="A676" t="s">
        <v>2033</v>
      </c>
      <c r="B676" t="s">
        <v>18</v>
      </c>
      <c r="C676">
        <v>7</v>
      </c>
      <c r="D676">
        <v>5</v>
      </c>
      <c r="E676" s="1">
        <v>200</v>
      </c>
      <c r="F676" s="3">
        <v>1100000</v>
      </c>
      <c r="G676" s="2">
        <f t="shared" si="20"/>
        <v>5500</v>
      </c>
      <c r="H676" s="2">
        <f t="shared" si="21"/>
        <v>1100000</v>
      </c>
      <c r="I676" t="s">
        <v>1957</v>
      </c>
      <c r="J676" t="s">
        <v>430</v>
      </c>
      <c r="K676" t="s">
        <v>2215</v>
      </c>
      <c r="L676" t="s">
        <v>431</v>
      </c>
      <c r="M676" t="s">
        <v>16</v>
      </c>
      <c r="N676" t="s">
        <v>948</v>
      </c>
    </row>
    <row r="677" spans="1:14" hidden="1" x14ac:dyDescent="0.35">
      <c r="A677" t="s">
        <v>103</v>
      </c>
      <c r="B677" t="s">
        <v>1033</v>
      </c>
      <c r="C677">
        <v>0</v>
      </c>
      <c r="D677">
        <v>0</v>
      </c>
      <c r="E677" s="1">
        <v>900</v>
      </c>
      <c r="F677" s="3">
        <v>1223</v>
      </c>
      <c r="G677" s="2">
        <f t="shared" si="20"/>
        <v>1223</v>
      </c>
      <c r="H677" s="2">
        <f t="shared" si="21"/>
        <v>1100700</v>
      </c>
      <c r="I677" t="s">
        <v>104</v>
      </c>
      <c r="J677" t="s">
        <v>105</v>
      </c>
      <c r="K677" t="s">
        <v>2215</v>
      </c>
      <c r="L677" t="s">
        <v>106</v>
      </c>
      <c r="M677" t="s">
        <v>16</v>
      </c>
      <c r="N677" t="s">
        <v>2242</v>
      </c>
    </row>
    <row r="678" spans="1:14" hidden="1" x14ac:dyDescent="0.35">
      <c r="A678" t="s">
        <v>815</v>
      </c>
      <c r="B678" t="s">
        <v>66</v>
      </c>
      <c r="C678">
        <v>3</v>
      </c>
      <c r="D678">
        <v>3</v>
      </c>
      <c r="E678" s="1">
        <v>139</v>
      </c>
      <c r="F678" s="3">
        <v>1109000</v>
      </c>
      <c r="G678" s="2">
        <f t="shared" si="20"/>
        <v>7978.4172661870507</v>
      </c>
      <c r="H678" s="2">
        <f t="shared" si="21"/>
        <v>1109000</v>
      </c>
      <c r="I678" t="s">
        <v>816</v>
      </c>
      <c r="J678" t="s">
        <v>173</v>
      </c>
      <c r="K678" t="s">
        <v>2216</v>
      </c>
      <c r="L678" t="s">
        <v>174</v>
      </c>
      <c r="M678" t="s">
        <v>16</v>
      </c>
      <c r="N678" t="s">
        <v>496</v>
      </c>
    </row>
    <row r="679" spans="1:14" hidden="1" x14ac:dyDescent="0.35">
      <c r="A679" t="s">
        <v>997</v>
      </c>
      <c r="B679" t="s">
        <v>66</v>
      </c>
      <c r="C679">
        <v>3</v>
      </c>
      <c r="D679">
        <v>3</v>
      </c>
      <c r="E679" s="1">
        <v>151</v>
      </c>
      <c r="F679" s="3">
        <v>1109000</v>
      </c>
      <c r="G679" s="2">
        <f t="shared" si="20"/>
        <v>7344.3708609271525</v>
      </c>
      <c r="H679" s="2">
        <f t="shared" si="21"/>
        <v>1109000</v>
      </c>
      <c r="I679" t="s">
        <v>547</v>
      </c>
      <c r="J679" t="s">
        <v>173</v>
      </c>
      <c r="K679" t="s">
        <v>2216</v>
      </c>
      <c r="L679" t="s">
        <v>174</v>
      </c>
      <c r="M679" t="s">
        <v>16</v>
      </c>
      <c r="N679" t="s">
        <v>496</v>
      </c>
    </row>
    <row r="680" spans="1:14" hidden="1" x14ac:dyDescent="0.35">
      <c r="A680" t="s">
        <v>1081</v>
      </c>
      <c r="B680" t="s">
        <v>66</v>
      </c>
      <c r="C680">
        <v>3</v>
      </c>
      <c r="D680">
        <v>4</v>
      </c>
      <c r="E680" s="1">
        <v>160</v>
      </c>
      <c r="F680" s="3">
        <v>1119000</v>
      </c>
      <c r="G680" s="2">
        <f t="shared" si="20"/>
        <v>6993.75</v>
      </c>
      <c r="H680" s="2">
        <f t="shared" si="21"/>
        <v>1119000</v>
      </c>
      <c r="I680" t="s">
        <v>501</v>
      </c>
      <c r="J680" t="s">
        <v>494</v>
      </c>
      <c r="K680" t="s">
        <v>2217</v>
      </c>
      <c r="L680" t="s">
        <v>495</v>
      </c>
      <c r="M680" t="s">
        <v>16</v>
      </c>
      <c r="N680" t="s">
        <v>496</v>
      </c>
    </row>
    <row r="681" spans="1:14" hidden="1" x14ac:dyDescent="0.35">
      <c r="A681" t="s">
        <v>869</v>
      </c>
      <c r="B681" t="s">
        <v>1033</v>
      </c>
      <c r="C681">
        <v>0</v>
      </c>
      <c r="D681">
        <v>0</v>
      </c>
      <c r="E681" s="1">
        <v>440</v>
      </c>
      <c r="F681" s="3">
        <v>2550</v>
      </c>
      <c r="G681" s="2">
        <f t="shared" si="20"/>
        <v>2550</v>
      </c>
      <c r="H681" s="2">
        <f t="shared" si="21"/>
        <v>1122000</v>
      </c>
      <c r="I681" t="s">
        <v>870</v>
      </c>
      <c r="J681" t="s">
        <v>871</v>
      </c>
      <c r="K681" t="s">
        <v>2217</v>
      </c>
      <c r="L681" t="s">
        <v>872</v>
      </c>
      <c r="M681" t="s">
        <v>16</v>
      </c>
      <c r="N681" t="s">
        <v>2242</v>
      </c>
    </row>
    <row r="682" spans="1:14" hidden="1" x14ac:dyDescent="0.35">
      <c r="A682" t="s">
        <v>1109</v>
      </c>
      <c r="B682" t="s">
        <v>66</v>
      </c>
      <c r="C682">
        <v>4</v>
      </c>
      <c r="D682">
        <v>4</v>
      </c>
      <c r="E682" s="1">
        <v>61</v>
      </c>
      <c r="F682" s="3">
        <v>1125000</v>
      </c>
      <c r="G682" s="2">
        <f t="shared" si="20"/>
        <v>18442.622950819674</v>
      </c>
      <c r="H682" s="2">
        <f t="shared" si="21"/>
        <v>1125000</v>
      </c>
      <c r="I682" t="s">
        <v>1110</v>
      </c>
      <c r="J682" t="s">
        <v>145</v>
      </c>
      <c r="K682" t="s">
        <v>2216</v>
      </c>
      <c r="L682" t="s">
        <v>146</v>
      </c>
      <c r="M682" t="s">
        <v>16</v>
      </c>
      <c r="N682" t="s">
        <v>2242</v>
      </c>
    </row>
    <row r="683" spans="1:14" hidden="1" x14ac:dyDescent="0.35">
      <c r="A683" t="s">
        <v>1416</v>
      </c>
      <c r="B683" t="s">
        <v>66</v>
      </c>
      <c r="C683">
        <v>3</v>
      </c>
      <c r="D683">
        <v>3</v>
      </c>
      <c r="E683" s="1">
        <v>151</v>
      </c>
      <c r="F683" s="3">
        <v>1129000</v>
      </c>
      <c r="G683" s="2">
        <f t="shared" si="20"/>
        <v>7476.8211920529802</v>
      </c>
      <c r="H683" s="2">
        <f t="shared" si="21"/>
        <v>1129000</v>
      </c>
      <c r="I683" t="s">
        <v>1140</v>
      </c>
      <c r="J683" t="s">
        <v>173</v>
      </c>
      <c r="K683" t="s">
        <v>2216</v>
      </c>
      <c r="L683" t="s">
        <v>174</v>
      </c>
      <c r="M683" t="s">
        <v>16</v>
      </c>
      <c r="N683" t="s">
        <v>2242</v>
      </c>
    </row>
    <row r="684" spans="1:14" hidden="1" x14ac:dyDescent="0.35">
      <c r="A684" t="s">
        <v>546</v>
      </c>
      <c r="B684" t="s">
        <v>66</v>
      </c>
      <c r="C684">
        <v>3</v>
      </c>
      <c r="D684">
        <v>3</v>
      </c>
      <c r="E684" s="1">
        <v>157</v>
      </c>
      <c r="F684" s="3">
        <v>1139000</v>
      </c>
      <c r="G684" s="2">
        <f t="shared" si="20"/>
        <v>7254.7770700636938</v>
      </c>
      <c r="H684" s="2">
        <f t="shared" si="21"/>
        <v>1139000</v>
      </c>
      <c r="I684" t="s">
        <v>547</v>
      </c>
      <c r="J684" t="s">
        <v>173</v>
      </c>
      <c r="K684" t="s">
        <v>2216</v>
      </c>
      <c r="L684" t="s">
        <v>174</v>
      </c>
      <c r="M684" t="s">
        <v>16</v>
      </c>
      <c r="N684" t="s">
        <v>496</v>
      </c>
    </row>
    <row r="685" spans="1:14" hidden="1" x14ac:dyDescent="0.35">
      <c r="A685" t="s">
        <v>1963</v>
      </c>
      <c r="B685" t="s">
        <v>66</v>
      </c>
      <c r="C685">
        <v>3</v>
      </c>
      <c r="D685">
        <v>3</v>
      </c>
      <c r="E685" s="1">
        <v>135</v>
      </c>
      <c r="F685" s="3">
        <v>1140000</v>
      </c>
      <c r="G685" s="2">
        <f t="shared" si="20"/>
        <v>8444.4444444444453</v>
      </c>
      <c r="H685" s="2">
        <f t="shared" si="21"/>
        <v>1140000</v>
      </c>
      <c r="I685" t="s">
        <v>1964</v>
      </c>
      <c r="J685" t="s">
        <v>145</v>
      </c>
      <c r="K685" t="s">
        <v>2216</v>
      </c>
      <c r="L685" t="s">
        <v>146</v>
      </c>
      <c r="M685" t="s">
        <v>16</v>
      </c>
      <c r="N685" t="s">
        <v>948</v>
      </c>
    </row>
    <row r="686" spans="1:14" hidden="1" x14ac:dyDescent="0.35">
      <c r="A686" t="s">
        <v>1733</v>
      </c>
      <c r="B686" t="s">
        <v>12</v>
      </c>
      <c r="C686">
        <v>5</v>
      </c>
      <c r="D686">
        <v>5</v>
      </c>
      <c r="E686" s="1">
        <v>186</v>
      </c>
      <c r="F686" s="3">
        <v>1145000</v>
      </c>
      <c r="G686" s="2">
        <f t="shared" si="20"/>
        <v>6155.9139784946237</v>
      </c>
      <c r="H686" s="2">
        <f t="shared" si="21"/>
        <v>1145000</v>
      </c>
      <c r="I686" t="s">
        <v>1293</v>
      </c>
      <c r="J686" t="s">
        <v>169</v>
      </c>
      <c r="K686" t="s">
        <v>2217</v>
      </c>
      <c r="L686" t="s">
        <v>170</v>
      </c>
      <c r="M686" t="s">
        <v>16</v>
      </c>
      <c r="N686" t="s">
        <v>392</v>
      </c>
    </row>
    <row r="687" spans="1:14" hidden="1" x14ac:dyDescent="0.35">
      <c r="A687" t="s">
        <v>739</v>
      </c>
      <c r="B687" t="s">
        <v>66</v>
      </c>
      <c r="C687">
        <v>3</v>
      </c>
      <c r="D687">
        <v>3</v>
      </c>
      <c r="E687" s="1">
        <v>127</v>
      </c>
      <c r="F687" s="3">
        <v>1149000</v>
      </c>
      <c r="G687" s="2">
        <f t="shared" si="20"/>
        <v>9047.2440944881891</v>
      </c>
      <c r="H687" s="2">
        <f t="shared" si="21"/>
        <v>1149000</v>
      </c>
      <c r="I687" t="s">
        <v>236</v>
      </c>
      <c r="J687" t="s">
        <v>145</v>
      </c>
      <c r="K687" t="s">
        <v>2216</v>
      </c>
      <c r="L687" t="s">
        <v>146</v>
      </c>
      <c r="M687" t="s">
        <v>16</v>
      </c>
      <c r="N687" t="s">
        <v>2242</v>
      </c>
    </row>
    <row r="688" spans="1:14" hidden="1" x14ac:dyDescent="0.35">
      <c r="A688" t="s">
        <v>2155</v>
      </c>
      <c r="B688" t="s">
        <v>66</v>
      </c>
      <c r="C688">
        <v>3</v>
      </c>
      <c r="D688">
        <v>2</v>
      </c>
      <c r="E688" s="1">
        <v>127</v>
      </c>
      <c r="F688" s="3">
        <v>1149000</v>
      </c>
      <c r="G688" s="2">
        <f t="shared" si="20"/>
        <v>9047.2440944881891</v>
      </c>
      <c r="H688" s="2">
        <f t="shared" si="21"/>
        <v>1149000</v>
      </c>
      <c r="I688" t="s">
        <v>670</v>
      </c>
      <c r="J688" t="s">
        <v>145</v>
      </c>
      <c r="K688" t="s">
        <v>2216</v>
      </c>
      <c r="L688" t="s">
        <v>146</v>
      </c>
      <c r="M688" t="s">
        <v>16</v>
      </c>
      <c r="N688" t="s">
        <v>1074</v>
      </c>
    </row>
    <row r="689" spans="1:14" hidden="1" x14ac:dyDescent="0.35">
      <c r="A689" t="s">
        <v>457</v>
      </c>
      <c r="B689" t="s">
        <v>12</v>
      </c>
      <c r="C689">
        <v>4</v>
      </c>
      <c r="D689">
        <v>5</v>
      </c>
      <c r="E689" s="1">
        <v>222</v>
      </c>
      <c r="F689" s="3">
        <v>1150000</v>
      </c>
      <c r="G689" s="2">
        <f t="shared" si="20"/>
        <v>5180.1801801801803</v>
      </c>
      <c r="H689" s="2">
        <f t="shared" si="21"/>
        <v>1150000</v>
      </c>
      <c r="I689" t="s">
        <v>456</v>
      </c>
      <c r="J689" t="s">
        <v>405</v>
      </c>
      <c r="K689" t="s">
        <v>2217</v>
      </c>
      <c r="L689" t="s">
        <v>406</v>
      </c>
      <c r="M689" t="s">
        <v>16</v>
      </c>
      <c r="N689" t="s">
        <v>407</v>
      </c>
    </row>
    <row r="690" spans="1:14" x14ac:dyDescent="0.35">
      <c r="A690" t="s">
        <v>497</v>
      </c>
      <c r="B690" t="s">
        <v>18</v>
      </c>
      <c r="C690">
        <v>5</v>
      </c>
      <c r="D690">
        <v>4</v>
      </c>
      <c r="E690" s="1">
        <v>319</v>
      </c>
      <c r="F690" s="3">
        <v>1150000</v>
      </c>
      <c r="G690" s="2">
        <f t="shared" si="20"/>
        <v>3605.0156739811914</v>
      </c>
      <c r="H690" s="2">
        <f t="shared" si="21"/>
        <v>1150000</v>
      </c>
      <c r="I690" t="s">
        <v>498</v>
      </c>
      <c r="J690" t="s">
        <v>169</v>
      </c>
      <c r="K690" t="s">
        <v>2217</v>
      </c>
      <c r="L690" t="s">
        <v>170</v>
      </c>
      <c r="M690" t="s">
        <v>16</v>
      </c>
      <c r="N690" t="s">
        <v>499</v>
      </c>
    </row>
    <row r="691" spans="1:14" x14ac:dyDescent="0.35">
      <c r="A691" t="s">
        <v>577</v>
      </c>
      <c r="B691" t="s">
        <v>18</v>
      </c>
      <c r="C691">
        <v>5</v>
      </c>
      <c r="D691">
        <v>4</v>
      </c>
      <c r="E691" s="1">
        <v>360</v>
      </c>
      <c r="F691" s="3">
        <v>1150000</v>
      </c>
      <c r="G691" s="2">
        <f t="shared" si="20"/>
        <v>3194.4444444444443</v>
      </c>
      <c r="H691" s="2">
        <f t="shared" si="21"/>
        <v>1150000</v>
      </c>
      <c r="I691" t="s">
        <v>578</v>
      </c>
      <c r="J691" t="s">
        <v>14</v>
      </c>
      <c r="K691" t="s">
        <v>2215</v>
      </c>
      <c r="L691" t="s">
        <v>15</v>
      </c>
      <c r="M691" t="s">
        <v>16</v>
      </c>
      <c r="N691" t="s">
        <v>2242</v>
      </c>
    </row>
    <row r="692" spans="1:14" x14ac:dyDescent="0.35">
      <c r="A692" t="s">
        <v>944</v>
      </c>
      <c r="B692" t="s">
        <v>18</v>
      </c>
      <c r="C692">
        <v>7</v>
      </c>
      <c r="D692">
        <v>4</v>
      </c>
      <c r="E692" s="1">
        <v>319</v>
      </c>
      <c r="F692" s="3">
        <v>1150000</v>
      </c>
      <c r="G692" s="2">
        <f t="shared" si="20"/>
        <v>3605.0156739811914</v>
      </c>
      <c r="H692" s="2">
        <f t="shared" si="21"/>
        <v>1150000</v>
      </c>
      <c r="I692" t="s">
        <v>945</v>
      </c>
      <c r="J692" t="s">
        <v>169</v>
      </c>
      <c r="K692" t="s">
        <v>2217</v>
      </c>
      <c r="L692" t="s">
        <v>170</v>
      </c>
      <c r="M692" t="s">
        <v>16</v>
      </c>
      <c r="N692" t="s">
        <v>499</v>
      </c>
    </row>
    <row r="693" spans="1:14" hidden="1" x14ac:dyDescent="0.35">
      <c r="A693" t="s">
        <v>1098</v>
      </c>
      <c r="B693" t="s">
        <v>12</v>
      </c>
      <c r="C693">
        <v>5</v>
      </c>
      <c r="D693">
        <v>4</v>
      </c>
      <c r="E693" s="1">
        <v>172</v>
      </c>
      <c r="F693" s="3">
        <v>1150000</v>
      </c>
      <c r="G693" s="2">
        <f t="shared" si="20"/>
        <v>6686.0465116279074</v>
      </c>
      <c r="H693" s="2">
        <f t="shared" si="21"/>
        <v>1150000</v>
      </c>
      <c r="I693" t="s">
        <v>1099</v>
      </c>
      <c r="J693" t="s">
        <v>169</v>
      </c>
      <c r="K693" t="s">
        <v>2217</v>
      </c>
      <c r="L693" t="s">
        <v>170</v>
      </c>
      <c r="M693" t="s">
        <v>16</v>
      </c>
      <c r="N693" t="s">
        <v>624</v>
      </c>
    </row>
    <row r="694" spans="1:14" hidden="1" x14ac:dyDescent="0.35">
      <c r="A694" t="s">
        <v>1121</v>
      </c>
      <c r="B694" t="s">
        <v>12</v>
      </c>
      <c r="C694">
        <v>5</v>
      </c>
      <c r="D694">
        <v>3</v>
      </c>
      <c r="E694" s="1">
        <v>211</v>
      </c>
      <c r="F694" s="3">
        <v>1150000</v>
      </c>
      <c r="G694" s="2">
        <f t="shared" si="20"/>
        <v>5450.2369668246447</v>
      </c>
      <c r="H694" s="2">
        <f t="shared" si="21"/>
        <v>1150000</v>
      </c>
      <c r="I694" t="s">
        <v>1049</v>
      </c>
      <c r="J694" t="s">
        <v>169</v>
      </c>
      <c r="K694" t="s">
        <v>2217</v>
      </c>
      <c r="L694" t="s">
        <v>170</v>
      </c>
      <c r="M694" t="s">
        <v>16</v>
      </c>
      <c r="N694" t="s">
        <v>624</v>
      </c>
    </row>
    <row r="695" spans="1:14" x14ac:dyDescent="0.35">
      <c r="A695" t="s">
        <v>1352</v>
      </c>
      <c r="B695" t="s">
        <v>18</v>
      </c>
      <c r="C695">
        <v>7</v>
      </c>
      <c r="D695">
        <v>9</v>
      </c>
      <c r="E695" s="1">
        <v>303</v>
      </c>
      <c r="F695" s="3">
        <v>1150000</v>
      </c>
      <c r="G695" s="2">
        <f t="shared" si="20"/>
        <v>3795.3795379537955</v>
      </c>
      <c r="H695" s="2">
        <f t="shared" si="21"/>
        <v>1150000</v>
      </c>
      <c r="I695" t="s">
        <v>1353</v>
      </c>
      <c r="J695" t="s">
        <v>14</v>
      </c>
      <c r="K695" t="s">
        <v>2215</v>
      </c>
      <c r="L695" t="s">
        <v>15</v>
      </c>
      <c r="M695" t="s">
        <v>16</v>
      </c>
      <c r="N695" t="s">
        <v>2242</v>
      </c>
    </row>
    <row r="696" spans="1:14" hidden="1" x14ac:dyDescent="0.35">
      <c r="A696" t="s">
        <v>1519</v>
      </c>
      <c r="B696" t="s">
        <v>12</v>
      </c>
      <c r="C696">
        <v>5</v>
      </c>
      <c r="D696">
        <v>4</v>
      </c>
      <c r="E696" s="1">
        <v>172</v>
      </c>
      <c r="F696" s="3">
        <v>1150000</v>
      </c>
      <c r="G696" s="2">
        <f t="shared" si="20"/>
        <v>6686.0465116279074</v>
      </c>
      <c r="H696" s="2">
        <f t="shared" si="21"/>
        <v>1150000</v>
      </c>
      <c r="I696" t="s">
        <v>1293</v>
      </c>
      <c r="J696" t="s">
        <v>169</v>
      </c>
      <c r="K696" t="s">
        <v>2217</v>
      </c>
      <c r="L696" t="s">
        <v>170</v>
      </c>
      <c r="M696" t="s">
        <v>16</v>
      </c>
      <c r="N696" t="s">
        <v>624</v>
      </c>
    </row>
    <row r="697" spans="1:14" hidden="1" x14ac:dyDescent="0.35">
      <c r="A697" t="s">
        <v>1666</v>
      </c>
      <c r="B697" t="s">
        <v>12</v>
      </c>
      <c r="C697">
        <v>4</v>
      </c>
      <c r="D697">
        <v>4</v>
      </c>
      <c r="E697" s="1">
        <v>303</v>
      </c>
      <c r="F697" s="3">
        <v>1150000</v>
      </c>
      <c r="G697" s="2">
        <f t="shared" si="20"/>
        <v>3795.3795379537955</v>
      </c>
      <c r="H697" s="2">
        <f t="shared" si="21"/>
        <v>1150000</v>
      </c>
      <c r="I697" t="s">
        <v>975</v>
      </c>
      <c r="J697" t="s">
        <v>405</v>
      </c>
      <c r="K697" t="s">
        <v>2217</v>
      </c>
      <c r="L697" t="s">
        <v>406</v>
      </c>
      <c r="M697" t="s">
        <v>16</v>
      </c>
      <c r="N697" t="s">
        <v>407</v>
      </c>
    </row>
    <row r="698" spans="1:14" hidden="1" x14ac:dyDescent="0.35">
      <c r="A698" t="s">
        <v>1881</v>
      </c>
      <c r="B698" t="s">
        <v>12</v>
      </c>
      <c r="C698">
        <v>4</v>
      </c>
      <c r="D698">
        <v>4</v>
      </c>
      <c r="E698" s="1">
        <v>292</v>
      </c>
      <c r="F698" s="3">
        <v>1150000</v>
      </c>
      <c r="G698" s="2">
        <f t="shared" si="20"/>
        <v>3938.3561643835615</v>
      </c>
      <c r="H698" s="2">
        <f t="shared" si="21"/>
        <v>1150000</v>
      </c>
      <c r="I698" t="s">
        <v>1160</v>
      </c>
      <c r="J698" t="s">
        <v>405</v>
      </c>
      <c r="K698" t="s">
        <v>2217</v>
      </c>
      <c r="L698" t="s">
        <v>406</v>
      </c>
      <c r="M698" t="s">
        <v>16</v>
      </c>
      <c r="N698" t="s">
        <v>407</v>
      </c>
    </row>
    <row r="699" spans="1:14" hidden="1" x14ac:dyDescent="0.35">
      <c r="A699" t="s">
        <v>1882</v>
      </c>
      <c r="B699" t="s">
        <v>12</v>
      </c>
      <c r="C699">
        <v>4</v>
      </c>
      <c r="D699">
        <v>4</v>
      </c>
      <c r="E699" s="1">
        <v>285</v>
      </c>
      <c r="F699" s="3">
        <v>1150000</v>
      </c>
      <c r="G699" s="2">
        <f t="shared" si="20"/>
        <v>4035.0877192982457</v>
      </c>
      <c r="H699" s="2">
        <f t="shared" si="21"/>
        <v>1150000</v>
      </c>
      <c r="I699" t="s">
        <v>2234</v>
      </c>
      <c r="J699" t="s">
        <v>405</v>
      </c>
      <c r="K699" t="s">
        <v>2217</v>
      </c>
      <c r="L699" t="s">
        <v>406</v>
      </c>
      <c r="M699" t="s">
        <v>16</v>
      </c>
      <c r="N699" t="s">
        <v>407</v>
      </c>
    </row>
    <row r="700" spans="1:14" x14ac:dyDescent="0.35">
      <c r="A700" t="s">
        <v>1962</v>
      </c>
      <c r="B700" t="s">
        <v>18</v>
      </c>
      <c r="C700">
        <v>7</v>
      </c>
      <c r="D700">
        <v>5</v>
      </c>
      <c r="E700" s="1">
        <v>200</v>
      </c>
      <c r="F700" s="3">
        <v>1150000</v>
      </c>
      <c r="G700" s="2">
        <f t="shared" si="20"/>
        <v>5750</v>
      </c>
      <c r="H700" s="2">
        <f t="shared" si="21"/>
        <v>1150000</v>
      </c>
      <c r="I700" t="s">
        <v>391</v>
      </c>
      <c r="J700" t="s">
        <v>141</v>
      </c>
      <c r="K700" t="s">
        <v>2215</v>
      </c>
      <c r="L700" t="s">
        <v>142</v>
      </c>
      <c r="M700" t="s">
        <v>16</v>
      </c>
      <c r="N700" t="s">
        <v>948</v>
      </c>
    </row>
    <row r="701" spans="1:14" hidden="1" x14ac:dyDescent="0.35">
      <c r="A701" t="s">
        <v>2145</v>
      </c>
      <c r="B701" t="s">
        <v>12</v>
      </c>
      <c r="C701">
        <v>3</v>
      </c>
      <c r="D701">
        <v>4</v>
      </c>
      <c r="E701" s="1">
        <v>203</v>
      </c>
      <c r="F701" s="3">
        <v>1150000</v>
      </c>
      <c r="G701" s="2">
        <f t="shared" si="20"/>
        <v>5665.0246305418723</v>
      </c>
      <c r="H701" s="2">
        <f t="shared" si="21"/>
        <v>1150000</v>
      </c>
      <c r="I701" t="s">
        <v>2146</v>
      </c>
      <c r="J701" t="s">
        <v>169</v>
      </c>
      <c r="K701" t="s">
        <v>2217</v>
      </c>
      <c r="L701" t="s">
        <v>170</v>
      </c>
      <c r="M701" t="s">
        <v>16</v>
      </c>
      <c r="N701" t="s">
        <v>407</v>
      </c>
    </row>
    <row r="702" spans="1:14" hidden="1" x14ac:dyDescent="0.35">
      <c r="A702" t="s">
        <v>175</v>
      </c>
      <c r="B702" t="s">
        <v>66</v>
      </c>
      <c r="C702">
        <v>4</v>
      </c>
      <c r="D702">
        <v>3</v>
      </c>
      <c r="E702" s="1">
        <v>144</v>
      </c>
      <c r="F702" s="3">
        <v>1160000</v>
      </c>
      <c r="G702" s="2">
        <f t="shared" si="20"/>
        <v>8055.5555555555557</v>
      </c>
      <c r="H702" s="2">
        <f t="shared" si="21"/>
        <v>1160000</v>
      </c>
      <c r="I702" t="s">
        <v>176</v>
      </c>
      <c r="J702" t="s">
        <v>173</v>
      </c>
      <c r="K702" t="s">
        <v>2216</v>
      </c>
      <c r="L702" t="s">
        <v>174</v>
      </c>
      <c r="M702" t="s">
        <v>16</v>
      </c>
      <c r="N702" t="s">
        <v>171</v>
      </c>
    </row>
    <row r="703" spans="1:14" hidden="1" x14ac:dyDescent="0.35">
      <c r="A703" t="s">
        <v>350</v>
      </c>
      <c r="B703" t="s">
        <v>66</v>
      </c>
      <c r="C703">
        <v>2</v>
      </c>
      <c r="D703">
        <v>2</v>
      </c>
      <c r="E703" s="1">
        <v>144</v>
      </c>
      <c r="F703" s="3">
        <v>1160000</v>
      </c>
      <c r="G703" s="2">
        <f t="shared" si="20"/>
        <v>8055.5555555555557</v>
      </c>
      <c r="H703" s="2">
        <f t="shared" si="21"/>
        <v>1160000</v>
      </c>
      <c r="I703" t="s">
        <v>351</v>
      </c>
      <c r="J703" t="s">
        <v>173</v>
      </c>
      <c r="K703" t="s">
        <v>2216</v>
      </c>
      <c r="L703" t="s">
        <v>174</v>
      </c>
      <c r="M703" t="s">
        <v>16</v>
      </c>
      <c r="N703" t="s">
        <v>171</v>
      </c>
    </row>
    <row r="704" spans="1:14" hidden="1" x14ac:dyDescent="0.35">
      <c r="A704" t="s">
        <v>468</v>
      </c>
      <c r="B704" t="s">
        <v>12</v>
      </c>
      <c r="C704">
        <v>6</v>
      </c>
      <c r="D704">
        <v>2</v>
      </c>
      <c r="E704" s="1">
        <v>300</v>
      </c>
      <c r="F704" s="3">
        <v>1160000</v>
      </c>
      <c r="G704" s="2">
        <f t="shared" si="20"/>
        <v>3866.6666666666665</v>
      </c>
      <c r="H704" s="2">
        <f t="shared" si="21"/>
        <v>1160000</v>
      </c>
      <c r="I704" t="s">
        <v>469</v>
      </c>
      <c r="J704" t="s">
        <v>97</v>
      </c>
      <c r="K704" t="s">
        <v>2217</v>
      </c>
      <c r="L704" t="s">
        <v>98</v>
      </c>
      <c r="M704" t="s">
        <v>16</v>
      </c>
      <c r="N704" t="s">
        <v>230</v>
      </c>
    </row>
    <row r="705" spans="1:14" hidden="1" x14ac:dyDescent="0.35">
      <c r="A705" t="s">
        <v>1991</v>
      </c>
      <c r="B705" t="s">
        <v>12</v>
      </c>
      <c r="C705">
        <v>5</v>
      </c>
      <c r="D705">
        <v>3</v>
      </c>
      <c r="E705" s="1">
        <v>375</v>
      </c>
      <c r="F705" s="3">
        <v>1160000</v>
      </c>
      <c r="G705" s="2">
        <f t="shared" si="20"/>
        <v>3093.3333333333335</v>
      </c>
      <c r="H705" s="2">
        <f t="shared" si="21"/>
        <v>1160000</v>
      </c>
      <c r="I705" t="s">
        <v>1992</v>
      </c>
      <c r="J705" t="s">
        <v>570</v>
      </c>
      <c r="K705" t="s">
        <v>2217</v>
      </c>
      <c r="L705" t="s">
        <v>571</v>
      </c>
      <c r="M705" t="s">
        <v>16</v>
      </c>
      <c r="N705" t="s">
        <v>624</v>
      </c>
    </row>
    <row r="706" spans="1:14" hidden="1" x14ac:dyDescent="0.35">
      <c r="A706" t="s">
        <v>1993</v>
      </c>
      <c r="B706" t="s">
        <v>12</v>
      </c>
      <c r="C706">
        <v>5</v>
      </c>
      <c r="D706">
        <v>3</v>
      </c>
      <c r="E706" s="1">
        <v>375</v>
      </c>
      <c r="F706" s="3">
        <v>1160000</v>
      </c>
      <c r="G706" s="2">
        <f t="shared" si="20"/>
        <v>3093.3333333333335</v>
      </c>
      <c r="H706" s="2">
        <f t="shared" si="21"/>
        <v>1160000</v>
      </c>
      <c r="I706" t="s">
        <v>1992</v>
      </c>
      <c r="J706" t="s">
        <v>570</v>
      </c>
      <c r="K706" t="s">
        <v>2217</v>
      </c>
      <c r="L706" t="s">
        <v>571</v>
      </c>
      <c r="M706" t="s">
        <v>16</v>
      </c>
      <c r="N706" t="s">
        <v>624</v>
      </c>
    </row>
    <row r="707" spans="1:14" hidden="1" x14ac:dyDescent="0.35">
      <c r="A707" t="s">
        <v>1994</v>
      </c>
      <c r="B707" t="s">
        <v>12</v>
      </c>
      <c r="C707">
        <v>5</v>
      </c>
      <c r="D707">
        <v>3</v>
      </c>
      <c r="E707" s="1">
        <v>375</v>
      </c>
      <c r="F707" s="3">
        <v>1160000</v>
      </c>
      <c r="G707" s="2">
        <f t="shared" si="20"/>
        <v>3093.3333333333335</v>
      </c>
      <c r="H707" s="2">
        <f t="shared" si="21"/>
        <v>1160000</v>
      </c>
      <c r="I707" t="s">
        <v>1992</v>
      </c>
      <c r="J707" t="s">
        <v>570</v>
      </c>
      <c r="K707" t="s">
        <v>2217</v>
      </c>
      <c r="L707" t="s">
        <v>571</v>
      </c>
      <c r="M707" t="s">
        <v>16</v>
      </c>
      <c r="N707" t="s">
        <v>624</v>
      </c>
    </row>
    <row r="708" spans="1:14" hidden="1" x14ac:dyDescent="0.35">
      <c r="A708" t="s">
        <v>1993</v>
      </c>
      <c r="B708" t="s">
        <v>12</v>
      </c>
      <c r="C708">
        <v>5</v>
      </c>
      <c r="D708">
        <v>3</v>
      </c>
      <c r="E708" s="1">
        <v>375</v>
      </c>
      <c r="F708" s="3">
        <v>1160000</v>
      </c>
      <c r="G708" s="2">
        <f t="shared" si="20"/>
        <v>3093.3333333333335</v>
      </c>
      <c r="H708" s="2">
        <f t="shared" si="21"/>
        <v>1160000</v>
      </c>
      <c r="I708" t="s">
        <v>1992</v>
      </c>
      <c r="J708" t="s">
        <v>570</v>
      </c>
      <c r="K708" t="s">
        <v>2217</v>
      </c>
      <c r="L708" t="s">
        <v>571</v>
      </c>
      <c r="M708" t="s">
        <v>16</v>
      </c>
      <c r="N708" t="s">
        <v>624</v>
      </c>
    </row>
    <row r="709" spans="1:14" hidden="1" x14ac:dyDescent="0.35">
      <c r="A709" t="s">
        <v>1993</v>
      </c>
      <c r="B709" t="s">
        <v>12</v>
      </c>
      <c r="C709">
        <v>5</v>
      </c>
      <c r="D709">
        <v>3</v>
      </c>
      <c r="E709" s="1">
        <v>375</v>
      </c>
      <c r="F709" s="3">
        <v>1160000</v>
      </c>
      <c r="G709" s="2">
        <f t="shared" ref="G709:G772" si="22">IF(F709&lt;50000,F709,F709/E709)</f>
        <v>3093.3333333333335</v>
      </c>
      <c r="H709" s="2">
        <f t="shared" ref="H709:H772" si="23">IF(F709&lt;50000,E709*F709,F709)</f>
        <v>1160000</v>
      </c>
      <c r="I709" t="s">
        <v>1992</v>
      </c>
      <c r="J709" t="s">
        <v>570</v>
      </c>
      <c r="K709" t="s">
        <v>2217</v>
      </c>
      <c r="L709" t="s">
        <v>571</v>
      </c>
      <c r="M709" t="s">
        <v>16</v>
      </c>
      <c r="N709" t="s">
        <v>624</v>
      </c>
    </row>
    <row r="710" spans="1:14" hidden="1" x14ac:dyDescent="0.35">
      <c r="A710" t="s">
        <v>904</v>
      </c>
      <c r="B710" t="s">
        <v>66</v>
      </c>
      <c r="C710">
        <v>3</v>
      </c>
      <c r="D710">
        <v>3</v>
      </c>
      <c r="E710" s="1">
        <v>157</v>
      </c>
      <c r="F710" s="3">
        <v>1199000</v>
      </c>
      <c r="G710" s="2">
        <f t="shared" si="22"/>
        <v>7636.9426751592355</v>
      </c>
      <c r="H710" s="2">
        <f t="shared" si="23"/>
        <v>1199000</v>
      </c>
      <c r="I710" t="s">
        <v>547</v>
      </c>
      <c r="J710" t="s">
        <v>173</v>
      </c>
      <c r="K710" t="s">
        <v>2216</v>
      </c>
      <c r="L710" t="s">
        <v>174</v>
      </c>
      <c r="M710" t="s">
        <v>16</v>
      </c>
      <c r="N710" t="s">
        <v>496</v>
      </c>
    </row>
    <row r="711" spans="1:14" hidden="1" x14ac:dyDescent="0.35">
      <c r="A711" t="s">
        <v>2014</v>
      </c>
      <c r="B711" t="s">
        <v>66</v>
      </c>
      <c r="C711">
        <v>4</v>
      </c>
      <c r="D711">
        <v>4</v>
      </c>
      <c r="E711" s="1">
        <v>199</v>
      </c>
      <c r="F711" s="3">
        <v>1199000</v>
      </c>
      <c r="G711" s="2">
        <f t="shared" si="22"/>
        <v>6025.1256281407032</v>
      </c>
      <c r="H711" s="2">
        <f t="shared" si="23"/>
        <v>1199000</v>
      </c>
      <c r="I711" t="s">
        <v>763</v>
      </c>
      <c r="J711" t="s">
        <v>405</v>
      </c>
      <c r="K711" t="s">
        <v>2217</v>
      </c>
      <c r="L711" t="s">
        <v>406</v>
      </c>
      <c r="M711" t="s">
        <v>16</v>
      </c>
      <c r="N711" t="s">
        <v>2242</v>
      </c>
    </row>
    <row r="712" spans="1:14" hidden="1" x14ac:dyDescent="0.35">
      <c r="A712" t="s">
        <v>26</v>
      </c>
      <c r="B712" t="s">
        <v>12</v>
      </c>
      <c r="C712">
        <v>6</v>
      </c>
      <c r="D712">
        <v>5</v>
      </c>
      <c r="E712" s="1">
        <v>185</v>
      </c>
      <c r="F712" s="3">
        <v>1200000</v>
      </c>
      <c r="G712" s="2">
        <f t="shared" si="22"/>
        <v>6486.4864864864867</v>
      </c>
      <c r="H712" s="2">
        <f t="shared" si="23"/>
        <v>1200000</v>
      </c>
      <c r="I712" t="s">
        <v>27</v>
      </c>
      <c r="J712" t="s">
        <v>28</v>
      </c>
      <c r="K712" t="s">
        <v>2217</v>
      </c>
      <c r="L712" t="s">
        <v>29</v>
      </c>
      <c r="M712" t="s">
        <v>16</v>
      </c>
      <c r="N712" t="s">
        <v>2242</v>
      </c>
    </row>
    <row r="713" spans="1:14" hidden="1" x14ac:dyDescent="0.35">
      <c r="A713" t="s">
        <v>327</v>
      </c>
      <c r="B713" t="s">
        <v>66</v>
      </c>
      <c r="C713">
        <v>3</v>
      </c>
      <c r="D713">
        <v>4</v>
      </c>
      <c r="E713" s="1">
        <v>1155</v>
      </c>
      <c r="F713" s="3">
        <v>1200000</v>
      </c>
      <c r="G713" s="2">
        <f t="shared" si="22"/>
        <v>1038.9610389610389</v>
      </c>
      <c r="H713" s="2">
        <f t="shared" si="23"/>
        <v>1200000</v>
      </c>
      <c r="I713" t="s">
        <v>328</v>
      </c>
      <c r="J713" t="s">
        <v>145</v>
      </c>
      <c r="K713" t="s">
        <v>2216</v>
      </c>
      <c r="L713" t="s">
        <v>146</v>
      </c>
      <c r="M713" t="s">
        <v>16</v>
      </c>
      <c r="N713" t="s">
        <v>326</v>
      </c>
    </row>
    <row r="714" spans="1:14" hidden="1" x14ac:dyDescent="0.35">
      <c r="A714" t="s">
        <v>445</v>
      </c>
      <c r="B714" t="s">
        <v>66</v>
      </c>
      <c r="C714">
        <v>3</v>
      </c>
      <c r="D714">
        <v>3</v>
      </c>
      <c r="E714" s="1">
        <v>140</v>
      </c>
      <c r="F714" s="3">
        <v>1200000</v>
      </c>
      <c r="G714" s="2">
        <f t="shared" si="22"/>
        <v>8571.4285714285706</v>
      </c>
      <c r="H714" s="2">
        <f t="shared" si="23"/>
        <v>1200000</v>
      </c>
      <c r="I714" t="s">
        <v>446</v>
      </c>
      <c r="J714" t="s">
        <v>131</v>
      </c>
      <c r="K714" t="s">
        <v>2216</v>
      </c>
      <c r="L714" t="s">
        <v>132</v>
      </c>
      <c r="M714" t="s">
        <v>16</v>
      </c>
      <c r="N714" t="s">
        <v>447</v>
      </c>
    </row>
    <row r="715" spans="1:14" hidden="1" x14ac:dyDescent="0.35">
      <c r="A715" t="s">
        <v>466</v>
      </c>
      <c r="B715" t="s">
        <v>66</v>
      </c>
      <c r="C715">
        <v>3</v>
      </c>
      <c r="D715">
        <v>3</v>
      </c>
      <c r="E715" s="1">
        <v>154</v>
      </c>
      <c r="F715" s="3">
        <v>1200000</v>
      </c>
      <c r="G715" s="2">
        <f t="shared" si="22"/>
        <v>7792.2077922077924</v>
      </c>
      <c r="H715" s="2">
        <f t="shared" si="23"/>
        <v>1200000</v>
      </c>
      <c r="I715" t="s">
        <v>467</v>
      </c>
      <c r="J715" t="s">
        <v>28</v>
      </c>
      <c r="K715" t="s">
        <v>2217</v>
      </c>
      <c r="L715" t="s">
        <v>29</v>
      </c>
      <c r="M715" t="s">
        <v>16</v>
      </c>
      <c r="N715" t="s">
        <v>2242</v>
      </c>
    </row>
    <row r="716" spans="1:14" x14ac:dyDescent="0.35">
      <c r="A716" t="s">
        <v>596</v>
      </c>
      <c r="B716" t="s">
        <v>18</v>
      </c>
      <c r="C716">
        <v>8</v>
      </c>
      <c r="D716">
        <v>6</v>
      </c>
      <c r="E716" s="1">
        <v>200</v>
      </c>
      <c r="F716" s="3">
        <v>1200000</v>
      </c>
      <c r="G716" s="2">
        <f t="shared" si="22"/>
        <v>6000</v>
      </c>
      <c r="H716" s="2">
        <f t="shared" si="23"/>
        <v>1200000</v>
      </c>
      <c r="I716" t="s">
        <v>597</v>
      </c>
      <c r="J716" t="s">
        <v>154</v>
      </c>
      <c r="K716" t="s">
        <v>2218</v>
      </c>
      <c r="L716" t="s">
        <v>155</v>
      </c>
      <c r="M716" t="s">
        <v>16</v>
      </c>
      <c r="N716" t="s">
        <v>2242</v>
      </c>
    </row>
    <row r="717" spans="1:14" hidden="1" x14ac:dyDescent="0.35">
      <c r="A717" t="s">
        <v>610</v>
      </c>
      <c r="B717" t="s">
        <v>1033</v>
      </c>
      <c r="C717">
        <v>0</v>
      </c>
      <c r="D717">
        <v>0</v>
      </c>
      <c r="E717" s="1">
        <v>375</v>
      </c>
      <c r="F717" s="3">
        <v>3200</v>
      </c>
      <c r="G717" s="2">
        <f t="shared" si="22"/>
        <v>3200</v>
      </c>
      <c r="H717" s="2">
        <f t="shared" si="23"/>
        <v>1200000</v>
      </c>
      <c r="I717" t="s">
        <v>611</v>
      </c>
      <c r="J717" t="s">
        <v>68</v>
      </c>
      <c r="K717" t="s">
        <v>2218</v>
      </c>
      <c r="L717" t="s">
        <v>69</v>
      </c>
      <c r="M717" t="s">
        <v>16</v>
      </c>
      <c r="N717" t="s">
        <v>2242</v>
      </c>
    </row>
    <row r="718" spans="1:14" x14ac:dyDescent="0.35">
      <c r="A718" t="s">
        <v>658</v>
      </c>
      <c r="B718" t="s">
        <v>18</v>
      </c>
      <c r="C718">
        <v>4</v>
      </c>
      <c r="D718">
        <v>4</v>
      </c>
      <c r="E718" s="1">
        <v>375</v>
      </c>
      <c r="F718" s="3">
        <v>1200000</v>
      </c>
      <c r="G718" s="2">
        <f t="shared" si="22"/>
        <v>3200</v>
      </c>
      <c r="H718" s="2">
        <f t="shared" si="23"/>
        <v>1200000</v>
      </c>
      <c r="I718" t="s">
        <v>578</v>
      </c>
      <c r="J718" t="s">
        <v>14</v>
      </c>
      <c r="K718" t="s">
        <v>2215</v>
      </c>
      <c r="L718" t="s">
        <v>15</v>
      </c>
      <c r="M718" t="s">
        <v>16</v>
      </c>
      <c r="N718" t="s">
        <v>574</v>
      </c>
    </row>
    <row r="719" spans="1:14" x14ac:dyDescent="0.35">
      <c r="A719" t="s">
        <v>673</v>
      </c>
      <c r="B719" t="s">
        <v>18</v>
      </c>
      <c r="C719">
        <v>6</v>
      </c>
      <c r="D719">
        <v>4</v>
      </c>
      <c r="E719" s="1">
        <v>250</v>
      </c>
      <c r="F719" s="3">
        <v>1200000</v>
      </c>
      <c r="G719" s="2">
        <f t="shared" si="22"/>
        <v>4800</v>
      </c>
      <c r="H719" s="2">
        <f t="shared" si="23"/>
        <v>1200000</v>
      </c>
      <c r="I719" t="s">
        <v>674</v>
      </c>
      <c r="J719" t="s">
        <v>675</v>
      </c>
      <c r="K719" t="s">
        <v>2217</v>
      </c>
      <c r="L719" t="s">
        <v>676</v>
      </c>
      <c r="M719" t="s">
        <v>16</v>
      </c>
      <c r="N719" t="s">
        <v>230</v>
      </c>
    </row>
    <row r="720" spans="1:14" hidden="1" x14ac:dyDescent="0.35">
      <c r="A720" t="s">
        <v>823</v>
      </c>
      <c r="B720" t="s">
        <v>66</v>
      </c>
      <c r="C720">
        <v>3</v>
      </c>
      <c r="D720">
        <v>2</v>
      </c>
      <c r="E720" s="1">
        <v>134</v>
      </c>
      <c r="F720" s="3">
        <v>1200000</v>
      </c>
      <c r="G720" s="2">
        <f t="shared" si="22"/>
        <v>8955.2238805970155</v>
      </c>
      <c r="H720" s="2">
        <f t="shared" si="23"/>
        <v>1200000</v>
      </c>
      <c r="I720" t="s">
        <v>824</v>
      </c>
      <c r="J720" t="s">
        <v>825</v>
      </c>
      <c r="K720" t="s">
        <v>2217</v>
      </c>
      <c r="L720" t="s">
        <v>826</v>
      </c>
      <c r="M720" t="s">
        <v>16</v>
      </c>
      <c r="N720" t="s">
        <v>2242</v>
      </c>
    </row>
    <row r="721" spans="1:14" hidden="1" x14ac:dyDescent="0.35">
      <c r="A721" t="s">
        <v>1159</v>
      </c>
      <c r="B721" t="s">
        <v>12</v>
      </c>
      <c r="C721">
        <v>5</v>
      </c>
      <c r="D721">
        <v>5</v>
      </c>
      <c r="E721" s="1">
        <v>261</v>
      </c>
      <c r="F721" s="3">
        <v>1200000</v>
      </c>
      <c r="G721" s="2">
        <f t="shared" si="22"/>
        <v>4597.7011494252874</v>
      </c>
      <c r="H721" s="2">
        <f t="shared" si="23"/>
        <v>1200000</v>
      </c>
      <c r="I721" t="s">
        <v>1160</v>
      </c>
      <c r="J721" t="s">
        <v>405</v>
      </c>
      <c r="K721" t="s">
        <v>2217</v>
      </c>
      <c r="L721" t="s">
        <v>406</v>
      </c>
      <c r="M721" t="s">
        <v>16</v>
      </c>
      <c r="N721" t="s">
        <v>624</v>
      </c>
    </row>
    <row r="722" spans="1:14" hidden="1" x14ac:dyDescent="0.35">
      <c r="A722" t="s">
        <v>1246</v>
      </c>
      <c r="B722" t="s">
        <v>12</v>
      </c>
      <c r="C722">
        <v>4</v>
      </c>
      <c r="D722">
        <v>3</v>
      </c>
      <c r="E722" s="1">
        <v>220</v>
      </c>
      <c r="F722" s="3">
        <v>1200000</v>
      </c>
      <c r="G722" s="2">
        <f t="shared" si="22"/>
        <v>5454.545454545455</v>
      </c>
      <c r="H722" s="2">
        <f t="shared" si="23"/>
        <v>1200000</v>
      </c>
      <c r="I722" t="s">
        <v>1247</v>
      </c>
      <c r="J722" t="s">
        <v>169</v>
      </c>
      <c r="K722" t="s">
        <v>2217</v>
      </c>
      <c r="L722" t="s">
        <v>170</v>
      </c>
      <c r="M722" t="s">
        <v>16</v>
      </c>
      <c r="N722" t="s">
        <v>407</v>
      </c>
    </row>
    <row r="723" spans="1:14" hidden="1" x14ac:dyDescent="0.35">
      <c r="A723" t="s">
        <v>1329</v>
      </c>
      <c r="B723" t="s">
        <v>12</v>
      </c>
      <c r="C723">
        <v>6</v>
      </c>
      <c r="D723">
        <v>5</v>
      </c>
      <c r="E723" s="1">
        <v>222</v>
      </c>
      <c r="F723" s="3">
        <v>1200000</v>
      </c>
      <c r="G723" s="2">
        <f t="shared" si="22"/>
        <v>5405.405405405405</v>
      </c>
      <c r="H723" s="2">
        <f t="shared" si="23"/>
        <v>1200000</v>
      </c>
      <c r="I723" t="s">
        <v>975</v>
      </c>
      <c r="J723" t="s">
        <v>405</v>
      </c>
      <c r="K723" t="s">
        <v>2217</v>
      </c>
      <c r="L723" t="s">
        <v>406</v>
      </c>
      <c r="M723" t="s">
        <v>16</v>
      </c>
      <c r="N723" t="s">
        <v>407</v>
      </c>
    </row>
    <row r="724" spans="1:14" hidden="1" x14ac:dyDescent="0.35">
      <c r="A724" t="s">
        <v>1335</v>
      </c>
      <c r="B724" t="s">
        <v>12</v>
      </c>
      <c r="C724">
        <v>4</v>
      </c>
      <c r="D724">
        <v>5</v>
      </c>
      <c r="E724" s="1">
        <v>222</v>
      </c>
      <c r="F724" s="3">
        <v>1200000</v>
      </c>
      <c r="G724" s="2">
        <f t="shared" si="22"/>
        <v>5405.405405405405</v>
      </c>
      <c r="H724" s="2">
        <f t="shared" si="23"/>
        <v>1200000</v>
      </c>
      <c r="I724" t="s">
        <v>1336</v>
      </c>
      <c r="J724" t="s">
        <v>405</v>
      </c>
      <c r="K724" t="s">
        <v>2217</v>
      </c>
      <c r="L724" t="s">
        <v>406</v>
      </c>
      <c r="M724" t="s">
        <v>16</v>
      </c>
      <c r="N724" t="s">
        <v>407</v>
      </c>
    </row>
    <row r="725" spans="1:14" hidden="1" x14ac:dyDescent="0.35">
      <c r="A725" t="s">
        <v>1394</v>
      </c>
      <c r="B725" t="s">
        <v>251</v>
      </c>
      <c r="C725">
        <v>3</v>
      </c>
      <c r="D725">
        <v>2</v>
      </c>
      <c r="E725" s="1">
        <v>846</v>
      </c>
      <c r="F725" s="3">
        <v>1200000</v>
      </c>
      <c r="G725" s="2">
        <f t="shared" si="22"/>
        <v>1418.4397163120568</v>
      </c>
      <c r="H725" s="2">
        <f t="shared" si="23"/>
        <v>1200000</v>
      </c>
      <c r="I725" t="s">
        <v>1395</v>
      </c>
      <c r="J725" t="s">
        <v>695</v>
      </c>
      <c r="K725" t="s">
        <v>2218</v>
      </c>
      <c r="L725" t="s">
        <v>696</v>
      </c>
      <c r="M725" t="s">
        <v>16</v>
      </c>
      <c r="N725" t="s">
        <v>211</v>
      </c>
    </row>
    <row r="726" spans="1:14" hidden="1" x14ac:dyDescent="0.35">
      <c r="A726" t="s">
        <v>1664</v>
      </c>
      <c r="B726" t="s">
        <v>12</v>
      </c>
      <c r="C726">
        <v>6</v>
      </c>
      <c r="D726">
        <v>4</v>
      </c>
      <c r="E726" s="1">
        <v>300</v>
      </c>
      <c r="F726" s="3">
        <v>1200000</v>
      </c>
      <c r="G726" s="2">
        <f t="shared" si="22"/>
        <v>4000</v>
      </c>
      <c r="H726" s="2">
        <f t="shared" si="23"/>
        <v>1200000</v>
      </c>
      <c r="I726" t="s">
        <v>1665</v>
      </c>
      <c r="J726" t="s">
        <v>405</v>
      </c>
      <c r="K726" t="s">
        <v>2217</v>
      </c>
      <c r="L726" t="s">
        <v>406</v>
      </c>
      <c r="M726" t="s">
        <v>16</v>
      </c>
      <c r="N726" t="s">
        <v>407</v>
      </c>
    </row>
    <row r="727" spans="1:14" hidden="1" x14ac:dyDescent="0.35">
      <c r="A727" t="s">
        <v>1668</v>
      </c>
      <c r="B727" t="s">
        <v>12</v>
      </c>
      <c r="C727">
        <v>6</v>
      </c>
      <c r="D727">
        <v>4</v>
      </c>
      <c r="E727" s="1">
        <v>222</v>
      </c>
      <c r="F727" s="3">
        <v>1200000</v>
      </c>
      <c r="G727" s="2">
        <f t="shared" si="22"/>
        <v>5405.405405405405</v>
      </c>
      <c r="H727" s="2">
        <f t="shared" si="23"/>
        <v>1200000</v>
      </c>
      <c r="I727" t="s">
        <v>975</v>
      </c>
      <c r="J727" t="s">
        <v>405</v>
      </c>
      <c r="K727" t="s">
        <v>2217</v>
      </c>
      <c r="L727" t="s">
        <v>406</v>
      </c>
      <c r="M727" t="s">
        <v>16</v>
      </c>
      <c r="N727" t="s">
        <v>407</v>
      </c>
    </row>
    <row r="728" spans="1:14" hidden="1" x14ac:dyDescent="0.35">
      <c r="A728" t="s">
        <v>1706</v>
      </c>
      <c r="B728" t="s">
        <v>12</v>
      </c>
      <c r="C728">
        <v>3</v>
      </c>
      <c r="D728">
        <v>3</v>
      </c>
      <c r="E728" s="1">
        <v>506</v>
      </c>
      <c r="F728" s="3">
        <v>1200000</v>
      </c>
      <c r="G728" s="2">
        <f t="shared" si="22"/>
        <v>2371.5415019762845</v>
      </c>
      <c r="H728" s="2">
        <f t="shared" si="23"/>
        <v>1200000</v>
      </c>
      <c r="I728" t="s">
        <v>1367</v>
      </c>
      <c r="J728" t="s">
        <v>405</v>
      </c>
      <c r="K728" t="s">
        <v>2217</v>
      </c>
      <c r="L728" t="s">
        <v>406</v>
      </c>
      <c r="M728" t="s">
        <v>16</v>
      </c>
      <c r="N728" t="s">
        <v>77</v>
      </c>
    </row>
    <row r="729" spans="1:14" hidden="1" x14ac:dyDescent="0.35">
      <c r="A729" t="s">
        <v>1915</v>
      </c>
      <c r="B729" t="s">
        <v>12</v>
      </c>
      <c r="C729">
        <v>2</v>
      </c>
      <c r="D729">
        <v>3</v>
      </c>
      <c r="E729" s="1">
        <v>505</v>
      </c>
      <c r="F729" s="3">
        <v>1200000</v>
      </c>
      <c r="G729" s="2">
        <f t="shared" si="22"/>
        <v>2376.2376237623762</v>
      </c>
      <c r="H729" s="2">
        <f t="shared" si="23"/>
        <v>1200000</v>
      </c>
      <c r="I729" t="s">
        <v>1367</v>
      </c>
      <c r="J729" t="s">
        <v>405</v>
      </c>
      <c r="K729" t="s">
        <v>2217</v>
      </c>
      <c r="L729" t="s">
        <v>406</v>
      </c>
      <c r="M729" t="s">
        <v>16</v>
      </c>
      <c r="N729" t="s">
        <v>77</v>
      </c>
    </row>
    <row r="730" spans="1:14" hidden="1" x14ac:dyDescent="0.35">
      <c r="A730" t="s">
        <v>2069</v>
      </c>
      <c r="B730" t="s">
        <v>12</v>
      </c>
      <c r="C730">
        <v>3</v>
      </c>
      <c r="D730">
        <v>4</v>
      </c>
      <c r="E730" s="1">
        <v>203</v>
      </c>
      <c r="F730" s="3">
        <v>1200000</v>
      </c>
      <c r="G730" s="2">
        <f t="shared" si="22"/>
        <v>5911.3300492610833</v>
      </c>
      <c r="H730" s="2">
        <f t="shared" si="23"/>
        <v>1200000</v>
      </c>
      <c r="I730" t="s">
        <v>2070</v>
      </c>
      <c r="J730" t="s">
        <v>169</v>
      </c>
      <c r="K730" t="s">
        <v>2217</v>
      </c>
      <c r="L730" t="s">
        <v>170</v>
      </c>
      <c r="M730" t="s">
        <v>16</v>
      </c>
      <c r="N730" t="s">
        <v>2242</v>
      </c>
    </row>
    <row r="731" spans="1:14" hidden="1" x14ac:dyDescent="0.35">
      <c r="A731" t="s">
        <v>2147</v>
      </c>
      <c r="B731" t="s">
        <v>12</v>
      </c>
      <c r="C731">
        <v>3</v>
      </c>
      <c r="D731">
        <v>3</v>
      </c>
      <c r="E731" s="1">
        <v>242</v>
      </c>
      <c r="F731" s="3">
        <v>1200000</v>
      </c>
      <c r="G731" s="2">
        <f t="shared" si="22"/>
        <v>4958.6776859504134</v>
      </c>
      <c r="H731" s="2">
        <f t="shared" si="23"/>
        <v>1200000</v>
      </c>
      <c r="I731" t="s">
        <v>1367</v>
      </c>
      <c r="J731" t="s">
        <v>405</v>
      </c>
      <c r="K731" t="s">
        <v>2217</v>
      </c>
      <c r="L731" t="s">
        <v>406</v>
      </c>
      <c r="M731" t="s">
        <v>16</v>
      </c>
      <c r="N731" t="s">
        <v>407</v>
      </c>
    </row>
    <row r="732" spans="1:14" hidden="1" x14ac:dyDescent="0.35">
      <c r="A732" t="s">
        <v>2186</v>
      </c>
      <c r="B732" t="s">
        <v>12</v>
      </c>
      <c r="C732">
        <v>3</v>
      </c>
      <c r="D732">
        <v>3</v>
      </c>
      <c r="E732" s="1">
        <v>168</v>
      </c>
      <c r="F732" s="3">
        <v>1200000</v>
      </c>
      <c r="G732" s="2">
        <f t="shared" si="22"/>
        <v>7142.8571428571431</v>
      </c>
      <c r="H732" s="2">
        <f t="shared" si="23"/>
        <v>1200000</v>
      </c>
      <c r="I732" t="s">
        <v>76</v>
      </c>
      <c r="J732" t="s">
        <v>28</v>
      </c>
      <c r="K732" t="s">
        <v>2217</v>
      </c>
      <c r="L732" t="s">
        <v>29</v>
      </c>
      <c r="M732" t="s">
        <v>16</v>
      </c>
      <c r="N732" t="s">
        <v>384</v>
      </c>
    </row>
    <row r="733" spans="1:14" hidden="1" x14ac:dyDescent="0.35">
      <c r="A733" t="s">
        <v>1598</v>
      </c>
      <c r="B733" t="s">
        <v>66</v>
      </c>
      <c r="C733">
        <v>4</v>
      </c>
      <c r="D733">
        <v>3</v>
      </c>
      <c r="E733" s="1">
        <v>161</v>
      </c>
      <c r="F733" s="3">
        <v>1205000</v>
      </c>
      <c r="G733" s="2">
        <f t="shared" si="22"/>
        <v>7484.4720496894406</v>
      </c>
      <c r="H733" s="2">
        <f t="shared" si="23"/>
        <v>1205000</v>
      </c>
      <c r="I733" t="s">
        <v>1599</v>
      </c>
      <c r="J733" t="s">
        <v>1019</v>
      </c>
      <c r="K733" t="s">
        <v>2217</v>
      </c>
      <c r="L733" t="s">
        <v>1020</v>
      </c>
      <c r="M733" t="s">
        <v>16</v>
      </c>
      <c r="N733" t="s">
        <v>45</v>
      </c>
    </row>
    <row r="734" spans="1:14" hidden="1" x14ac:dyDescent="0.35">
      <c r="A734" t="s">
        <v>1582</v>
      </c>
      <c r="B734" t="s">
        <v>1033</v>
      </c>
      <c r="C734">
        <v>0</v>
      </c>
      <c r="D734">
        <v>0</v>
      </c>
      <c r="E734" s="1">
        <v>548</v>
      </c>
      <c r="F734" s="3">
        <v>2200</v>
      </c>
      <c r="G734" s="2">
        <f t="shared" si="22"/>
        <v>2200</v>
      </c>
      <c r="H734" s="2">
        <f t="shared" si="23"/>
        <v>1205600</v>
      </c>
      <c r="I734" t="s">
        <v>1583</v>
      </c>
      <c r="J734" t="s">
        <v>154</v>
      </c>
      <c r="K734" t="s">
        <v>2218</v>
      </c>
      <c r="L734" t="s">
        <v>155</v>
      </c>
      <c r="M734" t="s">
        <v>16</v>
      </c>
      <c r="N734" t="s">
        <v>1584</v>
      </c>
    </row>
    <row r="735" spans="1:14" hidden="1" x14ac:dyDescent="0.35">
      <c r="A735" t="s">
        <v>584</v>
      </c>
      <c r="B735" t="s">
        <v>189</v>
      </c>
      <c r="C735">
        <v>5</v>
      </c>
      <c r="D735">
        <v>5</v>
      </c>
      <c r="E735" s="1">
        <v>170</v>
      </c>
      <c r="F735" s="3">
        <v>1230000</v>
      </c>
      <c r="G735" s="2">
        <f t="shared" si="22"/>
        <v>7235.2941176470586</v>
      </c>
      <c r="H735" s="2">
        <f t="shared" si="23"/>
        <v>1230000</v>
      </c>
      <c r="I735" t="s">
        <v>585</v>
      </c>
      <c r="J735" t="s">
        <v>586</v>
      </c>
      <c r="K735" t="s">
        <v>2219</v>
      </c>
      <c r="L735" t="s">
        <v>587</v>
      </c>
      <c r="M735" t="s">
        <v>16</v>
      </c>
      <c r="N735" t="s">
        <v>2242</v>
      </c>
    </row>
    <row r="736" spans="1:14" hidden="1" x14ac:dyDescent="0.35">
      <c r="A736" t="s">
        <v>332</v>
      </c>
      <c r="B736" t="s">
        <v>66</v>
      </c>
      <c r="C736">
        <v>3</v>
      </c>
      <c r="D736">
        <v>3</v>
      </c>
      <c r="E736" s="1">
        <v>3150</v>
      </c>
      <c r="F736" s="3">
        <v>1235000</v>
      </c>
      <c r="G736" s="2">
        <f t="shared" si="22"/>
        <v>392.06349206349205</v>
      </c>
      <c r="H736" s="2">
        <f t="shared" si="23"/>
        <v>1235000</v>
      </c>
      <c r="I736" t="s">
        <v>236</v>
      </c>
      <c r="J736" t="s">
        <v>145</v>
      </c>
      <c r="K736" t="s">
        <v>2216</v>
      </c>
      <c r="L736" t="s">
        <v>146</v>
      </c>
      <c r="M736" t="s">
        <v>16</v>
      </c>
      <c r="N736" t="s">
        <v>237</v>
      </c>
    </row>
    <row r="737" spans="1:14" hidden="1" x14ac:dyDescent="0.35">
      <c r="A737" t="s">
        <v>985</v>
      </c>
      <c r="B737" t="s">
        <v>66</v>
      </c>
      <c r="C737">
        <v>3</v>
      </c>
      <c r="D737">
        <v>3</v>
      </c>
      <c r="E737" s="1">
        <v>152</v>
      </c>
      <c r="F737" s="3">
        <v>1239000</v>
      </c>
      <c r="G737" s="2">
        <f t="shared" si="22"/>
        <v>8151.3157894736842</v>
      </c>
      <c r="H737" s="2">
        <f t="shared" si="23"/>
        <v>1239000</v>
      </c>
      <c r="I737" t="s">
        <v>986</v>
      </c>
      <c r="J737" t="s">
        <v>494</v>
      </c>
      <c r="K737" t="s">
        <v>2217</v>
      </c>
      <c r="L737" t="s">
        <v>495</v>
      </c>
      <c r="M737" t="s">
        <v>16</v>
      </c>
      <c r="N737" t="s">
        <v>496</v>
      </c>
    </row>
    <row r="738" spans="1:14" hidden="1" x14ac:dyDescent="0.35">
      <c r="A738" t="s">
        <v>1139</v>
      </c>
      <c r="B738" t="s">
        <v>66</v>
      </c>
      <c r="C738">
        <v>3</v>
      </c>
      <c r="D738">
        <v>3</v>
      </c>
      <c r="E738" s="1">
        <v>127</v>
      </c>
      <c r="F738" s="3">
        <v>1239000</v>
      </c>
      <c r="G738" s="2">
        <f t="shared" si="22"/>
        <v>9755.9055118110227</v>
      </c>
      <c r="H738" s="2">
        <f t="shared" si="23"/>
        <v>1239000</v>
      </c>
      <c r="I738" t="s">
        <v>1140</v>
      </c>
      <c r="J738" t="s">
        <v>173</v>
      </c>
      <c r="K738" t="s">
        <v>2216</v>
      </c>
      <c r="L738" t="s">
        <v>174</v>
      </c>
      <c r="M738" t="s">
        <v>16</v>
      </c>
      <c r="N738" t="s">
        <v>2242</v>
      </c>
    </row>
    <row r="739" spans="1:14" hidden="1" x14ac:dyDescent="0.35">
      <c r="A739" t="s">
        <v>331</v>
      </c>
      <c r="B739" t="s">
        <v>66</v>
      </c>
      <c r="C739">
        <v>3</v>
      </c>
      <c r="D739">
        <v>3</v>
      </c>
      <c r="E739" s="1">
        <v>3150</v>
      </c>
      <c r="F739" s="3">
        <v>1240000</v>
      </c>
      <c r="G739" s="2">
        <f t="shared" si="22"/>
        <v>393.65079365079367</v>
      </c>
      <c r="H739" s="2">
        <f t="shared" si="23"/>
        <v>1240000</v>
      </c>
      <c r="I739" t="s">
        <v>236</v>
      </c>
      <c r="J739" t="s">
        <v>145</v>
      </c>
      <c r="K739" t="s">
        <v>2216</v>
      </c>
      <c r="L739" t="s">
        <v>146</v>
      </c>
      <c r="M739" t="s">
        <v>16</v>
      </c>
      <c r="N739" t="s">
        <v>237</v>
      </c>
    </row>
    <row r="740" spans="1:14" hidden="1" x14ac:dyDescent="0.35">
      <c r="A740" t="s">
        <v>33</v>
      </c>
      <c r="B740" t="s">
        <v>12</v>
      </c>
      <c r="C740">
        <v>6</v>
      </c>
      <c r="D740">
        <v>5</v>
      </c>
      <c r="E740" s="1">
        <v>500</v>
      </c>
      <c r="F740" s="3">
        <v>1249000</v>
      </c>
      <c r="G740" s="2">
        <f t="shared" si="22"/>
        <v>2498</v>
      </c>
      <c r="H740" s="2">
        <f t="shared" si="23"/>
        <v>1249000</v>
      </c>
      <c r="I740" t="s">
        <v>34</v>
      </c>
      <c r="J740" t="s">
        <v>35</v>
      </c>
      <c r="K740" t="s">
        <v>2217</v>
      </c>
      <c r="L740" t="s">
        <v>36</v>
      </c>
      <c r="M740" t="s">
        <v>16</v>
      </c>
      <c r="N740" t="s">
        <v>37</v>
      </c>
    </row>
    <row r="741" spans="1:14" hidden="1" x14ac:dyDescent="0.35">
      <c r="A741" t="s">
        <v>324</v>
      </c>
      <c r="B741" t="s">
        <v>66</v>
      </c>
      <c r="C741">
        <v>4</v>
      </c>
      <c r="D741">
        <v>3</v>
      </c>
      <c r="E741" s="1">
        <v>190</v>
      </c>
      <c r="F741" s="3">
        <v>1250000</v>
      </c>
      <c r="G741" s="2">
        <f t="shared" si="22"/>
        <v>6578.9473684210525</v>
      </c>
      <c r="H741" s="2">
        <f t="shared" si="23"/>
        <v>1250000</v>
      </c>
      <c r="I741" t="s">
        <v>325</v>
      </c>
      <c r="J741" t="s">
        <v>173</v>
      </c>
      <c r="K741" t="s">
        <v>2216</v>
      </c>
      <c r="L741" t="s">
        <v>174</v>
      </c>
      <c r="M741" t="s">
        <v>16</v>
      </c>
      <c r="N741" t="s">
        <v>326</v>
      </c>
    </row>
    <row r="742" spans="1:14" x14ac:dyDescent="0.35">
      <c r="A742" t="s">
        <v>390</v>
      </c>
      <c r="B742" t="s">
        <v>18</v>
      </c>
      <c r="C742">
        <v>8</v>
      </c>
      <c r="D742">
        <v>5</v>
      </c>
      <c r="E742" s="1">
        <v>375</v>
      </c>
      <c r="F742" s="3">
        <v>1250000</v>
      </c>
      <c r="G742" s="2">
        <f t="shared" si="22"/>
        <v>3333.3333333333335</v>
      </c>
      <c r="H742" s="2">
        <f t="shared" si="23"/>
        <v>1250000</v>
      </c>
      <c r="I742" t="s">
        <v>391</v>
      </c>
      <c r="J742" t="s">
        <v>141</v>
      </c>
      <c r="K742" t="s">
        <v>2215</v>
      </c>
      <c r="L742" t="s">
        <v>142</v>
      </c>
      <c r="M742" t="s">
        <v>16</v>
      </c>
      <c r="N742" t="s">
        <v>392</v>
      </c>
    </row>
    <row r="743" spans="1:14" hidden="1" x14ac:dyDescent="0.35">
      <c r="A743" t="s">
        <v>529</v>
      </c>
      <c r="B743" t="s">
        <v>12</v>
      </c>
      <c r="C743">
        <v>3</v>
      </c>
      <c r="D743">
        <v>3</v>
      </c>
      <c r="E743" s="1">
        <v>550</v>
      </c>
      <c r="F743" s="3">
        <v>1250000</v>
      </c>
      <c r="G743" s="2">
        <f t="shared" si="22"/>
        <v>2272.7272727272725</v>
      </c>
      <c r="H743" s="2">
        <f t="shared" si="23"/>
        <v>1250000</v>
      </c>
      <c r="I743" t="s">
        <v>530</v>
      </c>
      <c r="J743" t="s">
        <v>145</v>
      </c>
      <c r="K743" t="s">
        <v>2216</v>
      </c>
      <c r="L743" t="s">
        <v>146</v>
      </c>
      <c r="M743" t="s">
        <v>16</v>
      </c>
      <c r="N743" t="s">
        <v>531</v>
      </c>
    </row>
    <row r="744" spans="1:14" hidden="1" x14ac:dyDescent="0.35">
      <c r="A744" t="s">
        <v>697</v>
      </c>
      <c r="B744" t="s">
        <v>66</v>
      </c>
      <c r="C744">
        <v>3</v>
      </c>
      <c r="D744">
        <v>4</v>
      </c>
      <c r="E744" s="1">
        <v>189</v>
      </c>
      <c r="F744" s="3">
        <v>1250000</v>
      </c>
      <c r="G744" s="2">
        <f t="shared" si="22"/>
        <v>6613.7566137566137</v>
      </c>
      <c r="H744" s="2">
        <f t="shared" si="23"/>
        <v>1250000</v>
      </c>
      <c r="I744" t="s">
        <v>698</v>
      </c>
      <c r="J744" t="s">
        <v>145</v>
      </c>
      <c r="K744" t="s">
        <v>2216</v>
      </c>
      <c r="L744" t="s">
        <v>146</v>
      </c>
      <c r="M744" t="s">
        <v>16</v>
      </c>
      <c r="N744" t="s">
        <v>699</v>
      </c>
    </row>
    <row r="745" spans="1:14" hidden="1" x14ac:dyDescent="0.35">
      <c r="A745" t="s">
        <v>882</v>
      </c>
      <c r="B745" t="s">
        <v>12</v>
      </c>
      <c r="C745">
        <v>6</v>
      </c>
      <c r="D745">
        <v>3</v>
      </c>
      <c r="E745" s="1">
        <v>224</v>
      </c>
      <c r="F745" s="3">
        <v>1250000</v>
      </c>
      <c r="G745" s="2">
        <f t="shared" si="22"/>
        <v>5580.3571428571431</v>
      </c>
      <c r="H745" s="2">
        <f t="shared" si="23"/>
        <v>1250000</v>
      </c>
      <c r="I745" t="s">
        <v>410</v>
      </c>
      <c r="J745" t="s">
        <v>169</v>
      </c>
      <c r="K745" t="s">
        <v>2217</v>
      </c>
      <c r="L745" t="s">
        <v>170</v>
      </c>
      <c r="M745" t="s">
        <v>16</v>
      </c>
      <c r="N745" t="s">
        <v>883</v>
      </c>
    </row>
    <row r="746" spans="1:14" hidden="1" x14ac:dyDescent="0.35">
      <c r="A746" t="s">
        <v>974</v>
      </c>
      <c r="B746" t="s">
        <v>12</v>
      </c>
      <c r="C746">
        <v>3</v>
      </c>
      <c r="D746">
        <v>5</v>
      </c>
      <c r="E746" s="1">
        <v>203</v>
      </c>
      <c r="F746" s="3">
        <v>1250000</v>
      </c>
      <c r="G746" s="2">
        <f t="shared" si="22"/>
        <v>6157.6354679802953</v>
      </c>
      <c r="H746" s="2">
        <f t="shared" si="23"/>
        <v>1250000</v>
      </c>
      <c r="I746" t="s">
        <v>975</v>
      </c>
      <c r="J746" t="s">
        <v>405</v>
      </c>
      <c r="K746" t="s">
        <v>2217</v>
      </c>
      <c r="L746" t="s">
        <v>406</v>
      </c>
      <c r="M746" t="s">
        <v>16</v>
      </c>
      <c r="N746" t="s">
        <v>407</v>
      </c>
    </row>
    <row r="747" spans="1:14" hidden="1" x14ac:dyDescent="0.35">
      <c r="A747" t="s">
        <v>1119</v>
      </c>
      <c r="B747" t="s">
        <v>66</v>
      </c>
      <c r="C747">
        <v>5</v>
      </c>
      <c r="D747">
        <v>5</v>
      </c>
      <c r="E747" s="1">
        <v>224</v>
      </c>
      <c r="F747" s="3">
        <v>1250000</v>
      </c>
      <c r="G747" s="2">
        <f t="shared" si="22"/>
        <v>5580.3571428571431</v>
      </c>
      <c r="H747" s="2">
        <f t="shared" si="23"/>
        <v>1250000</v>
      </c>
      <c r="I747" t="s">
        <v>1120</v>
      </c>
      <c r="J747" t="s">
        <v>169</v>
      </c>
      <c r="K747" t="s">
        <v>2217</v>
      </c>
      <c r="L747" t="s">
        <v>170</v>
      </c>
      <c r="M747" t="s">
        <v>16</v>
      </c>
      <c r="N747" t="s">
        <v>624</v>
      </c>
    </row>
    <row r="748" spans="1:14" hidden="1" x14ac:dyDescent="0.35">
      <c r="A748" t="s">
        <v>1296</v>
      </c>
      <c r="B748" t="s">
        <v>12</v>
      </c>
      <c r="C748">
        <v>5</v>
      </c>
      <c r="D748">
        <v>3</v>
      </c>
      <c r="E748" s="1">
        <v>540</v>
      </c>
      <c r="F748" s="3">
        <v>1250000</v>
      </c>
      <c r="G748" s="2">
        <f t="shared" si="22"/>
        <v>2314.8148148148148</v>
      </c>
      <c r="H748" s="2">
        <f t="shared" si="23"/>
        <v>1250000</v>
      </c>
      <c r="I748" t="s">
        <v>410</v>
      </c>
      <c r="J748" t="s">
        <v>169</v>
      </c>
      <c r="K748" t="s">
        <v>2217</v>
      </c>
      <c r="L748" t="s">
        <v>170</v>
      </c>
      <c r="M748" t="s">
        <v>16</v>
      </c>
      <c r="N748" t="s">
        <v>1294</v>
      </c>
    </row>
    <row r="749" spans="1:14" hidden="1" x14ac:dyDescent="0.35">
      <c r="A749" t="s">
        <v>1556</v>
      </c>
      <c r="B749" t="s">
        <v>12</v>
      </c>
      <c r="C749">
        <v>6</v>
      </c>
      <c r="D749">
        <v>6</v>
      </c>
      <c r="E749" s="1">
        <v>550</v>
      </c>
      <c r="F749" s="3">
        <v>1250000</v>
      </c>
      <c r="G749" s="2">
        <f t="shared" si="22"/>
        <v>2272.7272727272725</v>
      </c>
      <c r="H749" s="2">
        <f t="shared" si="23"/>
        <v>1250000</v>
      </c>
      <c r="I749" t="s">
        <v>1557</v>
      </c>
      <c r="J749" t="s">
        <v>145</v>
      </c>
      <c r="K749" t="s">
        <v>2216</v>
      </c>
      <c r="L749" t="s">
        <v>146</v>
      </c>
      <c r="M749" t="s">
        <v>16</v>
      </c>
      <c r="N749" t="s">
        <v>531</v>
      </c>
    </row>
    <row r="750" spans="1:14" hidden="1" x14ac:dyDescent="0.35">
      <c r="A750" t="s">
        <v>1577</v>
      </c>
      <c r="B750" t="s">
        <v>66</v>
      </c>
      <c r="C750">
        <v>7</v>
      </c>
      <c r="D750">
        <v>7</v>
      </c>
      <c r="E750" s="1">
        <v>176</v>
      </c>
      <c r="F750" s="3">
        <v>1250000</v>
      </c>
      <c r="G750" s="2">
        <f t="shared" si="22"/>
        <v>7102.272727272727</v>
      </c>
      <c r="H750" s="2">
        <f t="shared" si="23"/>
        <v>1250000</v>
      </c>
      <c r="I750" t="s">
        <v>1578</v>
      </c>
      <c r="J750" t="s">
        <v>233</v>
      </c>
      <c r="K750" t="s">
        <v>2216</v>
      </c>
      <c r="L750" t="s">
        <v>234</v>
      </c>
      <c r="M750" t="s">
        <v>16</v>
      </c>
      <c r="N750" t="s">
        <v>1579</v>
      </c>
    </row>
    <row r="751" spans="1:14" hidden="1" x14ac:dyDescent="0.35">
      <c r="A751" t="s">
        <v>1638</v>
      </c>
      <c r="B751" t="s">
        <v>66</v>
      </c>
      <c r="C751">
        <v>3</v>
      </c>
      <c r="D751">
        <v>3</v>
      </c>
      <c r="E751" s="1">
        <v>167</v>
      </c>
      <c r="F751" s="3">
        <v>1250000</v>
      </c>
      <c r="G751" s="2">
        <f t="shared" si="22"/>
        <v>7485.0299401197608</v>
      </c>
      <c r="H751" s="2">
        <f t="shared" si="23"/>
        <v>1250000</v>
      </c>
      <c r="I751" t="s">
        <v>1639</v>
      </c>
      <c r="J751" t="s">
        <v>28</v>
      </c>
      <c r="K751" t="s">
        <v>2217</v>
      </c>
      <c r="L751" t="s">
        <v>29</v>
      </c>
      <c r="M751" t="s">
        <v>16</v>
      </c>
      <c r="N751" t="s">
        <v>2242</v>
      </c>
    </row>
    <row r="752" spans="1:14" hidden="1" x14ac:dyDescent="0.35">
      <c r="A752" t="s">
        <v>2063</v>
      </c>
      <c r="B752" t="s">
        <v>66</v>
      </c>
      <c r="C752">
        <v>3</v>
      </c>
      <c r="D752">
        <v>4</v>
      </c>
      <c r="E752" s="1">
        <v>193</v>
      </c>
      <c r="F752" s="3">
        <v>1250000</v>
      </c>
      <c r="G752" s="2">
        <f t="shared" si="22"/>
        <v>6476.6839378238346</v>
      </c>
      <c r="H752" s="2">
        <f t="shared" si="23"/>
        <v>1250000</v>
      </c>
      <c r="I752" t="s">
        <v>2064</v>
      </c>
      <c r="J752" t="s">
        <v>28</v>
      </c>
      <c r="K752" t="s">
        <v>2217</v>
      </c>
      <c r="L752" t="s">
        <v>29</v>
      </c>
      <c r="M752" t="s">
        <v>16</v>
      </c>
      <c r="N752" t="s">
        <v>2242</v>
      </c>
    </row>
    <row r="753" spans="1:14" hidden="1" x14ac:dyDescent="0.35">
      <c r="A753" t="s">
        <v>2119</v>
      </c>
      <c r="B753" t="s">
        <v>66</v>
      </c>
      <c r="C753">
        <v>3</v>
      </c>
      <c r="D753">
        <v>3</v>
      </c>
      <c r="E753" s="1">
        <v>141</v>
      </c>
      <c r="F753" s="3">
        <v>1250000</v>
      </c>
      <c r="G753" s="2">
        <f t="shared" si="22"/>
        <v>8865.2482269503544</v>
      </c>
      <c r="H753" s="2">
        <f t="shared" si="23"/>
        <v>1250000</v>
      </c>
      <c r="I753" t="s">
        <v>2120</v>
      </c>
      <c r="J753" t="s">
        <v>450</v>
      </c>
      <c r="K753" t="s">
        <v>2216</v>
      </c>
      <c r="L753" t="s">
        <v>451</v>
      </c>
      <c r="M753" t="s">
        <v>16</v>
      </c>
      <c r="N753" t="s">
        <v>2242</v>
      </c>
    </row>
    <row r="754" spans="1:14" hidden="1" x14ac:dyDescent="0.35">
      <c r="A754" t="s">
        <v>811</v>
      </c>
      <c r="B754" t="s">
        <v>66</v>
      </c>
      <c r="C754">
        <v>3</v>
      </c>
      <c r="D754">
        <v>3</v>
      </c>
      <c r="E754" s="1">
        <v>160</v>
      </c>
      <c r="F754" s="3">
        <v>1280000</v>
      </c>
      <c r="G754" s="2">
        <f t="shared" si="22"/>
        <v>8000</v>
      </c>
      <c r="H754" s="2">
        <f t="shared" si="23"/>
        <v>1280000</v>
      </c>
      <c r="I754" t="s">
        <v>812</v>
      </c>
      <c r="J754" t="s">
        <v>382</v>
      </c>
      <c r="K754" t="s">
        <v>2217</v>
      </c>
      <c r="L754" t="s">
        <v>383</v>
      </c>
      <c r="M754" t="s">
        <v>16</v>
      </c>
      <c r="N754" t="s">
        <v>77</v>
      </c>
    </row>
    <row r="755" spans="1:14" hidden="1" x14ac:dyDescent="0.35">
      <c r="A755" t="s">
        <v>1325</v>
      </c>
      <c r="B755" t="s">
        <v>12</v>
      </c>
      <c r="C755">
        <v>3</v>
      </c>
      <c r="D755">
        <v>3</v>
      </c>
      <c r="E755" s="1">
        <v>540</v>
      </c>
      <c r="F755" s="3">
        <v>1280000</v>
      </c>
      <c r="G755" s="2">
        <f t="shared" si="22"/>
        <v>2370.3703703703704</v>
      </c>
      <c r="H755" s="2">
        <f t="shared" si="23"/>
        <v>1280000</v>
      </c>
      <c r="I755" t="s">
        <v>76</v>
      </c>
      <c r="J755" t="s">
        <v>28</v>
      </c>
      <c r="K755" t="s">
        <v>2217</v>
      </c>
      <c r="L755" t="s">
        <v>29</v>
      </c>
      <c r="M755" t="s">
        <v>16</v>
      </c>
      <c r="N755" t="s">
        <v>77</v>
      </c>
    </row>
    <row r="756" spans="1:14" x14ac:dyDescent="0.35">
      <c r="A756" t="s">
        <v>2185</v>
      </c>
      <c r="B756" t="s">
        <v>18</v>
      </c>
      <c r="C756">
        <v>4</v>
      </c>
      <c r="D756">
        <v>4</v>
      </c>
      <c r="E756" s="1">
        <v>182</v>
      </c>
      <c r="F756" s="3">
        <v>1280000</v>
      </c>
      <c r="G756" s="2">
        <f t="shared" si="22"/>
        <v>7032.9670329670325</v>
      </c>
      <c r="H756" s="2">
        <f t="shared" si="23"/>
        <v>1280000</v>
      </c>
      <c r="I756" t="s">
        <v>1044</v>
      </c>
      <c r="J756" t="s">
        <v>169</v>
      </c>
      <c r="K756" t="s">
        <v>2217</v>
      </c>
      <c r="L756" t="s">
        <v>170</v>
      </c>
      <c r="M756" t="s">
        <v>16</v>
      </c>
      <c r="N756" t="s">
        <v>243</v>
      </c>
    </row>
    <row r="757" spans="1:14" hidden="1" x14ac:dyDescent="0.35">
      <c r="A757" t="s">
        <v>1726</v>
      </c>
      <c r="B757" t="s">
        <v>66</v>
      </c>
      <c r="C757">
        <v>3</v>
      </c>
      <c r="D757">
        <v>3</v>
      </c>
      <c r="E757" s="1">
        <v>102</v>
      </c>
      <c r="F757" s="3">
        <v>1290000</v>
      </c>
      <c r="G757" s="2">
        <f t="shared" si="22"/>
        <v>12647.058823529413</v>
      </c>
      <c r="H757" s="2">
        <f t="shared" si="23"/>
        <v>1290000</v>
      </c>
      <c r="I757" t="s">
        <v>1727</v>
      </c>
      <c r="J757" t="s">
        <v>145</v>
      </c>
      <c r="K757" t="s">
        <v>2216</v>
      </c>
      <c r="L757" t="s">
        <v>146</v>
      </c>
      <c r="M757" t="s">
        <v>16</v>
      </c>
      <c r="N757" t="s">
        <v>284</v>
      </c>
    </row>
    <row r="758" spans="1:14" hidden="1" x14ac:dyDescent="0.35">
      <c r="A758" t="s">
        <v>873</v>
      </c>
      <c r="B758" t="s">
        <v>66</v>
      </c>
      <c r="C758">
        <v>4</v>
      </c>
      <c r="D758">
        <v>4</v>
      </c>
      <c r="E758" s="1">
        <v>149</v>
      </c>
      <c r="F758" s="3">
        <v>1295000</v>
      </c>
      <c r="G758" s="2">
        <f t="shared" si="22"/>
        <v>8691.2751677852357</v>
      </c>
      <c r="H758" s="2">
        <f t="shared" si="23"/>
        <v>1295000</v>
      </c>
      <c r="I758" t="s">
        <v>874</v>
      </c>
      <c r="J758" t="s">
        <v>28</v>
      </c>
      <c r="K758" t="s">
        <v>2217</v>
      </c>
      <c r="L758" t="s">
        <v>29</v>
      </c>
      <c r="M758" t="s">
        <v>16</v>
      </c>
      <c r="N758" t="s">
        <v>2242</v>
      </c>
    </row>
    <row r="759" spans="1:14" hidden="1" x14ac:dyDescent="0.35">
      <c r="A759" t="s">
        <v>289</v>
      </c>
      <c r="B759" t="s">
        <v>189</v>
      </c>
      <c r="C759">
        <v>3</v>
      </c>
      <c r="D759">
        <v>4</v>
      </c>
      <c r="E759" s="1">
        <v>750</v>
      </c>
      <c r="F759" s="3">
        <v>1299000</v>
      </c>
      <c r="G759" s="2">
        <f t="shared" si="22"/>
        <v>1732</v>
      </c>
      <c r="H759" s="2">
        <f t="shared" si="23"/>
        <v>1299000</v>
      </c>
      <c r="I759" t="s">
        <v>290</v>
      </c>
      <c r="J759" t="s">
        <v>291</v>
      </c>
      <c r="K759" t="s">
        <v>2217</v>
      </c>
      <c r="L759" t="s">
        <v>292</v>
      </c>
      <c r="M759" t="s">
        <v>16</v>
      </c>
      <c r="N759" t="s">
        <v>2242</v>
      </c>
    </row>
    <row r="760" spans="1:14" hidden="1" x14ac:dyDescent="0.35">
      <c r="A760" t="s">
        <v>148</v>
      </c>
      <c r="B760" t="s">
        <v>12</v>
      </c>
      <c r="C760">
        <v>3</v>
      </c>
      <c r="D760">
        <v>5</v>
      </c>
      <c r="E760" s="1">
        <v>540</v>
      </c>
      <c r="F760" s="3">
        <v>1300000</v>
      </c>
      <c r="G760" s="2">
        <f t="shared" si="22"/>
        <v>2407.4074074074074</v>
      </c>
      <c r="H760" s="2">
        <f t="shared" si="23"/>
        <v>1300000</v>
      </c>
      <c r="I760" t="s">
        <v>76</v>
      </c>
      <c r="J760" t="s">
        <v>28</v>
      </c>
      <c r="K760" t="s">
        <v>2217</v>
      </c>
      <c r="L760" t="s">
        <v>29</v>
      </c>
      <c r="M760" t="s">
        <v>16</v>
      </c>
      <c r="N760" t="s">
        <v>77</v>
      </c>
    </row>
    <row r="761" spans="1:14" x14ac:dyDescent="0.35">
      <c r="A761" t="s">
        <v>228</v>
      </c>
      <c r="B761" t="s">
        <v>18</v>
      </c>
      <c r="C761">
        <v>5</v>
      </c>
      <c r="D761">
        <v>4</v>
      </c>
      <c r="E761" s="1">
        <v>200</v>
      </c>
      <c r="F761" s="3">
        <v>1300000</v>
      </c>
      <c r="G761" s="2">
        <f t="shared" si="22"/>
        <v>6500</v>
      </c>
      <c r="H761" s="2">
        <f t="shared" si="23"/>
        <v>1300000</v>
      </c>
      <c r="I761" t="s">
        <v>229</v>
      </c>
      <c r="J761" t="s">
        <v>97</v>
      </c>
      <c r="K761" t="s">
        <v>2217</v>
      </c>
      <c r="L761" t="s">
        <v>98</v>
      </c>
      <c r="M761" t="s">
        <v>16</v>
      </c>
      <c r="N761" t="s">
        <v>230</v>
      </c>
    </row>
    <row r="762" spans="1:14" hidden="1" x14ac:dyDescent="0.35">
      <c r="A762" t="s">
        <v>239</v>
      </c>
      <c r="B762" t="s">
        <v>66</v>
      </c>
      <c r="C762">
        <v>3</v>
      </c>
      <c r="D762">
        <v>2</v>
      </c>
      <c r="E762" s="1">
        <v>150</v>
      </c>
      <c r="F762" s="3">
        <v>1300000</v>
      </c>
      <c r="G762" s="2">
        <f t="shared" si="22"/>
        <v>8666.6666666666661</v>
      </c>
      <c r="H762" s="2">
        <f t="shared" si="23"/>
        <v>1300000</v>
      </c>
      <c r="I762" t="s">
        <v>240</v>
      </c>
      <c r="J762" t="s">
        <v>241</v>
      </c>
      <c r="K762" t="s">
        <v>2216</v>
      </c>
      <c r="L762" t="s">
        <v>242</v>
      </c>
      <c r="M762" t="s">
        <v>16</v>
      </c>
      <c r="N762" t="s">
        <v>243</v>
      </c>
    </row>
    <row r="763" spans="1:14" hidden="1" x14ac:dyDescent="0.35">
      <c r="A763" t="s">
        <v>301</v>
      </c>
      <c r="B763" t="s">
        <v>66</v>
      </c>
      <c r="C763">
        <v>4</v>
      </c>
      <c r="D763">
        <v>3</v>
      </c>
      <c r="E763" s="1">
        <v>147</v>
      </c>
      <c r="F763" s="3">
        <v>1300000</v>
      </c>
      <c r="G763" s="2">
        <f t="shared" si="22"/>
        <v>8843.5374149659856</v>
      </c>
      <c r="H763" s="2">
        <f t="shared" si="23"/>
        <v>1300000</v>
      </c>
      <c r="I763" t="s">
        <v>240</v>
      </c>
      <c r="J763" t="s">
        <v>241</v>
      </c>
      <c r="K763" t="s">
        <v>2216</v>
      </c>
      <c r="L763" t="s">
        <v>242</v>
      </c>
      <c r="M763" t="s">
        <v>16</v>
      </c>
      <c r="N763" t="s">
        <v>296</v>
      </c>
    </row>
    <row r="764" spans="1:14" hidden="1" x14ac:dyDescent="0.35">
      <c r="A764" t="s">
        <v>360</v>
      </c>
      <c r="B764" t="s">
        <v>66</v>
      </c>
      <c r="C764">
        <v>4</v>
      </c>
      <c r="D764">
        <v>4</v>
      </c>
      <c r="E764" s="1">
        <v>143</v>
      </c>
      <c r="F764" s="3">
        <v>1300000</v>
      </c>
      <c r="G764" s="2">
        <f t="shared" si="22"/>
        <v>9090.9090909090901</v>
      </c>
      <c r="H764" s="2">
        <f t="shared" si="23"/>
        <v>1300000</v>
      </c>
      <c r="I764" t="s">
        <v>240</v>
      </c>
      <c r="J764" t="s">
        <v>241</v>
      </c>
      <c r="K764" t="s">
        <v>2216</v>
      </c>
      <c r="L764" t="s">
        <v>242</v>
      </c>
      <c r="M764" t="s">
        <v>16</v>
      </c>
      <c r="N764" t="s">
        <v>2242</v>
      </c>
    </row>
    <row r="765" spans="1:14" hidden="1" x14ac:dyDescent="0.35">
      <c r="A765" t="s">
        <v>527</v>
      </c>
      <c r="B765" t="s">
        <v>12</v>
      </c>
      <c r="C765">
        <v>3</v>
      </c>
      <c r="D765">
        <v>3</v>
      </c>
      <c r="E765" s="1">
        <v>155</v>
      </c>
      <c r="F765" s="3">
        <v>1300000</v>
      </c>
      <c r="G765" s="2">
        <f t="shared" si="22"/>
        <v>8387.0967741935492</v>
      </c>
      <c r="H765" s="2">
        <f t="shared" si="23"/>
        <v>1300000</v>
      </c>
      <c r="I765" t="s">
        <v>528</v>
      </c>
      <c r="J765" t="s">
        <v>145</v>
      </c>
      <c r="K765" t="s">
        <v>2216</v>
      </c>
      <c r="L765" t="s">
        <v>146</v>
      </c>
      <c r="M765" t="s">
        <v>16</v>
      </c>
      <c r="N765" t="s">
        <v>2242</v>
      </c>
    </row>
    <row r="766" spans="1:14" hidden="1" x14ac:dyDescent="0.35">
      <c r="A766" t="s">
        <v>669</v>
      </c>
      <c r="B766" t="s">
        <v>66</v>
      </c>
      <c r="C766">
        <v>3</v>
      </c>
      <c r="D766">
        <v>3</v>
      </c>
      <c r="E766" s="1">
        <v>120</v>
      </c>
      <c r="F766" s="3">
        <v>1300000</v>
      </c>
      <c r="G766" s="2">
        <f t="shared" si="22"/>
        <v>10833.333333333334</v>
      </c>
      <c r="H766" s="2">
        <f t="shared" si="23"/>
        <v>1300000</v>
      </c>
      <c r="I766" t="s">
        <v>670</v>
      </c>
      <c r="J766" t="s">
        <v>145</v>
      </c>
      <c r="K766" t="s">
        <v>2216</v>
      </c>
      <c r="L766" t="s">
        <v>146</v>
      </c>
      <c r="M766" t="s">
        <v>16</v>
      </c>
      <c r="N766" t="s">
        <v>2242</v>
      </c>
    </row>
    <row r="767" spans="1:14" hidden="1" x14ac:dyDescent="0.35">
      <c r="A767" t="s">
        <v>713</v>
      </c>
      <c r="B767" t="s">
        <v>12</v>
      </c>
      <c r="C767">
        <v>3</v>
      </c>
      <c r="D767">
        <v>3</v>
      </c>
      <c r="E767" s="1">
        <v>131</v>
      </c>
      <c r="F767" s="3">
        <v>1300000</v>
      </c>
      <c r="G767" s="2">
        <f t="shared" si="22"/>
        <v>9923.6641221374048</v>
      </c>
      <c r="H767" s="2">
        <f t="shared" si="23"/>
        <v>1300000</v>
      </c>
      <c r="I767" t="s">
        <v>76</v>
      </c>
      <c r="J767" t="s">
        <v>28</v>
      </c>
      <c r="K767" t="s">
        <v>2217</v>
      </c>
      <c r="L767" t="s">
        <v>29</v>
      </c>
      <c r="M767" t="s">
        <v>16</v>
      </c>
      <c r="N767" t="s">
        <v>407</v>
      </c>
    </row>
    <row r="768" spans="1:14" hidden="1" x14ac:dyDescent="0.35">
      <c r="A768" t="s">
        <v>843</v>
      </c>
      <c r="B768" t="s">
        <v>12</v>
      </c>
      <c r="C768">
        <v>5</v>
      </c>
      <c r="D768">
        <v>4</v>
      </c>
      <c r="E768" s="1">
        <v>180</v>
      </c>
      <c r="F768" s="3">
        <v>1300000</v>
      </c>
      <c r="G768" s="2">
        <f t="shared" si="22"/>
        <v>7222.2222222222226</v>
      </c>
      <c r="H768" s="2">
        <f t="shared" si="23"/>
        <v>1300000</v>
      </c>
      <c r="I768" t="s">
        <v>844</v>
      </c>
      <c r="J768" t="s">
        <v>264</v>
      </c>
      <c r="K768" t="s">
        <v>2217</v>
      </c>
      <c r="L768" t="s">
        <v>265</v>
      </c>
      <c r="M768" t="s">
        <v>16</v>
      </c>
      <c r="N768" t="s">
        <v>2242</v>
      </c>
    </row>
    <row r="769" spans="1:14" x14ac:dyDescent="0.35">
      <c r="A769" t="s">
        <v>902</v>
      </c>
      <c r="B769" t="s">
        <v>18</v>
      </c>
      <c r="C769">
        <v>3</v>
      </c>
      <c r="D769">
        <v>3</v>
      </c>
      <c r="E769" s="1">
        <v>239</v>
      </c>
      <c r="F769" s="3">
        <v>1300000</v>
      </c>
      <c r="G769" s="2">
        <f t="shared" si="22"/>
        <v>5439.3305439330543</v>
      </c>
      <c r="H769" s="2">
        <f t="shared" si="23"/>
        <v>1300000</v>
      </c>
      <c r="I769" t="s">
        <v>807</v>
      </c>
      <c r="J769" t="s">
        <v>169</v>
      </c>
      <c r="K769" t="s">
        <v>2217</v>
      </c>
      <c r="L769" t="s">
        <v>170</v>
      </c>
      <c r="M769" t="s">
        <v>16</v>
      </c>
      <c r="N769" t="s">
        <v>2242</v>
      </c>
    </row>
    <row r="770" spans="1:14" x14ac:dyDescent="0.35">
      <c r="A770" t="s">
        <v>925</v>
      </c>
      <c r="B770" t="s">
        <v>18</v>
      </c>
      <c r="C770">
        <v>6</v>
      </c>
      <c r="D770">
        <v>5</v>
      </c>
      <c r="E770" s="1">
        <v>400</v>
      </c>
      <c r="F770" s="3">
        <v>1300000</v>
      </c>
      <c r="G770" s="2">
        <f t="shared" si="22"/>
        <v>3250</v>
      </c>
      <c r="H770" s="2">
        <f t="shared" si="23"/>
        <v>1300000</v>
      </c>
      <c r="I770" t="s">
        <v>848</v>
      </c>
      <c r="J770" t="s">
        <v>849</v>
      </c>
      <c r="K770" t="s">
        <v>2218</v>
      </c>
      <c r="L770" t="s">
        <v>850</v>
      </c>
      <c r="M770" t="s">
        <v>16</v>
      </c>
      <c r="N770" t="s">
        <v>574</v>
      </c>
    </row>
    <row r="771" spans="1:14" hidden="1" x14ac:dyDescent="0.35">
      <c r="A771" t="s">
        <v>998</v>
      </c>
      <c r="B771" t="s">
        <v>66</v>
      </c>
      <c r="C771">
        <v>4</v>
      </c>
      <c r="D771">
        <v>3</v>
      </c>
      <c r="E771" s="1">
        <v>147</v>
      </c>
      <c r="F771" s="3">
        <v>1300000</v>
      </c>
      <c r="G771" s="2">
        <f t="shared" si="22"/>
        <v>8843.5374149659856</v>
      </c>
      <c r="H771" s="2">
        <f t="shared" si="23"/>
        <v>1300000</v>
      </c>
      <c r="I771" t="s">
        <v>240</v>
      </c>
      <c r="J771" t="s">
        <v>241</v>
      </c>
      <c r="K771" t="s">
        <v>2216</v>
      </c>
      <c r="L771" t="s">
        <v>242</v>
      </c>
      <c r="M771" t="s">
        <v>16</v>
      </c>
      <c r="N771" t="s">
        <v>296</v>
      </c>
    </row>
    <row r="772" spans="1:14" x14ac:dyDescent="0.35">
      <c r="A772" t="s">
        <v>1043</v>
      </c>
      <c r="B772" t="s">
        <v>18</v>
      </c>
      <c r="C772">
        <v>3</v>
      </c>
      <c r="D772">
        <v>5</v>
      </c>
      <c r="E772" s="1">
        <v>237</v>
      </c>
      <c r="F772" s="3">
        <v>1300000</v>
      </c>
      <c r="G772" s="2">
        <f t="shared" si="22"/>
        <v>5485.2320675105484</v>
      </c>
      <c r="H772" s="2">
        <f t="shared" si="23"/>
        <v>1300000</v>
      </c>
      <c r="I772" t="s">
        <v>1044</v>
      </c>
      <c r="J772" t="s">
        <v>169</v>
      </c>
      <c r="K772" t="s">
        <v>2217</v>
      </c>
      <c r="L772" t="s">
        <v>170</v>
      </c>
      <c r="M772" t="s">
        <v>16</v>
      </c>
      <c r="N772" t="s">
        <v>2242</v>
      </c>
    </row>
    <row r="773" spans="1:14" hidden="1" x14ac:dyDescent="0.35">
      <c r="A773" t="s">
        <v>1047</v>
      </c>
      <c r="B773" t="s">
        <v>12</v>
      </c>
      <c r="C773">
        <v>3</v>
      </c>
      <c r="D773">
        <v>3</v>
      </c>
      <c r="E773" s="1">
        <v>149</v>
      </c>
      <c r="F773" s="3">
        <v>1300000</v>
      </c>
      <c r="G773" s="2">
        <f t="shared" ref="G773:G836" si="24">IF(F773&lt;50000,F773,F773/E773)</f>
        <v>8724.8322147651015</v>
      </c>
      <c r="H773" s="2">
        <f t="shared" ref="H773:H836" si="25">IF(F773&lt;50000,E773*F773,F773)</f>
        <v>1300000</v>
      </c>
      <c r="I773" t="s">
        <v>76</v>
      </c>
      <c r="J773" t="s">
        <v>28</v>
      </c>
      <c r="K773" t="s">
        <v>2217</v>
      </c>
      <c r="L773" t="s">
        <v>29</v>
      </c>
      <c r="M773" t="s">
        <v>16</v>
      </c>
      <c r="N773" t="s">
        <v>77</v>
      </c>
    </row>
    <row r="774" spans="1:14" hidden="1" x14ac:dyDescent="0.35">
      <c r="A774" t="s">
        <v>1203</v>
      </c>
      <c r="B774" t="s">
        <v>12</v>
      </c>
      <c r="C774">
        <v>3</v>
      </c>
      <c r="D774">
        <v>3</v>
      </c>
      <c r="E774" s="1">
        <v>149</v>
      </c>
      <c r="F774" s="3">
        <v>1300000</v>
      </c>
      <c r="G774" s="2">
        <f t="shared" si="24"/>
        <v>8724.8322147651015</v>
      </c>
      <c r="H774" s="2">
        <f t="shared" si="25"/>
        <v>1300000</v>
      </c>
      <c r="I774" t="s">
        <v>76</v>
      </c>
      <c r="J774" t="s">
        <v>28</v>
      </c>
      <c r="K774" t="s">
        <v>2217</v>
      </c>
      <c r="L774" t="s">
        <v>29</v>
      </c>
      <c r="M774" t="s">
        <v>16</v>
      </c>
      <c r="N774" t="s">
        <v>77</v>
      </c>
    </row>
    <row r="775" spans="1:14" hidden="1" x14ac:dyDescent="0.35">
      <c r="A775" t="s">
        <v>1436</v>
      </c>
      <c r="B775" t="s">
        <v>66</v>
      </c>
      <c r="C775">
        <v>6</v>
      </c>
      <c r="D775">
        <v>4</v>
      </c>
      <c r="E775" s="1">
        <v>232</v>
      </c>
      <c r="F775" s="3">
        <v>1300000</v>
      </c>
      <c r="G775" s="2">
        <f t="shared" si="24"/>
        <v>5603.4482758620688</v>
      </c>
      <c r="H775" s="2">
        <f t="shared" si="25"/>
        <v>1300000</v>
      </c>
      <c r="I775" t="s">
        <v>1437</v>
      </c>
      <c r="J775" t="s">
        <v>68</v>
      </c>
      <c r="K775" t="s">
        <v>2218</v>
      </c>
      <c r="L775" t="s">
        <v>69</v>
      </c>
      <c r="M775" t="s">
        <v>16</v>
      </c>
      <c r="N775" t="s">
        <v>2242</v>
      </c>
    </row>
    <row r="776" spans="1:14" x14ac:dyDescent="0.35">
      <c r="A776" t="s">
        <v>1450</v>
      </c>
      <c r="B776" t="s">
        <v>18</v>
      </c>
      <c r="C776">
        <v>8</v>
      </c>
      <c r="D776">
        <v>6</v>
      </c>
      <c r="E776" s="1">
        <v>250</v>
      </c>
      <c r="F776" s="3">
        <v>1300000</v>
      </c>
      <c r="G776" s="2">
        <f t="shared" si="24"/>
        <v>5200</v>
      </c>
      <c r="H776" s="2">
        <f t="shared" si="25"/>
        <v>1300000</v>
      </c>
      <c r="I776" t="s">
        <v>1429</v>
      </c>
      <c r="J776" t="s">
        <v>154</v>
      </c>
      <c r="K776" t="s">
        <v>2218</v>
      </c>
      <c r="L776" t="s">
        <v>155</v>
      </c>
      <c r="M776" t="s">
        <v>16</v>
      </c>
      <c r="N776" t="s">
        <v>948</v>
      </c>
    </row>
    <row r="777" spans="1:14" hidden="1" x14ac:dyDescent="0.35">
      <c r="A777" t="s">
        <v>1712</v>
      </c>
      <c r="B777" t="s">
        <v>12</v>
      </c>
      <c r="C777">
        <v>3</v>
      </c>
      <c r="D777">
        <v>4</v>
      </c>
      <c r="E777" s="1">
        <v>177</v>
      </c>
      <c r="F777" s="3">
        <v>1300000</v>
      </c>
      <c r="G777" s="2">
        <f t="shared" si="24"/>
        <v>7344.6327683615818</v>
      </c>
      <c r="H777" s="2">
        <f t="shared" si="25"/>
        <v>1300000</v>
      </c>
      <c r="I777" t="s">
        <v>1397</v>
      </c>
      <c r="J777" t="s">
        <v>125</v>
      </c>
      <c r="K777" t="s">
        <v>2217</v>
      </c>
      <c r="L777" t="s">
        <v>126</v>
      </c>
      <c r="M777" t="s">
        <v>16</v>
      </c>
      <c r="N777" t="s">
        <v>2242</v>
      </c>
    </row>
    <row r="778" spans="1:14" x14ac:dyDescent="0.35">
      <c r="A778" t="s">
        <v>1846</v>
      </c>
      <c r="B778" t="s">
        <v>18</v>
      </c>
      <c r="C778">
        <v>3</v>
      </c>
      <c r="D778">
        <v>4</v>
      </c>
      <c r="E778" s="1">
        <v>900</v>
      </c>
      <c r="F778" s="3">
        <v>1300000</v>
      </c>
      <c r="G778" s="2">
        <f t="shared" si="24"/>
        <v>1444.4444444444443</v>
      </c>
      <c r="H778" s="2">
        <f t="shared" si="25"/>
        <v>1300000</v>
      </c>
      <c r="I778" t="s">
        <v>1847</v>
      </c>
      <c r="J778" t="s">
        <v>68</v>
      </c>
      <c r="K778" t="s">
        <v>2218</v>
      </c>
      <c r="L778" t="s">
        <v>69</v>
      </c>
      <c r="M778" t="s">
        <v>16</v>
      </c>
      <c r="N778" t="s">
        <v>440</v>
      </c>
    </row>
    <row r="779" spans="1:14" x14ac:dyDescent="0.35">
      <c r="A779" t="s">
        <v>1856</v>
      </c>
      <c r="B779" t="s">
        <v>18</v>
      </c>
      <c r="C779">
        <v>6</v>
      </c>
      <c r="D779">
        <v>5</v>
      </c>
      <c r="E779" s="1">
        <v>375</v>
      </c>
      <c r="F779" s="3">
        <v>1300000</v>
      </c>
      <c r="G779" s="2">
        <f t="shared" si="24"/>
        <v>3466.6666666666665</v>
      </c>
      <c r="H779" s="2">
        <f t="shared" si="25"/>
        <v>1300000</v>
      </c>
      <c r="I779" t="s">
        <v>1353</v>
      </c>
      <c r="J779" t="s">
        <v>14</v>
      </c>
      <c r="K779" t="s">
        <v>2215</v>
      </c>
      <c r="L779" t="s">
        <v>15</v>
      </c>
      <c r="M779" t="s">
        <v>16</v>
      </c>
      <c r="N779" t="s">
        <v>1857</v>
      </c>
    </row>
    <row r="780" spans="1:14" hidden="1" x14ac:dyDescent="0.35">
      <c r="A780" t="s">
        <v>1890</v>
      </c>
      <c r="B780" t="s">
        <v>66</v>
      </c>
      <c r="C780">
        <v>3</v>
      </c>
      <c r="D780">
        <v>3</v>
      </c>
      <c r="E780" s="1">
        <v>123</v>
      </c>
      <c r="F780" s="3">
        <v>1300000</v>
      </c>
      <c r="G780" s="2">
        <f t="shared" si="24"/>
        <v>10569.105691056911</v>
      </c>
      <c r="H780" s="2">
        <f t="shared" si="25"/>
        <v>1300000</v>
      </c>
      <c r="I780" t="s">
        <v>1891</v>
      </c>
      <c r="J780" t="s">
        <v>233</v>
      </c>
      <c r="K780" t="s">
        <v>2216</v>
      </c>
      <c r="L780" t="s">
        <v>234</v>
      </c>
      <c r="M780" t="s">
        <v>16</v>
      </c>
      <c r="N780" t="s">
        <v>45</v>
      </c>
    </row>
    <row r="781" spans="1:14" x14ac:dyDescent="0.35">
      <c r="A781" t="s">
        <v>1941</v>
      </c>
      <c r="B781" t="s">
        <v>18</v>
      </c>
      <c r="C781">
        <v>8</v>
      </c>
      <c r="D781">
        <v>6</v>
      </c>
      <c r="E781" s="1">
        <v>250</v>
      </c>
      <c r="F781" s="3">
        <v>1300000</v>
      </c>
      <c r="G781" s="2">
        <f t="shared" si="24"/>
        <v>5200</v>
      </c>
      <c r="H781" s="2">
        <f t="shared" si="25"/>
        <v>1300000</v>
      </c>
      <c r="I781" t="s">
        <v>561</v>
      </c>
      <c r="J781" t="s">
        <v>154</v>
      </c>
      <c r="K781" t="s">
        <v>2218</v>
      </c>
      <c r="L781" t="s">
        <v>155</v>
      </c>
      <c r="M781" t="s">
        <v>16</v>
      </c>
      <c r="N781" t="s">
        <v>948</v>
      </c>
    </row>
    <row r="782" spans="1:14" x14ac:dyDescent="0.35">
      <c r="A782" t="s">
        <v>1947</v>
      </c>
      <c r="B782" t="s">
        <v>18</v>
      </c>
      <c r="C782">
        <v>5</v>
      </c>
      <c r="D782">
        <v>5</v>
      </c>
      <c r="E782" s="1">
        <v>500</v>
      </c>
      <c r="F782" s="3">
        <v>1300000</v>
      </c>
      <c r="G782" s="2">
        <f t="shared" si="24"/>
        <v>2600</v>
      </c>
      <c r="H782" s="2">
        <f t="shared" si="25"/>
        <v>1300000</v>
      </c>
      <c r="I782" t="s">
        <v>1948</v>
      </c>
      <c r="J782" t="s">
        <v>186</v>
      </c>
      <c r="K782" t="s">
        <v>2218</v>
      </c>
      <c r="L782" t="s">
        <v>187</v>
      </c>
      <c r="M782" t="s">
        <v>16</v>
      </c>
      <c r="N782" t="s">
        <v>2242</v>
      </c>
    </row>
    <row r="783" spans="1:14" hidden="1" x14ac:dyDescent="0.35">
      <c r="A783" t="s">
        <v>2179</v>
      </c>
      <c r="B783" t="s">
        <v>12</v>
      </c>
      <c r="C783">
        <v>3</v>
      </c>
      <c r="D783">
        <v>4</v>
      </c>
      <c r="E783" s="1">
        <v>236</v>
      </c>
      <c r="F783" s="3">
        <v>1300000</v>
      </c>
      <c r="G783" s="2">
        <f t="shared" si="24"/>
        <v>5508.4745762711864</v>
      </c>
      <c r="H783" s="2">
        <f t="shared" si="25"/>
        <v>1300000</v>
      </c>
      <c r="I783" t="s">
        <v>1293</v>
      </c>
      <c r="J783" t="s">
        <v>169</v>
      </c>
      <c r="K783" t="s">
        <v>2217</v>
      </c>
      <c r="L783" t="s">
        <v>170</v>
      </c>
      <c r="M783" t="s">
        <v>16</v>
      </c>
      <c r="N783" t="s">
        <v>77</v>
      </c>
    </row>
    <row r="784" spans="1:14" hidden="1" x14ac:dyDescent="0.35">
      <c r="A784" t="s">
        <v>1387</v>
      </c>
      <c r="B784" t="s">
        <v>66</v>
      </c>
      <c r="C784">
        <v>4</v>
      </c>
      <c r="D784">
        <v>4</v>
      </c>
      <c r="E784" s="1">
        <v>145</v>
      </c>
      <c r="F784" s="3">
        <v>1325000</v>
      </c>
      <c r="G784" s="2">
        <f t="shared" si="24"/>
        <v>9137.9310344827591</v>
      </c>
      <c r="H784" s="2">
        <f t="shared" si="25"/>
        <v>1325000</v>
      </c>
      <c r="I784" t="s">
        <v>1110</v>
      </c>
      <c r="J784" t="s">
        <v>145</v>
      </c>
      <c r="K784" t="s">
        <v>2216</v>
      </c>
      <c r="L784" t="s">
        <v>146</v>
      </c>
      <c r="M784" t="s">
        <v>16</v>
      </c>
      <c r="N784" t="s">
        <v>2242</v>
      </c>
    </row>
    <row r="785" spans="1:14" hidden="1" x14ac:dyDescent="0.35">
      <c r="A785" t="s">
        <v>1631</v>
      </c>
      <c r="B785" t="s">
        <v>1033</v>
      </c>
      <c r="C785">
        <v>0</v>
      </c>
      <c r="D785">
        <v>0</v>
      </c>
      <c r="E785" s="1">
        <v>360</v>
      </c>
      <c r="F785" s="3">
        <v>1332000</v>
      </c>
      <c r="G785" s="2">
        <f t="shared" si="24"/>
        <v>3700</v>
      </c>
      <c r="H785" s="2">
        <f t="shared" si="25"/>
        <v>1332000</v>
      </c>
      <c r="I785" t="s">
        <v>1632</v>
      </c>
      <c r="J785" t="s">
        <v>169</v>
      </c>
      <c r="K785" t="s">
        <v>2217</v>
      </c>
      <c r="L785" t="s">
        <v>170</v>
      </c>
      <c r="M785" t="s">
        <v>16</v>
      </c>
      <c r="N785" t="s">
        <v>1605</v>
      </c>
    </row>
    <row r="786" spans="1:14" hidden="1" x14ac:dyDescent="0.35">
      <c r="A786" t="s">
        <v>42</v>
      </c>
      <c r="B786" t="s">
        <v>12</v>
      </c>
      <c r="C786">
        <v>4</v>
      </c>
      <c r="D786">
        <v>3</v>
      </c>
      <c r="E786" s="1">
        <v>3098</v>
      </c>
      <c r="F786" s="3">
        <v>1350000</v>
      </c>
      <c r="G786" s="2">
        <f t="shared" si="24"/>
        <v>435.7650096836669</v>
      </c>
      <c r="H786" s="2">
        <f t="shared" si="25"/>
        <v>1350000</v>
      </c>
      <c r="I786" t="s">
        <v>2202</v>
      </c>
      <c r="J786" t="s">
        <v>43</v>
      </c>
      <c r="K786" t="s">
        <v>2219</v>
      </c>
      <c r="L786" t="s">
        <v>44</v>
      </c>
      <c r="M786" t="s">
        <v>16</v>
      </c>
      <c r="N786" t="s">
        <v>45</v>
      </c>
    </row>
    <row r="787" spans="1:14" hidden="1" x14ac:dyDescent="0.35">
      <c r="A787" t="s">
        <v>366</v>
      </c>
      <c r="B787" t="s">
        <v>66</v>
      </c>
      <c r="C787">
        <v>4</v>
      </c>
      <c r="D787">
        <v>3</v>
      </c>
      <c r="E787" s="1">
        <v>137</v>
      </c>
      <c r="F787" s="3">
        <v>1350000</v>
      </c>
      <c r="G787" s="2">
        <f t="shared" si="24"/>
        <v>9854.0145985401468</v>
      </c>
      <c r="H787" s="2">
        <f t="shared" si="25"/>
        <v>1350000</v>
      </c>
      <c r="I787" t="s">
        <v>367</v>
      </c>
      <c r="J787" t="s">
        <v>24</v>
      </c>
      <c r="K787" t="s">
        <v>2216</v>
      </c>
      <c r="L787" t="s">
        <v>25</v>
      </c>
      <c r="M787" t="s">
        <v>16</v>
      </c>
      <c r="N787" t="s">
        <v>2242</v>
      </c>
    </row>
    <row r="788" spans="1:14" hidden="1" x14ac:dyDescent="0.35">
      <c r="A788" t="s">
        <v>738</v>
      </c>
      <c r="B788" t="s">
        <v>66</v>
      </c>
      <c r="C788">
        <v>4</v>
      </c>
      <c r="D788">
        <v>4</v>
      </c>
      <c r="E788" s="1">
        <v>176</v>
      </c>
      <c r="F788" s="3">
        <v>1350000</v>
      </c>
      <c r="G788" s="2">
        <f t="shared" si="24"/>
        <v>7670.454545454545</v>
      </c>
      <c r="H788" s="2">
        <f t="shared" si="25"/>
        <v>1350000</v>
      </c>
      <c r="I788" t="s">
        <v>547</v>
      </c>
      <c r="J788" t="s">
        <v>173</v>
      </c>
      <c r="K788" t="s">
        <v>2216</v>
      </c>
      <c r="L788" t="s">
        <v>174</v>
      </c>
      <c r="M788" t="s">
        <v>16</v>
      </c>
      <c r="N788" t="s">
        <v>2242</v>
      </c>
    </row>
    <row r="789" spans="1:14" x14ac:dyDescent="0.35">
      <c r="A789" t="s">
        <v>1155</v>
      </c>
      <c r="B789" t="s">
        <v>18</v>
      </c>
      <c r="C789">
        <v>6</v>
      </c>
      <c r="D789">
        <v>4</v>
      </c>
      <c r="E789" s="1">
        <v>330</v>
      </c>
      <c r="F789" s="3">
        <v>1350000</v>
      </c>
      <c r="G789" s="2">
        <f t="shared" si="24"/>
        <v>4090.909090909091</v>
      </c>
      <c r="H789" s="2">
        <f t="shared" si="25"/>
        <v>1350000</v>
      </c>
      <c r="I789" t="s">
        <v>1156</v>
      </c>
      <c r="J789" t="s">
        <v>169</v>
      </c>
      <c r="K789" t="s">
        <v>2217</v>
      </c>
      <c r="L789" t="s">
        <v>170</v>
      </c>
      <c r="M789" t="s">
        <v>16</v>
      </c>
      <c r="N789" t="s">
        <v>624</v>
      </c>
    </row>
    <row r="790" spans="1:14" hidden="1" x14ac:dyDescent="0.35">
      <c r="A790" t="s">
        <v>1188</v>
      </c>
      <c r="B790" t="s">
        <v>66</v>
      </c>
      <c r="C790">
        <v>3</v>
      </c>
      <c r="D790">
        <v>3</v>
      </c>
      <c r="E790" s="1">
        <v>100</v>
      </c>
      <c r="F790" s="3">
        <v>1350000</v>
      </c>
      <c r="G790" s="2">
        <f t="shared" si="24"/>
        <v>13500</v>
      </c>
      <c r="H790" s="2">
        <f t="shared" si="25"/>
        <v>1350000</v>
      </c>
      <c r="I790" t="s">
        <v>1189</v>
      </c>
      <c r="J790" t="s">
        <v>233</v>
      </c>
      <c r="K790" t="s">
        <v>2216</v>
      </c>
      <c r="L790" t="s">
        <v>234</v>
      </c>
      <c r="M790" t="s">
        <v>16</v>
      </c>
      <c r="N790" t="s">
        <v>2242</v>
      </c>
    </row>
    <row r="791" spans="1:14" hidden="1" x14ac:dyDescent="0.35">
      <c r="A791" t="s">
        <v>1368</v>
      </c>
      <c r="B791" t="s">
        <v>12</v>
      </c>
      <c r="C791">
        <v>3</v>
      </c>
      <c r="D791">
        <v>3</v>
      </c>
      <c r="E791" s="1">
        <v>188</v>
      </c>
      <c r="F791" s="3">
        <v>1350000</v>
      </c>
      <c r="G791" s="2">
        <f t="shared" si="24"/>
        <v>7180.8510638297876</v>
      </c>
      <c r="H791" s="2">
        <f t="shared" si="25"/>
        <v>1350000</v>
      </c>
      <c r="I791" t="s">
        <v>76</v>
      </c>
      <c r="J791" t="s">
        <v>28</v>
      </c>
      <c r="K791" t="s">
        <v>2217</v>
      </c>
      <c r="L791" t="s">
        <v>29</v>
      </c>
      <c r="M791" t="s">
        <v>16</v>
      </c>
      <c r="N791" t="s">
        <v>407</v>
      </c>
    </row>
    <row r="792" spans="1:14" hidden="1" x14ac:dyDescent="0.35">
      <c r="A792" t="s">
        <v>235</v>
      </c>
      <c r="B792" t="s">
        <v>66</v>
      </c>
      <c r="C792">
        <v>3</v>
      </c>
      <c r="D792">
        <v>3</v>
      </c>
      <c r="E792" s="1">
        <v>3150</v>
      </c>
      <c r="F792" s="3">
        <v>1365000</v>
      </c>
      <c r="G792" s="2">
        <f t="shared" si="24"/>
        <v>433.33333333333331</v>
      </c>
      <c r="H792" s="2">
        <f t="shared" si="25"/>
        <v>1365000</v>
      </c>
      <c r="I792" t="s">
        <v>236</v>
      </c>
      <c r="J792" t="s">
        <v>145</v>
      </c>
      <c r="K792" t="s">
        <v>2216</v>
      </c>
      <c r="L792" t="s">
        <v>146</v>
      </c>
      <c r="M792" t="s">
        <v>16</v>
      </c>
      <c r="N792" t="s">
        <v>237</v>
      </c>
    </row>
    <row r="793" spans="1:14" ht="16" hidden="1" x14ac:dyDescent="0.45">
      <c r="A793" t="s">
        <v>2084</v>
      </c>
      <c r="B793" t="s">
        <v>189</v>
      </c>
      <c r="C793">
        <v>0</v>
      </c>
      <c r="D793">
        <v>0</v>
      </c>
      <c r="E793" s="1">
        <v>750</v>
      </c>
      <c r="F793" s="3">
        <v>1369000</v>
      </c>
      <c r="G793" s="2">
        <f t="shared" si="24"/>
        <v>1825.3333333333333</v>
      </c>
      <c r="H793" s="2">
        <f t="shared" si="25"/>
        <v>1369000</v>
      </c>
      <c r="I793" s="4" t="s">
        <v>2226</v>
      </c>
      <c r="J793" t="s">
        <v>291</v>
      </c>
      <c r="K793" t="s">
        <v>2217</v>
      </c>
      <c r="L793" t="s">
        <v>292</v>
      </c>
      <c r="M793" t="s">
        <v>16</v>
      </c>
      <c r="N793" t="s">
        <v>2242</v>
      </c>
    </row>
    <row r="794" spans="1:14" hidden="1" x14ac:dyDescent="0.35">
      <c r="A794" t="s">
        <v>2141</v>
      </c>
      <c r="B794" t="s">
        <v>66</v>
      </c>
      <c r="C794">
        <v>3</v>
      </c>
      <c r="D794">
        <v>3</v>
      </c>
      <c r="E794" s="1">
        <v>141</v>
      </c>
      <c r="F794" s="3">
        <v>1370000</v>
      </c>
      <c r="G794" s="2">
        <f t="shared" si="24"/>
        <v>9716.3120567375881</v>
      </c>
      <c r="H794" s="2">
        <f t="shared" si="25"/>
        <v>1370000</v>
      </c>
      <c r="I794" t="s">
        <v>2142</v>
      </c>
      <c r="J794" t="s">
        <v>443</v>
      </c>
      <c r="K794" t="s">
        <v>2217</v>
      </c>
      <c r="L794" t="s">
        <v>444</v>
      </c>
      <c r="M794" t="s">
        <v>16</v>
      </c>
      <c r="N794" t="s">
        <v>2143</v>
      </c>
    </row>
    <row r="795" spans="1:14" hidden="1" x14ac:dyDescent="0.35">
      <c r="A795" t="s">
        <v>270</v>
      </c>
      <c r="B795" t="s">
        <v>66</v>
      </c>
      <c r="C795">
        <v>4</v>
      </c>
      <c r="D795">
        <v>5</v>
      </c>
      <c r="E795" s="1">
        <v>216</v>
      </c>
      <c r="F795" s="3">
        <v>1373000</v>
      </c>
      <c r="G795" s="2">
        <f t="shared" si="24"/>
        <v>6356.4814814814818</v>
      </c>
      <c r="H795" s="2">
        <f t="shared" si="25"/>
        <v>1373000</v>
      </c>
      <c r="I795" t="s">
        <v>236</v>
      </c>
      <c r="J795" t="s">
        <v>145</v>
      </c>
      <c r="K795" t="s">
        <v>2216</v>
      </c>
      <c r="L795" t="s">
        <v>146</v>
      </c>
      <c r="M795" t="s">
        <v>16</v>
      </c>
      <c r="N795" t="s">
        <v>77</v>
      </c>
    </row>
    <row r="796" spans="1:14" hidden="1" x14ac:dyDescent="0.35">
      <c r="A796" t="s">
        <v>1398</v>
      </c>
      <c r="B796" t="s">
        <v>66</v>
      </c>
      <c r="C796">
        <v>3</v>
      </c>
      <c r="D796">
        <v>4</v>
      </c>
      <c r="E796" s="1">
        <v>216</v>
      </c>
      <c r="F796" s="3">
        <v>1373000</v>
      </c>
      <c r="G796" s="2">
        <f t="shared" si="24"/>
        <v>6356.4814814814818</v>
      </c>
      <c r="H796" s="2">
        <f t="shared" si="25"/>
        <v>1373000</v>
      </c>
      <c r="I796" t="s">
        <v>670</v>
      </c>
      <c r="J796" t="s">
        <v>145</v>
      </c>
      <c r="K796" t="s">
        <v>2216</v>
      </c>
      <c r="L796" t="s">
        <v>146</v>
      </c>
      <c r="M796" t="s">
        <v>16</v>
      </c>
      <c r="N796" t="s">
        <v>77</v>
      </c>
    </row>
    <row r="797" spans="1:14" hidden="1" x14ac:dyDescent="0.35">
      <c r="A797" t="s">
        <v>1563</v>
      </c>
      <c r="B797" t="s">
        <v>66</v>
      </c>
      <c r="C797">
        <v>4</v>
      </c>
      <c r="D797">
        <v>4</v>
      </c>
      <c r="E797" s="1">
        <v>212</v>
      </c>
      <c r="F797" s="3">
        <v>1380000</v>
      </c>
      <c r="G797" s="2">
        <f t="shared" si="24"/>
        <v>6509.433962264151</v>
      </c>
      <c r="H797" s="2">
        <f t="shared" si="25"/>
        <v>1380000</v>
      </c>
      <c r="I797" t="s">
        <v>1564</v>
      </c>
      <c r="J797" t="s">
        <v>923</v>
      </c>
      <c r="K797" t="s">
        <v>2217</v>
      </c>
      <c r="L797" t="s">
        <v>924</v>
      </c>
      <c r="M797" t="s">
        <v>16</v>
      </c>
      <c r="N797" t="s">
        <v>2242</v>
      </c>
    </row>
    <row r="798" spans="1:14" hidden="1" x14ac:dyDescent="0.35">
      <c r="A798" t="s">
        <v>1482</v>
      </c>
      <c r="B798" t="s">
        <v>66</v>
      </c>
      <c r="C798">
        <v>3</v>
      </c>
      <c r="D798">
        <v>2</v>
      </c>
      <c r="E798" s="1">
        <v>96</v>
      </c>
      <c r="F798" s="3">
        <v>1389000</v>
      </c>
      <c r="G798" s="2">
        <f t="shared" si="24"/>
        <v>14468.75</v>
      </c>
      <c r="H798" s="2">
        <f t="shared" si="25"/>
        <v>1389000</v>
      </c>
      <c r="I798" t="s">
        <v>1408</v>
      </c>
      <c r="J798" t="s">
        <v>734</v>
      </c>
      <c r="K798" t="s">
        <v>2216</v>
      </c>
      <c r="L798" t="s">
        <v>735</v>
      </c>
      <c r="M798" t="s">
        <v>16</v>
      </c>
      <c r="N798" t="s">
        <v>1409</v>
      </c>
    </row>
    <row r="799" spans="1:14" hidden="1" x14ac:dyDescent="0.35">
      <c r="A799" t="s">
        <v>1066</v>
      </c>
      <c r="B799" t="s">
        <v>66</v>
      </c>
      <c r="C799">
        <v>2</v>
      </c>
      <c r="D799">
        <v>2</v>
      </c>
      <c r="E799" s="1">
        <v>100</v>
      </c>
      <c r="F799" s="3">
        <v>1395000</v>
      </c>
      <c r="G799" s="2">
        <f t="shared" si="24"/>
        <v>13950</v>
      </c>
      <c r="H799" s="2">
        <f t="shared" si="25"/>
        <v>1395000</v>
      </c>
      <c r="I799" t="s">
        <v>1067</v>
      </c>
      <c r="J799" t="s">
        <v>1068</v>
      </c>
      <c r="K799" t="s">
        <v>2216</v>
      </c>
      <c r="L799" t="s">
        <v>1069</v>
      </c>
      <c r="M799" t="s">
        <v>16</v>
      </c>
      <c r="N799" t="s">
        <v>2242</v>
      </c>
    </row>
    <row r="800" spans="1:14" hidden="1" x14ac:dyDescent="0.35">
      <c r="A800" t="s">
        <v>1407</v>
      </c>
      <c r="B800" t="s">
        <v>66</v>
      </c>
      <c r="C800">
        <v>3</v>
      </c>
      <c r="D800">
        <v>2</v>
      </c>
      <c r="E800" s="1">
        <v>96</v>
      </c>
      <c r="F800" s="3">
        <v>1399000</v>
      </c>
      <c r="G800" s="2">
        <f t="shared" si="24"/>
        <v>14572.916666666666</v>
      </c>
      <c r="H800" s="2">
        <f t="shared" si="25"/>
        <v>1399000</v>
      </c>
      <c r="I800" t="s">
        <v>1408</v>
      </c>
      <c r="J800" t="s">
        <v>734</v>
      </c>
      <c r="K800" t="s">
        <v>2216</v>
      </c>
      <c r="L800" t="s">
        <v>735</v>
      </c>
      <c r="M800" t="s">
        <v>16</v>
      </c>
      <c r="N800" t="s">
        <v>1409</v>
      </c>
    </row>
    <row r="801" spans="1:14" hidden="1" x14ac:dyDescent="0.35">
      <c r="A801" t="s">
        <v>1549</v>
      </c>
      <c r="B801" t="s">
        <v>66</v>
      </c>
      <c r="C801">
        <v>3</v>
      </c>
      <c r="D801">
        <v>2</v>
      </c>
      <c r="E801" s="1">
        <v>96</v>
      </c>
      <c r="F801" s="3">
        <v>1399000</v>
      </c>
      <c r="G801" s="2">
        <f t="shared" si="24"/>
        <v>14572.916666666666</v>
      </c>
      <c r="H801" s="2">
        <f t="shared" si="25"/>
        <v>1399000</v>
      </c>
      <c r="I801" t="s">
        <v>1408</v>
      </c>
      <c r="J801" t="s">
        <v>734</v>
      </c>
      <c r="K801" t="s">
        <v>2216</v>
      </c>
      <c r="L801" t="s">
        <v>735</v>
      </c>
      <c r="M801" t="s">
        <v>16</v>
      </c>
      <c r="N801" t="s">
        <v>1409</v>
      </c>
    </row>
    <row r="802" spans="1:14" hidden="1" x14ac:dyDescent="0.35">
      <c r="A802" t="s">
        <v>1622</v>
      </c>
      <c r="B802" t="s">
        <v>66</v>
      </c>
      <c r="C802">
        <v>4</v>
      </c>
      <c r="D802">
        <v>2</v>
      </c>
      <c r="E802" s="1">
        <v>116</v>
      </c>
      <c r="F802" s="3">
        <v>1399000</v>
      </c>
      <c r="G802" s="2">
        <f t="shared" si="24"/>
        <v>12060.344827586207</v>
      </c>
      <c r="H802" s="2">
        <f t="shared" si="25"/>
        <v>1399000</v>
      </c>
      <c r="I802" t="s">
        <v>2210</v>
      </c>
      <c r="J802" t="s">
        <v>1623</v>
      </c>
      <c r="K802" t="s">
        <v>2217</v>
      </c>
      <c r="L802" t="s">
        <v>1624</v>
      </c>
      <c r="M802" t="s">
        <v>16</v>
      </c>
      <c r="N802" t="s">
        <v>2242</v>
      </c>
    </row>
    <row r="803" spans="1:14" hidden="1" x14ac:dyDescent="0.35">
      <c r="A803" t="s">
        <v>177</v>
      </c>
      <c r="B803" t="s">
        <v>1033</v>
      </c>
      <c r="C803">
        <v>0</v>
      </c>
      <c r="D803">
        <v>0</v>
      </c>
      <c r="E803" s="1">
        <v>410</v>
      </c>
      <c r="F803" s="3">
        <v>1400000</v>
      </c>
      <c r="G803" s="2">
        <f t="shared" si="24"/>
        <v>3414.6341463414633</v>
      </c>
      <c r="H803" s="2">
        <f t="shared" si="25"/>
        <v>1400000</v>
      </c>
      <c r="I803" t="s">
        <v>178</v>
      </c>
      <c r="J803" t="s">
        <v>179</v>
      </c>
      <c r="K803" t="s">
        <v>2219</v>
      </c>
      <c r="L803" t="s">
        <v>180</v>
      </c>
      <c r="M803" t="s">
        <v>16</v>
      </c>
      <c r="N803" t="s">
        <v>181</v>
      </c>
    </row>
    <row r="804" spans="1:14" x14ac:dyDescent="0.35">
      <c r="A804" t="s">
        <v>249</v>
      </c>
      <c r="B804" t="s">
        <v>18</v>
      </c>
      <c r="C804">
        <v>3</v>
      </c>
      <c r="D804">
        <v>2</v>
      </c>
      <c r="E804" s="1">
        <v>440</v>
      </c>
      <c r="F804" s="3">
        <v>1400000</v>
      </c>
      <c r="G804" s="2">
        <f t="shared" si="24"/>
        <v>3181.818181818182</v>
      </c>
      <c r="H804" s="2">
        <f t="shared" si="25"/>
        <v>1400000</v>
      </c>
      <c r="I804" t="s">
        <v>2205</v>
      </c>
      <c r="J804" t="s">
        <v>97</v>
      </c>
      <c r="K804" t="s">
        <v>2217</v>
      </c>
      <c r="L804" t="s">
        <v>98</v>
      </c>
      <c r="M804" t="s">
        <v>16</v>
      </c>
      <c r="N804" t="s">
        <v>2242</v>
      </c>
    </row>
    <row r="805" spans="1:14" hidden="1" x14ac:dyDescent="0.35">
      <c r="A805" t="s">
        <v>1216</v>
      </c>
      <c r="B805" t="s">
        <v>251</v>
      </c>
      <c r="C805">
        <v>2</v>
      </c>
      <c r="D805">
        <v>1</v>
      </c>
      <c r="E805" s="1">
        <v>449</v>
      </c>
      <c r="F805" s="3">
        <v>1400000</v>
      </c>
      <c r="G805" s="2">
        <f t="shared" si="24"/>
        <v>3118.0400890868596</v>
      </c>
      <c r="H805" s="2">
        <f t="shared" si="25"/>
        <v>1400000</v>
      </c>
      <c r="I805" t="s">
        <v>1217</v>
      </c>
      <c r="J805" t="s">
        <v>772</v>
      </c>
      <c r="K805" t="s">
        <v>2218</v>
      </c>
      <c r="L805" t="s">
        <v>773</v>
      </c>
      <c r="M805" t="s">
        <v>16</v>
      </c>
      <c r="N805" t="s">
        <v>1218</v>
      </c>
    </row>
    <row r="806" spans="1:14" hidden="1" x14ac:dyDescent="0.35">
      <c r="A806" t="s">
        <v>1506</v>
      </c>
      <c r="B806" t="s">
        <v>12</v>
      </c>
      <c r="C806">
        <v>6</v>
      </c>
      <c r="D806">
        <v>5</v>
      </c>
      <c r="E806" s="1">
        <v>185</v>
      </c>
      <c r="F806" s="3">
        <v>1400000</v>
      </c>
      <c r="G806" s="2">
        <f t="shared" si="24"/>
        <v>7567.5675675675675</v>
      </c>
      <c r="H806" s="2">
        <f t="shared" si="25"/>
        <v>1400000</v>
      </c>
      <c r="I806" t="s">
        <v>76</v>
      </c>
      <c r="J806" t="s">
        <v>28</v>
      </c>
      <c r="K806" t="s">
        <v>2217</v>
      </c>
      <c r="L806" t="s">
        <v>29</v>
      </c>
      <c r="M806" t="s">
        <v>16</v>
      </c>
      <c r="N806" t="s">
        <v>407</v>
      </c>
    </row>
    <row r="807" spans="1:14" hidden="1" x14ac:dyDescent="0.35">
      <c r="A807" t="s">
        <v>1684</v>
      </c>
      <c r="B807" t="s">
        <v>12</v>
      </c>
      <c r="C807">
        <v>5</v>
      </c>
      <c r="D807">
        <v>4</v>
      </c>
      <c r="E807" s="1">
        <v>305</v>
      </c>
      <c r="F807" s="3">
        <v>1400000</v>
      </c>
      <c r="G807" s="2">
        <f t="shared" si="24"/>
        <v>4590.1639344262294</v>
      </c>
      <c r="H807" s="2">
        <f t="shared" si="25"/>
        <v>1400000</v>
      </c>
      <c r="I807" t="s">
        <v>1685</v>
      </c>
      <c r="J807" t="s">
        <v>405</v>
      </c>
      <c r="K807" t="s">
        <v>2217</v>
      </c>
      <c r="L807" t="s">
        <v>406</v>
      </c>
      <c r="M807" t="s">
        <v>16</v>
      </c>
      <c r="N807" t="s">
        <v>407</v>
      </c>
    </row>
    <row r="808" spans="1:14" hidden="1" x14ac:dyDescent="0.35">
      <c r="A808" t="s">
        <v>1715</v>
      </c>
      <c r="B808" t="s">
        <v>12</v>
      </c>
      <c r="C808">
        <v>3</v>
      </c>
      <c r="D808">
        <v>5</v>
      </c>
      <c r="E808" s="1">
        <v>186</v>
      </c>
      <c r="F808" s="3">
        <v>1400000</v>
      </c>
      <c r="G808" s="2">
        <f t="shared" si="24"/>
        <v>7526.8817204301076</v>
      </c>
      <c r="H808" s="2">
        <f t="shared" si="25"/>
        <v>1400000</v>
      </c>
      <c r="I808" t="s">
        <v>1146</v>
      </c>
      <c r="J808" t="s">
        <v>173</v>
      </c>
      <c r="K808" t="s">
        <v>2216</v>
      </c>
      <c r="L808" t="s">
        <v>174</v>
      </c>
      <c r="M808" t="s">
        <v>16</v>
      </c>
      <c r="N808" t="s">
        <v>2242</v>
      </c>
    </row>
    <row r="809" spans="1:14" hidden="1" x14ac:dyDescent="0.35">
      <c r="A809" t="s">
        <v>1752</v>
      </c>
      <c r="B809" t="s">
        <v>12</v>
      </c>
      <c r="C809">
        <v>4</v>
      </c>
      <c r="D809">
        <v>3</v>
      </c>
      <c r="E809" s="1">
        <v>550</v>
      </c>
      <c r="F809" s="3">
        <v>1400000</v>
      </c>
      <c r="G809" s="2">
        <f t="shared" si="24"/>
        <v>2545.4545454545455</v>
      </c>
      <c r="H809" s="2">
        <f t="shared" si="25"/>
        <v>1400000</v>
      </c>
      <c r="I809" t="s">
        <v>283</v>
      </c>
      <c r="J809" t="s">
        <v>145</v>
      </c>
      <c r="K809" t="s">
        <v>2216</v>
      </c>
      <c r="L809" t="s">
        <v>146</v>
      </c>
      <c r="M809" t="s">
        <v>16</v>
      </c>
      <c r="N809" t="s">
        <v>2242</v>
      </c>
    </row>
    <row r="810" spans="1:14" hidden="1" x14ac:dyDescent="0.35">
      <c r="A810" t="s">
        <v>1791</v>
      </c>
      <c r="B810" t="s">
        <v>12</v>
      </c>
      <c r="C810">
        <v>4</v>
      </c>
      <c r="D810">
        <v>4</v>
      </c>
      <c r="E810" s="1">
        <v>305</v>
      </c>
      <c r="F810" s="3">
        <v>1400000</v>
      </c>
      <c r="G810" s="2">
        <f t="shared" si="24"/>
        <v>4590.1639344262294</v>
      </c>
      <c r="H810" s="2">
        <f t="shared" si="25"/>
        <v>1400000</v>
      </c>
      <c r="I810" t="s">
        <v>1792</v>
      </c>
      <c r="J810" t="s">
        <v>405</v>
      </c>
      <c r="K810" t="s">
        <v>2217</v>
      </c>
      <c r="L810" t="s">
        <v>406</v>
      </c>
      <c r="M810" t="s">
        <v>16</v>
      </c>
      <c r="N810" t="s">
        <v>407</v>
      </c>
    </row>
    <row r="811" spans="1:14" hidden="1" x14ac:dyDescent="0.35">
      <c r="A811" t="s">
        <v>1877</v>
      </c>
      <c r="B811" t="s">
        <v>12</v>
      </c>
      <c r="C811">
        <v>4</v>
      </c>
      <c r="D811">
        <v>3</v>
      </c>
      <c r="E811" s="1">
        <v>305</v>
      </c>
      <c r="F811" s="3">
        <v>1400000</v>
      </c>
      <c r="G811" s="2">
        <f t="shared" si="24"/>
        <v>4590.1639344262294</v>
      </c>
      <c r="H811" s="2">
        <f t="shared" si="25"/>
        <v>1400000</v>
      </c>
      <c r="I811" t="s">
        <v>1160</v>
      </c>
      <c r="J811" t="s">
        <v>405</v>
      </c>
      <c r="K811" t="s">
        <v>2217</v>
      </c>
      <c r="L811" t="s">
        <v>406</v>
      </c>
      <c r="M811" t="s">
        <v>16</v>
      </c>
      <c r="N811" t="s">
        <v>2242</v>
      </c>
    </row>
    <row r="812" spans="1:14" hidden="1" x14ac:dyDescent="0.35">
      <c r="A812" t="s">
        <v>1909</v>
      </c>
      <c r="B812" t="s">
        <v>66</v>
      </c>
      <c r="C812">
        <v>3</v>
      </c>
      <c r="D812">
        <v>3</v>
      </c>
      <c r="E812" s="1">
        <v>134</v>
      </c>
      <c r="F812" s="3">
        <v>1400000</v>
      </c>
      <c r="G812" s="2">
        <f t="shared" si="24"/>
        <v>10447.76119402985</v>
      </c>
      <c r="H812" s="2">
        <f t="shared" si="25"/>
        <v>1400000</v>
      </c>
      <c r="I812" t="s">
        <v>240</v>
      </c>
      <c r="J812" t="s">
        <v>241</v>
      </c>
      <c r="K812" t="s">
        <v>2216</v>
      </c>
      <c r="L812" t="s">
        <v>242</v>
      </c>
      <c r="M812" t="s">
        <v>16</v>
      </c>
      <c r="N812" t="s">
        <v>2242</v>
      </c>
    </row>
    <row r="813" spans="1:14" hidden="1" x14ac:dyDescent="0.35">
      <c r="A813" t="s">
        <v>2144</v>
      </c>
      <c r="B813" t="s">
        <v>12</v>
      </c>
      <c r="C813">
        <v>5</v>
      </c>
      <c r="D813">
        <v>6</v>
      </c>
      <c r="E813" s="1">
        <v>305</v>
      </c>
      <c r="F813" s="3">
        <v>1400000</v>
      </c>
      <c r="G813" s="2">
        <f t="shared" si="24"/>
        <v>4590.1639344262294</v>
      </c>
      <c r="H813" s="2">
        <f t="shared" si="25"/>
        <v>1400000</v>
      </c>
      <c r="I813" t="s">
        <v>975</v>
      </c>
      <c r="J813" t="s">
        <v>405</v>
      </c>
      <c r="K813" t="s">
        <v>2217</v>
      </c>
      <c r="L813" t="s">
        <v>406</v>
      </c>
      <c r="M813" t="s">
        <v>16</v>
      </c>
      <c r="N813" t="s">
        <v>407</v>
      </c>
    </row>
    <row r="814" spans="1:14" hidden="1" x14ac:dyDescent="0.35">
      <c r="A814" t="s">
        <v>397</v>
      </c>
      <c r="B814" t="s">
        <v>66</v>
      </c>
      <c r="C814">
        <v>3</v>
      </c>
      <c r="D814">
        <v>3</v>
      </c>
      <c r="E814" s="1">
        <v>140</v>
      </c>
      <c r="F814" s="3">
        <v>1420000</v>
      </c>
      <c r="G814" s="2">
        <f t="shared" si="24"/>
        <v>10142.857142857143</v>
      </c>
      <c r="H814" s="2">
        <f t="shared" si="25"/>
        <v>1420000</v>
      </c>
      <c r="I814" t="s">
        <v>398</v>
      </c>
      <c r="J814" t="s">
        <v>399</v>
      </c>
      <c r="K814" t="s">
        <v>2218</v>
      </c>
      <c r="L814" t="s">
        <v>400</v>
      </c>
      <c r="M814" t="s">
        <v>16</v>
      </c>
      <c r="N814" t="s">
        <v>401</v>
      </c>
    </row>
    <row r="815" spans="1:14" hidden="1" x14ac:dyDescent="0.35">
      <c r="A815" t="s">
        <v>681</v>
      </c>
      <c r="B815" t="s">
        <v>1033</v>
      </c>
      <c r="C815">
        <v>0</v>
      </c>
      <c r="D815">
        <v>0</v>
      </c>
      <c r="E815" s="1">
        <v>756</v>
      </c>
      <c r="F815" s="3">
        <v>1879</v>
      </c>
      <c r="G815" s="2">
        <f t="shared" si="24"/>
        <v>1879</v>
      </c>
      <c r="H815" s="2">
        <f t="shared" si="25"/>
        <v>1420524</v>
      </c>
      <c r="I815" t="s">
        <v>682</v>
      </c>
      <c r="J815" t="s">
        <v>16</v>
      </c>
      <c r="K815" t="s">
        <v>2216</v>
      </c>
      <c r="L815" t="s">
        <v>224</v>
      </c>
      <c r="M815" t="s">
        <v>16</v>
      </c>
      <c r="N815" t="s">
        <v>2242</v>
      </c>
    </row>
    <row r="816" spans="1:14" hidden="1" x14ac:dyDescent="0.35">
      <c r="A816" t="s">
        <v>282</v>
      </c>
      <c r="B816" t="s">
        <v>12</v>
      </c>
      <c r="C816">
        <v>4</v>
      </c>
      <c r="D816">
        <v>4</v>
      </c>
      <c r="E816" s="1">
        <v>214</v>
      </c>
      <c r="F816" s="3">
        <v>1430000</v>
      </c>
      <c r="G816" s="2">
        <f t="shared" si="24"/>
        <v>6682.2429906542056</v>
      </c>
      <c r="H816" s="2">
        <f t="shared" si="25"/>
        <v>1430000</v>
      </c>
      <c r="I816" t="s">
        <v>283</v>
      </c>
      <c r="J816" t="s">
        <v>145</v>
      </c>
      <c r="K816" t="s">
        <v>2216</v>
      </c>
      <c r="L816" t="s">
        <v>146</v>
      </c>
      <c r="M816" t="s">
        <v>16</v>
      </c>
      <c r="N816" t="s">
        <v>284</v>
      </c>
    </row>
    <row r="817" spans="1:14" x14ac:dyDescent="0.35">
      <c r="A817" t="s">
        <v>639</v>
      </c>
      <c r="B817" t="s">
        <v>18</v>
      </c>
      <c r="C817">
        <v>3</v>
      </c>
      <c r="D817">
        <v>4</v>
      </c>
      <c r="E817" s="1">
        <v>300</v>
      </c>
      <c r="F817" s="3">
        <v>1440000</v>
      </c>
      <c r="G817" s="2">
        <f t="shared" si="24"/>
        <v>4800</v>
      </c>
      <c r="H817" s="2">
        <f t="shared" si="25"/>
        <v>1440000</v>
      </c>
      <c r="I817" t="s">
        <v>640</v>
      </c>
      <c r="J817" t="s">
        <v>373</v>
      </c>
      <c r="K817" t="s">
        <v>2218</v>
      </c>
      <c r="L817" t="s">
        <v>374</v>
      </c>
      <c r="M817" t="s">
        <v>16</v>
      </c>
      <c r="N817" t="s">
        <v>641</v>
      </c>
    </row>
    <row r="818" spans="1:14" hidden="1" x14ac:dyDescent="0.35">
      <c r="A818" t="s">
        <v>75</v>
      </c>
      <c r="B818" t="s">
        <v>12</v>
      </c>
      <c r="C818">
        <v>4</v>
      </c>
      <c r="D818">
        <v>6</v>
      </c>
      <c r="E818" s="1">
        <v>540</v>
      </c>
      <c r="F818" s="3">
        <v>1450000</v>
      </c>
      <c r="G818" s="2">
        <f t="shared" si="24"/>
        <v>2685.1851851851852</v>
      </c>
      <c r="H818" s="2">
        <f t="shared" si="25"/>
        <v>1450000</v>
      </c>
      <c r="I818" t="s">
        <v>76</v>
      </c>
      <c r="J818" t="s">
        <v>28</v>
      </c>
      <c r="K818" t="s">
        <v>2217</v>
      </c>
      <c r="L818" t="s">
        <v>29</v>
      </c>
      <c r="M818" t="s">
        <v>16</v>
      </c>
      <c r="N818" t="s">
        <v>77</v>
      </c>
    </row>
    <row r="819" spans="1:14" ht="16" hidden="1" x14ac:dyDescent="0.45">
      <c r="A819" t="s">
        <v>133</v>
      </c>
      <c r="B819" t="s">
        <v>12</v>
      </c>
      <c r="C819">
        <v>4</v>
      </c>
      <c r="D819">
        <v>4</v>
      </c>
      <c r="E819" s="1">
        <v>3098</v>
      </c>
      <c r="F819" s="3">
        <v>1450000</v>
      </c>
      <c r="G819" s="2">
        <f t="shared" si="24"/>
        <v>468.04389928986444</v>
      </c>
      <c r="H819" s="2">
        <f t="shared" si="25"/>
        <v>1450000</v>
      </c>
      <c r="I819" s="4" t="s">
        <v>2220</v>
      </c>
      <c r="J819" t="s">
        <v>43</v>
      </c>
      <c r="K819" t="s">
        <v>2219</v>
      </c>
      <c r="L819" t="s">
        <v>44</v>
      </c>
      <c r="M819" t="s">
        <v>16</v>
      </c>
      <c r="N819" t="s">
        <v>45</v>
      </c>
    </row>
    <row r="820" spans="1:14" hidden="1" x14ac:dyDescent="0.35">
      <c r="A820" t="s">
        <v>359</v>
      </c>
      <c r="B820" t="s">
        <v>12</v>
      </c>
      <c r="C820">
        <v>3</v>
      </c>
      <c r="D820">
        <v>4</v>
      </c>
      <c r="E820" s="1">
        <v>540</v>
      </c>
      <c r="F820" s="3">
        <v>1450000</v>
      </c>
      <c r="G820" s="2">
        <f t="shared" si="24"/>
        <v>2685.1851851851852</v>
      </c>
      <c r="H820" s="2">
        <f t="shared" si="25"/>
        <v>1450000</v>
      </c>
      <c r="I820" t="s">
        <v>76</v>
      </c>
      <c r="J820" t="s">
        <v>28</v>
      </c>
      <c r="K820" t="s">
        <v>2217</v>
      </c>
      <c r="L820" t="s">
        <v>29</v>
      </c>
      <c r="M820" t="s">
        <v>16</v>
      </c>
      <c r="N820" t="s">
        <v>77</v>
      </c>
    </row>
    <row r="821" spans="1:14" hidden="1" x14ac:dyDescent="0.35">
      <c r="A821" t="s">
        <v>520</v>
      </c>
      <c r="B821" t="s">
        <v>12</v>
      </c>
      <c r="C821">
        <v>4</v>
      </c>
      <c r="D821">
        <v>5</v>
      </c>
      <c r="E821" s="1">
        <v>305</v>
      </c>
      <c r="F821" s="3">
        <v>1450000</v>
      </c>
      <c r="G821" s="2">
        <f t="shared" si="24"/>
        <v>4754.0983606557375</v>
      </c>
      <c r="H821" s="2">
        <f t="shared" si="25"/>
        <v>1450000</v>
      </c>
      <c r="I821" t="s">
        <v>521</v>
      </c>
      <c r="J821" t="s">
        <v>405</v>
      </c>
      <c r="K821" t="s">
        <v>2217</v>
      </c>
      <c r="L821" t="s">
        <v>406</v>
      </c>
      <c r="M821" t="s">
        <v>16</v>
      </c>
      <c r="N821" t="s">
        <v>407</v>
      </c>
    </row>
    <row r="822" spans="1:14" hidden="1" x14ac:dyDescent="0.35">
      <c r="A822" t="s">
        <v>1382</v>
      </c>
      <c r="B822" t="s">
        <v>66</v>
      </c>
      <c r="C822">
        <v>3</v>
      </c>
      <c r="D822">
        <v>4</v>
      </c>
      <c r="E822" s="1">
        <v>137</v>
      </c>
      <c r="F822" s="3">
        <v>1450000</v>
      </c>
      <c r="G822" s="2">
        <f t="shared" si="24"/>
        <v>10583.941605839416</v>
      </c>
      <c r="H822" s="2">
        <f t="shared" si="25"/>
        <v>1450000</v>
      </c>
      <c r="I822" t="s">
        <v>240</v>
      </c>
      <c r="J822" t="s">
        <v>241</v>
      </c>
      <c r="K822" t="s">
        <v>2216</v>
      </c>
      <c r="L822" t="s">
        <v>242</v>
      </c>
      <c r="M822" t="s">
        <v>16</v>
      </c>
      <c r="N822" t="s">
        <v>1383</v>
      </c>
    </row>
    <row r="823" spans="1:14" x14ac:dyDescent="0.35">
      <c r="A823" t="s">
        <v>1497</v>
      </c>
      <c r="B823" t="s">
        <v>18</v>
      </c>
      <c r="C823">
        <v>4</v>
      </c>
      <c r="D823">
        <v>4</v>
      </c>
      <c r="E823" s="1">
        <v>252</v>
      </c>
      <c r="F823" s="3">
        <v>1450000</v>
      </c>
      <c r="G823" s="2">
        <f t="shared" si="24"/>
        <v>5753.9682539682535</v>
      </c>
      <c r="H823" s="2">
        <f t="shared" si="25"/>
        <v>1450000</v>
      </c>
      <c r="I823" t="s">
        <v>1044</v>
      </c>
      <c r="J823" t="s">
        <v>169</v>
      </c>
      <c r="K823" t="s">
        <v>2217</v>
      </c>
      <c r="L823" t="s">
        <v>170</v>
      </c>
      <c r="M823" t="s">
        <v>16</v>
      </c>
      <c r="N823" t="s">
        <v>2242</v>
      </c>
    </row>
    <row r="824" spans="1:14" hidden="1" x14ac:dyDescent="0.35">
      <c r="A824" t="s">
        <v>2065</v>
      </c>
      <c r="B824" t="s">
        <v>12</v>
      </c>
      <c r="C824">
        <v>6</v>
      </c>
      <c r="D824">
        <v>6</v>
      </c>
      <c r="E824" s="1">
        <v>260</v>
      </c>
      <c r="F824" s="3">
        <v>1450000</v>
      </c>
      <c r="G824" s="2">
        <f t="shared" si="24"/>
        <v>5576.9230769230771</v>
      </c>
      <c r="H824" s="2">
        <f t="shared" si="25"/>
        <v>1450000</v>
      </c>
      <c r="I824" t="s">
        <v>2066</v>
      </c>
      <c r="J824" t="s">
        <v>169</v>
      </c>
      <c r="K824" t="s">
        <v>2217</v>
      </c>
      <c r="L824" t="s">
        <v>170</v>
      </c>
      <c r="M824" t="s">
        <v>16</v>
      </c>
      <c r="N824" t="s">
        <v>531</v>
      </c>
    </row>
    <row r="825" spans="1:14" hidden="1" x14ac:dyDescent="0.35">
      <c r="A825" t="s">
        <v>2112</v>
      </c>
      <c r="B825" t="s">
        <v>12</v>
      </c>
      <c r="C825">
        <v>3</v>
      </c>
      <c r="D825">
        <v>3</v>
      </c>
      <c r="E825" s="1">
        <v>260</v>
      </c>
      <c r="F825" s="3">
        <v>1450000</v>
      </c>
      <c r="G825" s="2">
        <f t="shared" si="24"/>
        <v>5576.9230769230771</v>
      </c>
      <c r="H825" s="2">
        <f t="shared" si="25"/>
        <v>1450000</v>
      </c>
      <c r="I825" t="s">
        <v>1795</v>
      </c>
      <c r="J825" t="s">
        <v>169</v>
      </c>
      <c r="K825" t="s">
        <v>2217</v>
      </c>
      <c r="L825" t="s">
        <v>170</v>
      </c>
      <c r="M825" t="s">
        <v>16</v>
      </c>
      <c r="N825" t="s">
        <v>531</v>
      </c>
    </row>
    <row r="826" spans="1:14" hidden="1" x14ac:dyDescent="0.35">
      <c r="A826" t="s">
        <v>2114</v>
      </c>
      <c r="B826" t="s">
        <v>12</v>
      </c>
      <c r="C826">
        <v>3</v>
      </c>
      <c r="D826">
        <v>3</v>
      </c>
      <c r="E826" s="1">
        <v>260</v>
      </c>
      <c r="F826" s="3">
        <v>1450000</v>
      </c>
      <c r="G826" s="2">
        <f t="shared" si="24"/>
        <v>5576.9230769230771</v>
      </c>
      <c r="H826" s="2">
        <f t="shared" si="25"/>
        <v>1450000</v>
      </c>
      <c r="I826" t="s">
        <v>1293</v>
      </c>
      <c r="J826" t="s">
        <v>169</v>
      </c>
      <c r="K826" t="s">
        <v>2217</v>
      </c>
      <c r="L826" t="s">
        <v>170</v>
      </c>
      <c r="M826" t="s">
        <v>16</v>
      </c>
      <c r="N826" t="s">
        <v>531</v>
      </c>
    </row>
    <row r="827" spans="1:14" hidden="1" x14ac:dyDescent="0.35">
      <c r="A827" t="s">
        <v>1211</v>
      </c>
      <c r="B827" t="s">
        <v>1033</v>
      </c>
      <c r="C827">
        <v>0</v>
      </c>
      <c r="D827">
        <v>0</v>
      </c>
      <c r="E827" s="1">
        <v>1123</v>
      </c>
      <c r="F827" s="3">
        <v>1459900</v>
      </c>
      <c r="G827" s="2">
        <f t="shared" si="24"/>
        <v>1300</v>
      </c>
      <c r="H827" s="2">
        <f t="shared" si="25"/>
        <v>1459900</v>
      </c>
      <c r="I827" t="s">
        <v>1212</v>
      </c>
      <c r="J827" t="s">
        <v>1213</v>
      </c>
      <c r="K827" t="s">
        <v>2215</v>
      </c>
      <c r="L827" t="s">
        <v>1214</v>
      </c>
      <c r="M827" t="s">
        <v>16</v>
      </c>
      <c r="N827" t="s">
        <v>2242</v>
      </c>
    </row>
    <row r="828" spans="1:14" x14ac:dyDescent="0.35">
      <c r="A828" t="s">
        <v>2016</v>
      </c>
      <c r="B828" t="s">
        <v>18</v>
      </c>
      <c r="C828">
        <v>4</v>
      </c>
      <c r="D828">
        <v>3</v>
      </c>
      <c r="E828" s="1">
        <v>179</v>
      </c>
      <c r="F828" s="3">
        <v>1460625</v>
      </c>
      <c r="G828" s="2">
        <f t="shared" si="24"/>
        <v>8159.9162011173185</v>
      </c>
      <c r="H828" s="2">
        <f t="shared" si="25"/>
        <v>1460625</v>
      </c>
      <c r="I828" t="s">
        <v>221</v>
      </c>
      <c r="J828" t="s">
        <v>173</v>
      </c>
      <c r="K828" t="s">
        <v>2216</v>
      </c>
      <c r="L828" t="s">
        <v>174</v>
      </c>
      <c r="M828" t="s">
        <v>16</v>
      </c>
      <c r="N828" t="s">
        <v>1074</v>
      </c>
    </row>
    <row r="829" spans="1:14" x14ac:dyDescent="0.35">
      <c r="A829" t="s">
        <v>238</v>
      </c>
      <c r="B829" t="s">
        <v>18</v>
      </c>
      <c r="C829">
        <v>5</v>
      </c>
      <c r="D829">
        <v>3</v>
      </c>
      <c r="E829" s="1">
        <v>289</v>
      </c>
      <c r="F829" s="3">
        <v>1470000</v>
      </c>
      <c r="G829" s="2">
        <f t="shared" si="24"/>
        <v>5086.505190311419</v>
      </c>
      <c r="H829" s="2">
        <f t="shared" si="25"/>
        <v>1470000</v>
      </c>
      <c r="I829" t="s">
        <v>2204</v>
      </c>
      <c r="J829" t="s">
        <v>97</v>
      </c>
      <c r="K829" t="s">
        <v>2217</v>
      </c>
      <c r="L829" t="s">
        <v>98</v>
      </c>
      <c r="M829" t="s">
        <v>16</v>
      </c>
      <c r="N829" t="s">
        <v>230</v>
      </c>
    </row>
    <row r="830" spans="1:14" hidden="1" x14ac:dyDescent="0.35">
      <c r="A830" t="s">
        <v>1486</v>
      </c>
      <c r="B830" t="s">
        <v>12</v>
      </c>
      <c r="C830">
        <v>3</v>
      </c>
      <c r="D830">
        <v>3</v>
      </c>
      <c r="E830" s="1">
        <v>750</v>
      </c>
      <c r="F830" s="3">
        <v>1499000</v>
      </c>
      <c r="G830" s="2">
        <f t="shared" si="24"/>
        <v>1998.6666666666667</v>
      </c>
      <c r="H830" s="2">
        <f t="shared" si="25"/>
        <v>1499000</v>
      </c>
      <c r="I830" t="s">
        <v>1487</v>
      </c>
      <c r="J830" t="s">
        <v>1488</v>
      </c>
      <c r="K830" t="s">
        <v>2216</v>
      </c>
      <c r="L830" t="s">
        <v>1489</v>
      </c>
      <c r="M830" t="s">
        <v>16</v>
      </c>
      <c r="N830" t="s">
        <v>1409</v>
      </c>
    </row>
    <row r="831" spans="1:14" hidden="1" x14ac:dyDescent="0.35">
      <c r="A831" t="s">
        <v>2036</v>
      </c>
      <c r="B831" t="s">
        <v>12</v>
      </c>
      <c r="C831">
        <v>3</v>
      </c>
      <c r="D831">
        <v>3</v>
      </c>
      <c r="E831" s="1">
        <v>143</v>
      </c>
      <c r="F831" s="3">
        <v>1499000</v>
      </c>
      <c r="G831" s="2">
        <f t="shared" si="24"/>
        <v>10482.517482517482</v>
      </c>
      <c r="H831" s="2">
        <f t="shared" si="25"/>
        <v>1499000</v>
      </c>
      <c r="I831" t="s">
        <v>2037</v>
      </c>
      <c r="J831" t="s">
        <v>1623</v>
      </c>
      <c r="K831" t="s">
        <v>2217</v>
      </c>
      <c r="L831" t="s">
        <v>1624</v>
      </c>
      <c r="M831" t="s">
        <v>16</v>
      </c>
      <c r="N831" t="s">
        <v>1409</v>
      </c>
    </row>
    <row r="832" spans="1:14" hidden="1" x14ac:dyDescent="0.35">
      <c r="A832" t="s">
        <v>385</v>
      </c>
      <c r="B832" t="s">
        <v>66</v>
      </c>
      <c r="C832">
        <v>1</v>
      </c>
      <c r="D832">
        <v>1</v>
      </c>
      <c r="E832" s="1">
        <v>93</v>
      </c>
      <c r="F832" s="3">
        <v>1500000</v>
      </c>
      <c r="G832" s="2">
        <f t="shared" si="24"/>
        <v>16129.032258064517</v>
      </c>
      <c r="H832" s="2">
        <f t="shared" si="25"/>
        <v>1500000</v>
      </c>
      <c r="I832" t="s">
        <v>386</v>
      </c>
      <c r="J832" t="s">
        <v>387</v>
      </c>
      <c r="K832" t="s">
        <v>2216</v>
      </c>
      <c r="L832" t="s">
        <v>388</v>
      </c>
      <c r="M832" t="s">
        <v>16</v>
      </c>
      <c r="N832" t="s">
        <v>389</v>
      </c>
    </row>
    <row r="833" spans="1:14" hidden="1" x14ac:dyDescent="0.35">
      <c r="A833" t="s">
        <v>659</v>
      </c>
      <c r="B833" t="s">
        <v>12</v>
      </c>
      <c r="C833">
        <v>3</v>
      </c>
      <c r="D833">
        <v>3</v>
      </c>
      <c r="E833" s="1">
        <v>550</v>
      </c>
      <c r="F833" s="3">
        <v>1500000</v>
      </c>
      <c r="G833" s="2">
        <f t="shared" si="24"/>
        <v>2727.2727272727275</v>
      </c>
      <c r="H833" s="2">
        <f t="shared" si="25"/>
        <v>1500000</v>
      </c>
      <c r="I833" t="s">
        <v>283</v>
      </c>
      <c r="J833" t="s">
        <v>145</v>
      </c>
      <c r="K833" t="s">
        <v>2216</v>
      </c>
      <c r="L833" t="s">
        <v>146</v>
      </c>
      <c r="M833" t="s">
        <v>16</v>
      </c>
      <c r="N833" t="s">
        <v>2242</v>
      </c>
    </row>
    <row r="834" spans="1:14" hidden="1" x14ac:dyDescent="0.35">
      <c r="A834" t="s">
        <v>758</v>
      </c>
      <c r="B834" t="s">
        <v>66</v>
      </c>
      <c r="C834">
        <v>3</v>
      </c>
      <c r="D834">
        <v>2</v>
      </c>
      <c r="E834" s="1">
        <v>132</v>
      </c>
      <c r="F834" s="3">
        <v>1500000</v>
      </c>
      <c r="G834" s="2">
        <f t="shared" si="24"/>
        <v>11363.636363636364</v>
      </c>
      <c r="H834" s="2">
        <f t="shared" si="25"/>
        <v>1500000</v>
      </c>
      <c r="I834" t="s">
        <v>236</v>
      </c>
      <c r="J834" t="s">
        <v>145</v>
      </c>
      <c r="K834" t="s">
        <v>2216</v>
      </c>
      <c r="L834" t="s">
        <v>146</v>
      </c>
      <c r="M834" t="s">
        <v>16</v>
      </c>
      <c r="N834" t="s">
        <v>759</v>
      </c>
    </row>
    <row r="835" spans="1:14" x14ac:dyDescent="0.35">
      <c r="A835" t="s">
        <v>806</v>
      </c>
      <c r="B835" t="s">
        <v>18</v>
      </c>
      <c r="C835">
        <v>5</v>
      </c>
      <c r="D835">
        <v>6</v>
      </c>
      <c r="E835" s="1">
        <v>274</v>
      </c>
      <c r="F835" s="3">
        <v>1500000</v>
      </c>
      <c r="G835" s="2">
        <f t="shared" si="24"/>
        <v>5474.4525547445255</v>
      </c>
      <c r="H835" s="2">
        <f t="shared" si="25"/>
        <v>1500000</v>
      </c>
      <c r="I835" t="s">
        <v>807</v>
      </c>
      <c r="J835" t="s">
        <v>169</v>
      </c>
      <c r="K835" t="s">
        <v>2217</v>
      </c>
      <c r="L835" t="s">
        <v>170</v>
      </c>
      <c r="M835" t="s">
        <v>16</v>
      </c>
      <c r="N835" t="s">
        <v>808</v>
      </c>
    </row>
    <row r="836" spans="1:14" hidden="1" x14ac:dyDescent="0.35">
      <c r="A836" t="s">
        <v>935</v>
      </c>
      <c r="B836" t="s">
        <v>66</v>
      </c>
      <c r="C836">
        <v>4</v>
      </c>
      <c r="D836">
        <v>3</v>
      </c>
      <c r="E836" s="1">
        <v>216</v>
      </c>
      <c r="F836" s="3">
        <v>1500000</v>
      </c>
      <c r="G836" s="2">
        <f t="shared" si="24"/>
        <v>6944.4444444444443</v>
      </c>
      <c r="H836" s="2">
        <f t="shared" si="25"/>
        <v>1500000</v>
      </c>
      <c r="I836" t="s">
        <v>936</v>
      </c>
      <c r="J836" t="s">
        <v>28</v>
      </c>
      <c r="K836" t="s">
        <v>2217</v>
      </c>
      <c r="L836" t="s">
        <v>29</v>
      </c>
      <c r="M836" t="s">
        <v>16</v>
      </c>
      <c r="N836" t="s">
        <v>2242</v>
      </c>
    </row>
    <row r="837" spans="1:14" hidden="1" x14ac:dyDescent="0.35">
      <c r="A837" t="s">
        <v>955</v>
      </c>
      <c r="B837" t="s">
        <v>189</v>
      </c>
      <c r="C837">
        <v>11</v>
      </c>
      <c r="D837">
        <v>11</v>
      </c>
      <c r="E837" s="1">
        <v>150</v>
      </c>
      <c r="F837" s="3">
        <v>1500000</v>
      </c>
      <c r="G837" s="2">
        <f t="shared" ref="G837:G900" si="26">IF(F837&lt;50000,F837,F837/E837)</f>
        <v>10000</v>
      </c>
      <c r="H837" s="2">
        <f t="shared" ref="H837:H900" si="27">IF(F837&lt;50000,E837*F837,F837)</f>
        <v>1500000</v>
      </c>
      <c r="I837" t="s">
        <v>956</v>
      </c>
      <c r="J837" t="s">
        <v>957</v>
      </c>
      <c r="K837" t="s">
        <v>2218</v>
      </c>
      <c r="L837" t="s">
        <v>958</v>
      </c>
      <c r="M837" t="s">
        <v>16</v>
      </c>
      <c r="N837" t="s">
        <v>64</v>
      </c>
    </row>
    <row r="838" spans="1:14" hidden="1" x14ac:dyDescent="0.35">
      <c r="A838" t="s">
        <v>1058</v>
      </c>
      <c r="B838" t="s">
        <v>66</v>
      </c>
      <c r="C838">
        <v>5</v>
      </c>
      <c r="D838">
        <v>3</v>
      </c>
      <c r="E838" s="1">
        <v>5408</v>
      </c>
      <c r="F838" s="3">
        <v>1500000</v>
      </c>
      <c r="G838" s="2">
        <f t="shared" si="26"/>
        <v>277.36686390532543</v>
      </c>
      <c r="H838" s="2">
        <f t="shared" si="27"/>
        <v>1500000</v>
      </c>
      <c r="I838" t="s">
        <v>1059</v>
      </c>
      <c r="J838" t="s">
        <v>28</v>
      </c>
      <c r="K838" t="s">
        <v>2217</v>
      </c>
      <c r="L838" t="s">
        <v>29</v>
      </c>
      <c r="M838" t="s">
        <v>16</v>
      </c>
      <c r="N838" t="s">
        <v>2242</v>
      </c>
    </row>
    <row r="839" spans="1:14" ht="16" x14ac:dyDescent="0.45">
      <c r="A839" t="s">
        <v>1215</v>
      </c>
      <c r="B839" t="s">
        <v>18</v>
      </c>
      <c r="C839">
        <v>8</v>
      </c>
      <c r="D839">
        <v>4</v>
      </c>
      <c r="E839" s="1">
        <v>342</v>
      </c>
      <c r="F839" s="3">
        <v>1500000</v>
      </c>
      <c r="G839" s="2">
        <f t="shared" si="26"/>
        <v>4385.9649122807014</v>
      </c>
      <c r="H839" s="2">
        <f t="shared" si="27"/>
        <v>1500000</v>
      </c>
      <c r="I839" s="4" t="s">
        <v>2223</v>
      </c>
      <c r="J839" t="s">
        <v>871</v>
      </c>
      <c r="K839" t="s">
        <v>2217</v>
      </c>
      <c r="L839" t="s">
        <v>872</v>
      </c>
      <c r="M839" t="s">
        <v>16</v>
      </c>
      <c r="N839" t="s">
        <v>2242</v>
      </c>
    </row>
    <row r="840" spans="1:14" x14ac:dyDescent="0.35">
      <c r="A840" t="s">
        <v>1547</v>
      </c>
      <c r="B840" t="s">
        <v>18</v>
      </c>
      <c r="C840">
        <v>7</v>
      </c>
      <c r="D840">
        <v>7</v>
      </c>
      <c r="E840" s="1">
        <v>375</v>
      </c>
      <c r="F840" s="3">
        <v>1500000</v>
      </c>
      <c r="G840" s="2">
        <f t="shared" si="26"/>
        <v>4000</v>
      </c>
      <c r="H840" s="2">
        <f t="shared" si="27"/>
        <v>1500000</v>
      </c>
      <c r="I840" t="s">
        <v>1548</v>
      </c>
      <c r="J840" t="s">
        <v>430</v>
      </c>
      <c r="K840" t="s">
        <v>2215</v>
      </c>
      <c r="L840" t="s">
        <v>431</v>
      </c>
      <c r="M840" t="s">
        <v>16</v>
      </c>
      <c r="N840" t="s">
        <v>948</v>
      </c>
    </row>
    <row r="841" spans="1:14" hidden="1" x14ac:dyDescent="0.35">
      <c r="A841" t="s">
        <v>1711</v>
      </c>
      <c r="B841" t="s">
        <v>12</v>
      </c>
      <c r="C841">
        <v>3</v>
      </c>
      <c r="D841">
        <v>3</v>
      </c>
      <c r="E841" s="1">
        <v>186</v>
      </c>
      <c r="F841" s="3">
        <v>1500000</v>
      </c>
      <c r="G841" s="2">
        <f t="shared" si="26"/>
        <v>8064.5161290322585</v>
      </c>
      <c r="H841" s="2">
        <f t="shared" si="27"/>
        <v>1500000</v>
      </c>
      <c r="I841" t="s">
        <v>1146</v>
      </c>
      <c r="J841" t="s">
        <v>173</v>
      </c>
      <c r="K841" t="s">
        <v>2216</v>
      </c>
      <c r="L841" t="s">
        <v>174</v>
      </c>
      <c r="M841" t="s">
        <v>16</v>
      </c>
      <c r="N841" t="s">
        <v>2242</v>
      </c>
    </row>
    <row r="842" spans="1:14" x14ac:dyDescent="0.35">
      <c r="A842" t="s">
        <v>1724</v>
      </c>
      <c r="B842" t="s">
        <v>18</v>
      </c>
      <c r="C842">
        <v>7</v>
      </c>
      <c r="D842">
        <v>7</v>
      </c>
      <c r="E842" s="1">
        <v>360</v>
      </c>
      <c r="F842" s="3">
        <v>1500000</v>
      </c>
      <c r="G842" s="2">
        <f t="shared" si="26"/>
        <v>4166.666666666667</v>
      </c>
      <c r="H842" s="2">
        <f t="shared" si="27"/>
        <v>1500000</v>
      </c>
      <c r="I842" t="s">
        <v>1725</v>
      </c>
      <c r="J842" t="s">
        <v>772</v>
      </c>
      <c r="K842" t="s">
        <v>2218</v>
      </c>
      <c r="L842" t="s">
        <v>773</v>
      </c>
      <c r="M842" t="s">
        <v>16</v>
      </c>
      <c r="N842" t="s">
        <v>948</v>
      </c>
    </row>
    <row r="843" spans="1:14" x14ac:dyDescent="0.35">
      <c r="A843" t="s">
        <v>1748</v>
      </c>
      <c r="B843" t="s">
        <v>18</v>
      </c>
      <c r="C843">
        <v>7</v>
      </c>
      <c r="D843">
        <v>5</v>
      </c>
      <c r="E843" s="1">
        <v>625</v>
      </c>
      <c r="F843" s="3">
        <v>1500000</v>
      </c>
      <c r="G843" s="2">
        <f t="shared" si="26"/>
        <v>2400</v>
      </c>
      <c r="H843" s="2">
        <f t="shared" si="27"/>
        <v>1500000</v>
      </c>
      <c r="I843" t="s">
        <v>1749</v>
      </c>
      <c r="J843" t="s">
        <v>849</v>
      </c>
      <c r="K843" t="s">
        <v>2218</v>
      </c>
      <c r="L843" t="s">
        <v>850</v>
      </c>
      <c r="M843" t="s">
        <v>16</v>
      </c>
      <c r="N843" t="s">
        <v>1602</v>
      </c>
    </row>
    <row r="844" spans="1:14" hidden="1" x14ac:dyDescent="0.35">
      <c r="A844" t="s">
        <v>1918</v>
      </c>
      <c r="B844" t="s">
        <v>12</v>
      </c>
      <c r="C844">
        <v>3</v>
      </c>
      <c r="D844">
        <v>3</v>
      </c>
      <c r="E844" s="1">
        <v>241</v>
      </c>
      <c r="F844" s="3">
        <v>1500000</v>
      </c>
      <c r="G844" s="2">
        <f t="shared" si="26"/>
        <v>6224.0663900414938</v>
      </c>
      <c r="H844" s="2">
        <f t="shared" si="27"/>
        <v>1500000</v>
      </c>
      <c r="I844" t="s">
        <v>1293</v>
      </c>
      <c r="J844" t="s">
        <v>169</v>
      </c>
      <c r="K844" t="s">
        <v>2217</v>
      </c>
      <c r="L844" t="s">
        <v>170</v>
      </c>
      <c r="M844" t="s">
        <v>16</v>
      </c>
      <c r="N844" t="s">
        <v>77</v>
      </c>
    </row>
    <row r="845" spans="1:14" hidden="1" x14ac:dyDescent="0.35">
      <c r="A845" t="s">
        <v>1985</v>
      </c>
      <c r="B845" t="s">
        <v>12</v>
      </c>
      <c r="C845">
        <v>3</v>
      </c>
      <c r="D845">
        <v>3</v>
      </c>
      <c r="E845" s="1">
        <v>242</v>
      </c>
      <c r="F845" s="3">
        <v>1500000</v>
      </c>
      <c r="G845" s="2">
        <f t="shared" si="26"/>
        <v>6198.3471074380168</v>
      </c>
      <c r="H845" s="2">
        <f t="shared" si="27"/>
        <v>1500000</v>
      </c>
      <c r="I845" t="s">
        <v>1986</v>
      </c>
      <c r="J845" t="s">
        <v>169</v>
      </c>
      <c r="K845" t="s">
        <v>2217</v>
      </c>
      <c r="L845" t="s">
        <v>170</v>
      </c>
      <c r="M845" t="s">
        <v>16</v>
      </c>
      <c r="N845" t="s">
        <v>2242</v>
      </c>
    </row>
    <row r="846" spans="1:14" hidden="1" x14ac:dyDescent="0.35">
      <c r="A846" t="s">
        <v>2103</v>
      </c>
      <c r="B846" t="s">
        <v>12</v>
      </c>
      <c r="C846">
        <v>4</v>
      </c>
      <c r="D846">
        <v>4</v>
      </c>
      <c r="E846" s="1">
        <v>621</v>
      </c>
      <c r="F846" s="3">
        <v>1500000</v>
      </c>
      <c r="G846" s="2">
        <f t="shared" si="26"/>
        <v>2415.4589371980678</v>
      </c>
      <c r="H846" s="2">
        <f t="shared" si="27"/>
        <v>1500000</v>
      </c>
      <c r="I846" t="s">
        <v>76</v>
      </c>
      <c r="J846" t="s">
        <v>28</v>
      </c>
      <c r="K846" t="s">
        <v>2217</v>
      </c>
      <c r="L846" t="s">
        <v>29</v>
      </c>
      <c r="M846" t="s">
        <v>16</v>
      </c>
      <c r="N846" t="s">
        <v>77</v>
      </c>
    </row>
    <row r="847" spans="1:14" hidden="1" x14ac:dyDescent="0.35">
      <c r="A847" t="s">
        <v>2138</v>
      </c>
      <c r="B847" t="s">
        <v>12</v>
      </c>
      <c r="C847">
        <v>4</v>
      </c>
      <c r="D847">
        <v>4</v>
      </c>
      <c r="E847" s="1">
        <v>621</v>
      </c>
      <c r="F847" s="3">
        <v>1500000</v>
      </c>
      <c r="G847" s="2">
        <f t="shared" si="26"/>
        <v>2415.4589371980678</v>
      </c>
      <c r="H847" s="2">
        <f t="shared" si="27"/>
        <v>1500000</v>
      </c>
      <c r="I847" t="s">
        <v>2139</v>
      </c>
      <c r="J847" t="s">
        <v>28</v>
      </c>
      <c r="K847" t="s">
        <v>2217</v>
      </c>
      <c r="L847" t="s">
        <v>29</v>
      </c>
      <c r="M847" t="s">
        <v>16</v>
      </c>
      <c r="N847" t="s">
        <v>77</v>
      </c>
    </row>
    <row r="848" spans="1:14" hidden="1" x14ac:dyDescent="0.35">
      <c r="A848" t="s">
        <v>2199</v>
      </c>
      <c r="B848" t="s">
        <v>12</v>
      </c>
      <c r="C848">
        <v>3</v>
      </c>
      <c r="D848">
        <v>2</v>
      </c>
      <c r="E848" s="1">
        <v>621</v>
      </c>
      <c r="F848" s="3">
        <v>1500000</v>
      </c>
      <c r="G848" s="2">
        <f t="shared" si="26"/>
        <v>2415.4589371980678</v>
      </c>
      <c r="H848" s="2">
        <f t="shared" si="27"/>
        <v>1500000</v>
      </c>
      <c r="I848" t="s">
        <v>76</v>
      </c>
      <c r="J848" t="s">
        <v>28</v>
      </c>
      <c r="K848" t="s">
        <v>2217</v>
      </c>
      <c r="L848" t="s">
        <v>29</v>
      </c>
      <c r="M848" t="s">
        <v>16</v>
      </c>
      <c r="N848" t="s">
        <v>77</v>
      </c>
    </row>
    <row r="849" spans="1:14" hidden="1" x14ac:dyDescent="0.35">
      <c r="A849" t="s">
        <v>1603</v>
      </c>
      <c r="B849" t="s">
        <v>1033</v>
      </c>
      <c r="C849">
        <v>0</v>
      </c>
      <c r="D849">
        <v>0</v>
      </c>
      <c r="E849" s="1">
        <v>480</v>
      </c>
      <c r="F849" s="3">
        <v>1512000</v>
      </c>
      <c r="G849" s="2">
        <f t="shared" si="26"/>
        <v>3150</v>
      </c>
      <c r="H849" s="2">
        <f t="shared" si="27"/>
        <v>1512000</v>
      </c>
      <c r="I849" t="s">
        <v>1604</v>
      </c>
      <c r="J849" t="s">
        <v>405</v>
      </c>
      <c r="K849" t="s">
        <v>2217</v>
      </c>
      <c r="L849" t="s">
        <v>406</v>
      </c>
      <c r="M849" t="s">
        <v>16</v>
      </c>
      <c r="N849" t="s">
        <v>1605</v>
      </c>
    </row>
    <row r="850" spans="1:14" hidden="1" x14ac:dyDescent="0.35">
      <c r="A850" t="s">
        <v>2094</v>
      </c>
      <c r="B850" t="s">
        <v>1033</v>
      </c>
      <c r="C850">
        <v>0</v>
      </c>
      <c r="D850">
        <v>0</v>
      </c>
      <c r="E850" s="1">
        <v>480</v>
      </c>
      <c r="F850" s="3">
        <v>1512000</v>
      </c>
      <c r="G850" s="2">
        <f t="shared" si="26"/>
        <v>3150</v>
      </c>
      <c r="H850" s="2">
        <f t="shared" si="27"/>
        <v>1512000</v>
      </c>
      <c r="I850" t="s">
        <v>2095</v>
      </c>
      <c r="J850" t="s">
        <v>405</v>
      </c>
      <c r="K850" t="s">
        <v>2217</v>
      </c>
      <c r="L850" t="s">
        <v>406</v>
      </c>
      <c r="M850" t="s">
        <v>16</v>
      </c>
      <c r="N850" t="s">
        <v>2242</v>
      </c>
    </row>
    <row r="851" spans="1:14" hidden="1" x14ac:dyDescent="0.35">
      <c r="A851" t="s">
        <v>1872</v>
      </c>
      <c r="B851" t="s">
        <v>66</v>
      </c>
      <c r="C851">
        <v>3</v>
      </c>
      <c r="D851">
        <v>3</v>
      </c>
      <c r="E851" s="1">
        <v>119</v>
      </c>
      <c r="F851" s="3">
        <v>1519000</v>
      </c>
      <c r="G851" s="2">
        <f t="shared" si="26"/>
        <v>12764.705882352941</v>
      </c>
      <c r="H851" s="2">
        <f t="shared" si="27"/>
        <v>1519000</v>
      </c>
      <c r="I851" t="s">
        <v>1873</v>
      </c>
      <c r="J851" t="s">
        <v>1874</v>
      </c>
      <c r="K851" t="s">
        <v>2216</v>
      </c>
      <c r="L851" t="s">
        <v>1875</v>
      </c>
      <c r="M851" t="s">
        <v>16</v>
      </c>
      <c r="N851" t="s">
        <v>2242</v>
      </c>
    </row>
    <row r="852" spans="1:14" hidden="1" x14ac:dyDescent="0.35">
      <c r="A852" t="s">
        <v>603</v>
      </c>
      <c r="B852" t="s">
        <v>66</v>
      </c>
      <c r="C852">
        <v>3</v>
      </c>
      <c r="D852">
        <v>3</v>
      </c>
      <c r="E852" s="1">
        <v>157</v>
      </c>
      <c r="F852" s="3">
        <v>1540000</v>
      </c>
      <c r="G852" s="2">
        <f t="shared" si="26"/>
        <v>9808.9171974522287</v>
      </c>
      <c r="H852" s="2">
        <f t="shared" si="27"/>
        <v>1540000</v>
      </c>
      <c r="I852" t="s">
        <v>604</v>
      </c>
      <c r="J852" t="s">
        <v>241</v>
      </c>
      <c r="K852" t="s">
        <v>2216</v>
      </c>
      <c r="L852" t="s">
        <v>242</v>
      </c>
      <c r="M852" t="s">
        <v>16</v>
      </c>
      <c r="N852" t="s">
        <v>602</v>
      </c>
    </row>
    <row r="853" spans="1:14" hidden="1" x14ac:dyDescent="0.35">
      <c r="A853" t="s">
        <v>1423</v>
      </c>
      <c r="B853" t="s">
        <v>12</v>
      </c>
      <c r="C853">
        <v>3</v>
      </c>
      <c r="D853">
        <v>4</v>
      </c>
      <c r="E853" s="1">
        <v>171</v>
      </c>
      <c r="F853" s="3">
        <v>1540000</v>
      </c>
      <c r="G853" s="2">
        <f t="shared" si="26"/>
        <v>9005.8479532163747</v>
      </c>
      <c r="H853" s="2">
        <f t="shared" si="27"/>
        <v>1540000</v>
      </c>
      <c r="I853" t="s">
        <v>283</v>
      </c>
      <c r="J853" t="s">
        <v>145</v>
      </c>
      <c r="K853" t="s">
        <v>2216</v>
      </c>
      <c r="L853" t="s">
        <v>146</v>
      </c>
      <c r="M853" t="s">
        <v>16</v>
      </c>
      <c r="N853" t="s">
        <v>1074</v>
      </c>
    </row>
    <row r="854" spans="1:14" hidden="1" x14ac:dyDescent="0.35">
      <c r="A854" t="s">
        <v>1855</v>
      </c>
      <c r="B854" t="s">
        <v>12</v>
      </c>
      <c r="C854">
        <v>2</v>
      </c>
      <c r="D854">
        <v>3</v>
      </c>
      <c r="E854" s="1">
        <v>296</v>
      </c>
      <c r="F854" s="3">
        <v>1550000</v>
      </c>
      <c r="G854" s="2">
        <f t="shared" si="26"/>
        <v>5236.4864864864867</v>
      </c>
      <c r="H854" s="2">
        <f t="shared" si="27"/>
        <v>1550000</v>
      </c>
      <c r="I854" t="s">
        <v>1293</v>
      </c>
      <c r="J854" t="s">
        <v>169</v>
      </c>
      <c r="K854" t="s">
        <v>2217</v>
      </c>
      <c r="L854" t="s">
        <v>170</v>
      </c>
      <c r="M854" t="s">
        <v>16</v>
      </c>
      <c r="N854" t="s">
        <v>77</v>
      </c>
    </row>
    <row r="855" spans="1:14" hidden="1" x14ac:dyDescent="0.35">
      <c r="A855" t="s">
        <v>1917</v>
      </c>
      <c r="B855" t="s">
        <v>12</v>
      </c>
      <c r="C855">
        <v>3</v>
      </c>
      <c r="D855">
        <v>3</v>
      </c>
      <c r="E855" s="1">
        <v>296</v>
      </c>
      <c r="F855" s="3">
        <v>1550000</v>
      </c>
      <c r="G855" s="2">
        <f t="shared" si="26"/>
        <v>5236.4864864864867</v>
      </c>
      <c r="H855" s="2">
        <f t="shared" si="27"/>
        <v>1550000</v>
      </c>
      <c r="I855" t="s">
        <v>1293</v>
      </c>
      <c r="J855" t="s">
        <v>169</v>
      </c>
      <c r="K855" t="s">
        <v>2217</v>
      </c>
      <c r="L855" t="s">
        <v>170</v>
      </c>
      <c r="M855" t="s">
        <v>16</v>
      </c>
      <c r="N855" t="s">
        <v>77</v>
      </c>
    </row>
    <row r="856" spans="1:14" hidden="1" x14ac:dyDescent="0.35">
      <c r="A856" t="s">
        <v>1919</v>
      </c>
      <c r="B856" t="s">
        <v>12</v>
      </c>
      <c r="C856">
        <v>3</v>
      </c>
      <c r="D856">
        <v>3</v>
      </c>
      <c r="E856" s="1">
        <v>296</v>
      </c>
      <c r="F856" s="3">
        <v>1550000</v>
      </c>
      <c r="G856" s="2">
        <f t="shared" si="26"/>
        <v>5236.4864864864867</v>
      </c>
      <c r="H856" s="2">
        <f t="shared" si="27"/>
        <v>1550000</v>
      </c>
      <c r="I856" t="s">
        <v>1293</v>
      </c>
      <c r="J856" t="s">
        <v>169</v>
      </c>
      <c r="K856" t="s">
        <v>2217</v>
      </c>
      <c r="L856" t="s">
        <v>170</v>
      </c>
      <c r="M856" t="s">
        <v>16</v>
      </c>
      <c r="N856" t="s">
        <v>77</v>
      </c>
    </row>
    <row r="857" spans="1:14" hidden="1" x14ac:dyDescent="0.35">
      <c r="A857" t="s">
        <v>2104</v>
      </c>
      <c r="B857" t="s">
        <v>12</v>
      </c>
      <c r="C857">
        <v>3</v>
      </c>
      <c r="D857">
        <v>3</v>
      </c>
      <c r="E857" s="1">
        <v>216</v>
      </c>
      <c r="F857" s="3">
        <v>1550000</v>
      </c>
      <c r="G857" s="2">
        <f t="shared" si="26"/>
        <v>7175.9259259259261</v>
      </c>
      <c r="H857" s="2">
        <f t="shared" si="27"/>
        <v>1550000</v>
      </c>
      <c r="I857" t="s">
        <v>76</v>
      </c>
      <c r="J857" t="s">
        <v>28</v>
      </c>
      <c r="K857" t="s">
        <v>2217</v>
      </c>
      <c r="L857" t="s">
        <v>29</v>
      </c>
      <c r="M857" t="s">
        <v>16</v>
      </c>
      <c r="N857" t="s">
        <v>77</v>
      </c>
    </row>
    <row r="858" spans="1:14" hidden="1" x14ac:dyDescent="0.35">
      <c r="A858" t="s">
        <v>706</v>
      </c>
      <c r="B858" t="s">
        <v>12</v>
      </c>
      <c r="C858">
        <v>4</v>
      </c>
      <c r="D858">
        <v>4</v>
      </c>
      <c r="E858" s="1">
        <v>126</v>
      </c>
      <c r="F858" s="3">
        <v>1560000</v>
      </c>
      <c r="G858" s="2">
        <f t="shared" si="26"/>
        <v>12380.952380952382</v>
      </c>
      <c r="H858" s="2">
        <f t="shared" si="27"/>
        <v>1560000</v>
      </c>
      <c r="I858" t="s">
        <v>707</v>
      </c>
      <c r="J858" t="s">
        <v>387</v>
      </c>
      <c r="K858" t="s">
        <v>2216</v>
      </c>
      <c r="L858" t="s">
        <v>388</v>
      </c>
      <c r="M858" t="s">
        <v>16</v>
      </c>
      <c r="N858" t="s">
        <v>440</v>
      </c>
    </row>
    <row r="859" spans="1:14" hidden="1" x14ac:dyDescent="0.35">
      <c r="A859" t="s">
        <v>2129</v>
      </c>
      <c r="B859" t="s">
        <v>66</v>
      </c>
      <c r="C859">
        <v>3</v>
      </c>
      <c r="D859">
        <v>3</v>
      </c>
      <c r="E859" s="1">
        <v>120</v>
      </c>
      <c r="F859" s="3">
        <v>1588000</v>
      </c>
      <c r="G859" s="2">
        <f t="shared" si="26"/>
        <v>13233.333333333334</v>
      </c>
      <c r="H859" s="2">
        <f t="shared" si="27"/>
        <v>1588000</v>
      </c>
      <c r="I859" t="s">
        <v>2130</v>
      </c>
      <c r="J859" t="s">
        <v>233</v>
      </c>
      <c r="K859" t="s">
        <v>2216</v>
      </c>
      <c r="L859" t="s">
        <v>234</v>
      </c>
      <c r="M859" t="s">
        <v>16</v>
      </c>
      <c r="N859" t="s">
        <v>2242</v>
      </c>
    </row>
    <row r="860" spans="1:14" x14ac:dyDescent="0.35">
      <c r="A860" t="s">
        <v>560</v>
      </c>
      <c r="B860" t="s">
        <v>18</v>
      </c>
      <c r="C860">
        <v>9</v>
      </c>
      <c r="D860">
        <v>6</v>
      </c>
      <c r="E860" s="1">
        <v>312</v>
      </c>
      <c r="F860" s="3">
        <v>1600000</v>
      </c>
      <c r="G860" s="2">
        <f t="shared" si="26"/>
        <v>5128.2051282051279</v>
      </c>
      <c r="H860" s="2">
        <f t="shared" si="27"/>
        <v>1600000</v>
      </c>
      <c r="I860" t="s">
        <v>561</v>
      </c>
      <c r="J860" t="s">
        <v>154</v>
      </c>
      <c r="K860" t="s">
        <v>2218</v>
      </c>
      <c r="L860" t="s">
        <v>155</v>
      </c>
      <c r="M860" t="s">
        <v>16</v>
      </c>
      <c r="N860" t="s">
        <v>2242</v>
      </c>
    </row>
    <row r="861" spans="1:14" x14ac:dyDescent="0.35">
      <c r="A861" t="s">
        <v>822</v>
      </c>
      <c r="B861" t="s">
        <v>18</v>
      </c>
      <c r="C861">
        <v>5</v>
      </c>
      <c r="D861">
        <v>4</v>
      </c>
      <c r="E861" s="1">
        <v>560</v>
      </c>
      <c r="F861" s="3">
        <v>1600000</v>
      </c>
      <c r="G861" s="2">
        <f t="shared" si="26"/>
        <v>2857.1428571428573</v>
      </c>
      <c r="H861" s="2">
        <f t="shared" si="27"/>
        <v>1600000</v>
      </c>
      <c r="I861" t="s">
        <v>31</v>
      </c>
      <c r="J861" t="s">
        <v>14</v>
      </c>
      <c r="K861" t="s">
        <v>2215</v>
      </c>
      <c r="L861" t="s">
        <v>15</v>
      </c>
      <c r="M861" t="s">
        <v>16</v>
      </c>
      <c r="N861" t="s">
        <v>2242</v>
      </c>
    </row>
    <row r="862" spans="1:14" hidden="1" x14ac:dyDescent="0.35">
      <c r="A862" t="s">
        <v>1017</v>
      </c>
      <c r="B862" t="s">
        <v>12</v>
      </c>
      <c r="C862">
        <v>3</v>
      </c>
      <c r="D862">
        <v>4</v>
      </c>
      <c r="E862" s="1">
        <v>600</v>
      </c>
      <c r="F862" s="3">
        <v>1600000</v>
      </c>
      <c r="G862" s="2">
        <f t="shared" si="26"/>
        <v>2666.6666666666665</v>
      </c>
      <c r="H862" s="2">
        <f t="shared" si="27"/>
        <v>1600000</v>
      </c>
      <c r="I862" t="s">
        <v>1018</v>
      </c>
      <c r="J862" t="s">
        <v>1019</v>
      </c>
      <c r="K862" t="s">
        <v>2217</v>
      </c>
      <c r="L862" t="s">
        <v>1020</v>
      </c>
      <c r="M862" t="s">
        <v>16</v>
      </c>
      <c r="N862" t="s">
        <v>45</v>
      </c>
    </row>
    <row r="863" spans="1:14" x14ac:dyDescent="0.35">
      <c r="A863" t="s">
        <v>1165</v>
      </c>
      <c r="B863" t="s">
        <v>18</v>
      </c>
      <c r="C863">
        <v>4</v>
      </c>
      <c r="D863">
        <v>4</v>
      </c>
      <c r="E863" s="1">
        <v>234</v>
      </c>
      <c r="F863" s="3">
        <v>1600000</v>
      </c>
      <c r="G863" s="2">
        <f t="shared" si="26"/>
        <v>6837.6068376068379</v>
      </c>
      <c r="H863" s="2">
        <f t="shared" si="27"/>
        <v>1600000</v>
      </c>
      <c r="I863" t="s">
        <v>1166</v>
      </c>
      <c r="J863" t="s">
        <v>405</v>
      </c>
      <c r="K863" t="s">
        <v>2217</v>
      </c>
      <c r="L863" t="s">
        <v>406</v>
      </c>
      <c r="M863" t="s">
        <v>16</v>
      </c>
      <c r="N863" t="s">
        <v>2242</v>
      </c>
    </row>
    <row r="864" spans="1:14" x14ac:dyDescent="0.35">
      <c r="A864" t="s">
        <v>1242</v>
      </c>
      <c r="B864" t="s">
        <v>18</v>
      </c>
      <c r="C864">
        <v>6</v>
      </c>
      <c r="D864">
        <v>4</v>
      </c>
      <c r="E864" s="1">
        <v>600</v>
      </c>
      <c r="F864" s="3">
        <v>1600000</v>
      </c>
      <c r="G864" s="2">
        <f t="shared" si="26"/>
        <v>2666.6666666666665</v>
      </c>
      <c r="H864" s="2">
        <f t="shared" si="27"/>
        <v>1600000</v>
      </c>
      <c r="I864" t="s">
        <v>1243</v>
      </c>
      <c r="J864" t="s">
        <v>97</v>
      </c>
      <c r="K864" t="s">
        <v>2217</v>
      </c>
      <c r="L864" t="s">
        <v>98</v>
      </c>
      <c r="M864" t="s">
        <v>16</v>
      </c>
      <c r="N864" t="s">
        <v>230</v>
      </c>
    </row>
    <row r="865" spans="1:14" x14ac:dyDescent="0.35">
      <c r="A865" t="s">
        <v>1290</v>
      </c>
      <c r="B865" t="s">
        <v>18</v>
      </c>
      <c r="C865">
        <v>5</v>
      </c>
      <c r="D865">
        <v>5</v>
      </c>
      <c r="E865" s="1">
        <v>337</v>
      </c>
      <c r="F865" s="3">
        <v>1600000</v>
      </c>
      <c r="G865" s="2">
        <f t="shared" si="26"/>
        <v>4747.7744807121662</v>
      </c>
      <c r="H865" s="2">
        <f t="shared" si="27"/>
        <v>1600000</v>
      </c>
      <c r="I865" t="s">
        <v>1291</v>
      </c>
      <c r="J865" t="s">
        <v>675</v>
      </c>
      <c r="K865" t="s">
        <v>2217</v>
      </c>
      <c r="L865" t="s">
        <v>676</v>
      </c>
      <c r="M865" t="s">
        <v>16</v>
      </c>
      <c r="N865" t="s">
        <v>2242</v>
      </c>
    </row>
    <row r="866" spans="1:14" hidden="1" x14ac:dyDescent="0.35">
      <c r="A866" t="s">
        <v>1315</v>
      </c>
      <c r="B866" t="s">
        <v>66</v>
      </c>
      <c r="C866">
        <v>2</v>
      </c>
      <c r="D866">
        <v>3</v>
      </c>
      <c r="E866" s="1">
        <v>118</v>
      </c>
      <c r="F866" s="3">
        <v>1600000</v>
      </c>
      <c r="G866" s="2">
        <f t="shared" si="26"/>
        <v>13559.322033898305</v>
      </c>
      <c r="H866" s="2">
        <f t="shared" si="27"/>
        <v>1600000</v>
      </c>
      <c r="I866" t="s">
        <v>1316</v>
      </c>
      <c r="J866" t="s">
        <v>1068</v>
      </c>
      <c r="K866" t="s">
        <v>2216</v>
      </c>
      <c r="L866" t="s">
        <v>1069</v>
      </c>
      <c r="M866" t="s">
        <v>16</v>
      </c>
      <c r="N866" t="s">
        <v>2242</v>
      </c>
    </row>
    <row r="867" spans="1:14" hidden="1" x14ac:dyDescent="0.35">
      <c r="A867" t="s">
        <v>1431</v>
      </c>
      <c r="B867" t="s">
        <v>12</v>
      </c>
      <c r="C867">
        <v>3</v>
      </c>
      <c r="D867">
        <v>3</v>
      </c>
      <c r="E867" s="1">
        <v>448</v>
      </c>
      <c r="F867" s="3">
        <v>1600000</v>
      </c>
      <c r="G867" s="2">
        <f t="shared" si="26"/>
        <v>3571.4285714285716</v>
      </c>
      <c r="H867" s="2">
        <f t="shared" si="27"/>
        <v>1600000</v>
      </c>
      <c r="I867" t="s">
        <v>1432</v>
      </c>
      <c r="J867" t="s">
        <v>145</v>
      </c>
      <c r="K867" t="s">
        <v>2216</v>
      </c>
      <c r="L867" t="s">
        <v>146</v>
      </c>
      <c r="M867" t="s">
        <v>16</v>
      </c>
      <c r="N867" t="s">
        <v>948</v>
      </c>
    </row>
    <row r="868" spans="1:14" hidden="1" x14ac:dyDescent="0.35">
      <c r="A868" t="s">
        <v>1492</v>
      </c>
      <c r="B868" t="s">
        <v>12</v>
      </c>
      <c r="C868">
        <v>3</v>
      </c>
      <c r="D868">
        <v>3</v>
      </c>
      <c r="E868" s="1">
        <v>157</v>
      </c>
      <c r="F868" s="3">
        <v>1600000</v>
      </c>
      <c r="G868" s="2">
        <f t="shared" si="26"/>
        <v>10191.082802547771</v>
      </c>
      <c r="H868" s="2">
        <f t="shared" si="27"/>
        <v>1600000</v>
      </c>
      <c r="I868" t="s">
        <v>1493</v>
      </c>
      <c r="J868" t="s">
        <v>173</v>
      </c>
      <c r="K868" t="s">
        <v>2216</v>
      </c>
      <c r="L868" t="s">
        <v>174</v>
      </c>
      <c r="M868" t="s">
        <v>16</v>
      </c>
      <c r="N868" t="s">
        <v>2242</v>
      </c>
    </row>
    <row r="869" spans="1:14" x14ac:dyDescent="0.35">
      <c r="A869" t="s">
        <v>1867</v>
      </c>
      <c r="B869" t="s">
        <v>18</v>
      </c>
      <c r="C869">
        <v>3</v>
      </c>
      <c r="D869">
        <v>5</v>
      </c>
      <c r="E869" s="1">
        <v>312</v>
      </c>
      <c r="F869" s="3">
        <v>1600000</v>
      </c>
      <c r="G869" s="2">
        <f t="shared" si="26"/>
        <v>5128.2051282051279</v>
      </c>
      <c r="H869" s="2">
        <f t="shared" si="27"/>
        <v>1600000</v>
      </c>
      <c r="I869" t="s">
        <v>640</v>
      </c>
      <c r="J869" t="s">
        <v>373</v>
      </c>
      <c r="K869" t="s">
        <v>2218</v>
      </c>
      <c r="L869" t="s">
        <v>374</v>
      </c>
      <c r="M869" t="s">
        <v>16</v>
      </c>
      <c r="N869" t="s">
        <v>1868</v>
      </c>
    </row>
    <row r="870" spans="1:14" hidden="1" x14ac:dyDescent="0.35">
      <c r="A870" t="s">
        <v>2125</v>
      </c>
      <c r="B870" t="s">
        <v>66</v>
      </c>
      <c r="C870">
        <v>4</v>
      </c>
      <c r="D870">
        <v>3</v>
      </c>
      <c r="E870" s="1">
        <v>222</v>
      </c>
      <c r="F870" s="3">
        <v>1600000</v>
      </c>
      <c r="G870" s="2">
        <f t="shared" si="26"/>
        <v>7207.2072072072069</v>
      </c>
      <c r="H870" s="2">
        <f t="shared" si="27"/>
        <v>1600000</v>
      </c>
      <c r="I870" t="s">
        <v>2126</v>
      </c>
      <c r="J870" t="s">
        <v>241</v>
      </c>
      <c r="K870" t="s">
        <v>2216</v>
      </c>
      <c r="L870" t="s">
        <v>242</v>
      </c>
      <c r="M870" t="s">
        <v>16</v>
      </c>
      <c r="N870" t="s">
        <v>2242</v>
      </c>
    </row>
    <row r="871" spans="1:14" hidden="1" x14ac:dyDescent="0.35">
      <c r="A871" t="s">
        <v>38</v>
      </c>
      <c r="B871" t="s">
        <v>12</v>
      </c>
      <c r="C871">
        <v>5</v>
      </c>
      <c r="D871">
        <v>4</v>
      </c>
      <c r="E871" s="1">
        <v>523</v>
      </c>
      <c r="F871" s="3">
        <v>1650000</v>
      </c>
      <c r="G871" s="2">
        <f t="shared" si="26"/>
        <v>3154.8757170172084</v>
      </c>
      <c r="H871" s="2">
        <f t="shared" si="27"/>
        <v>1650000</v>
      </c>
      <c r="I871" t="s">
        <v>39</v>
      </c>
      <c r="J871" t="s">
        <v>40</v>
      </c>
      <c r="K871" t="s">
        <v>2217</v>
      </c>
      <c r="L871" t="s">
        <v>41</v>
      </c>
      <c r="M871" t="s">
        <v>16</v>
      </c>
      <c r="N871" t="s">
        <v>37</v>
      </c>
    </row>
    <row r="872" spans="1:14" hidden="1" x14ac:dyDescent="0.35">
      <c r="A872" t="s">
        <v>532</v>
      </c>
      <c r="B872" t="s">
        <v>12</v>
      </c>
      <c r="C872">
        <v>3</v>
      </c>
      <c r="D872">
        <v>4</v>
      </c>
      <c r="E872" s="1">
        <v>155</v>
      </c>
      <c r="F872" s="3">
        <v>1650000</v>
      </c>
      <c r="G872" s="2">
        <f t="shared" si="26"/>
        <v>10645.161290322581</v>
      </c>
      <c r="H872" s="2">
        <f t="shared" si="27"/>
        <v>1650000</v>
      </c>
      <c r="I872" t="s">
        <v>533</v>
      </c>
      <c r="J872" t="s">
        <v>382</v>
      </c>
      <c r="K872" t="s">
        <v>2217</v>
      </c>
      <c r="L872" t="s">
        <v>383</v>
      </c>
      <c r="M872" t="s">
        <v>16</v>
      </c>
      <c r="N872" t="s">
        <v>534</v>
      </c>
    </row>
    <row r="873" spans="1:14" x14ac:dyDescent="0.35">
      <c r="A873" t="s">
        <v>1164</v>
      </c>
      <c r="B873" t="s">
        <v>18</v>
      </c>
      <c r="C873">
        <v>4</v>
      </c>
      <c r="D873">
        <v>5</v>
      </c>
      <c r="E873" s="1">
        <v>219</v>
      </c>
      <c r="F873" s="3">
        <v>1650000</v>
      </c>
      <c r="G873" s="2">
        <f t="shared" si="26"/>
        <v>7534.2465753424658</v>
      </c>
      <c r="H873" s="2">
        <f t="shared" si="27"/>
        <v>1650000</v>
      </c>
      <c r="I873" t="s">
        <v>807</v>
      </c>
      <c r="J873" t="s">
        <v>169</v>
      </c>
      <c r="K873" t="s">
        <v>2217</v>
      </c>
      <c r="L873" t="s">
        <v>170</v>
      </c>
      <c r="M873" t="s">
        <v>16</v>
      </c>
      <c r="N873" t="s">
        <v>2242</v>
      </c>
    </row>
    <row r="874" spans="1:14" hidden="1" x14ac:dyDescent="0.35">
      <c r="A874" t="s">
        <v>1640</v>
      </c>
      <c r="B874" t="s">
        <v>12</v>
      </c>
      <c r="C874">
        <v>4</v>
      </c>
      <c r="D874">
        <v>3</v>
      </c>
      <c r="E874" s="1">
        <v>506</v>
      </c>
      <c r="F874" s="3">
        <v>1650000</v>
      </c>
      <c r="G874" s="2">
        <f t="shared" si="26"/>
        <v>3260.8695652173915</v>
      </c>
      <c r="H874" s="2">
        <f t="shared" si="27"/>
        <v>1650000</v>
      </c>
      <c r="I874" t="s">
        <v>1367</v>
      </c>
      <c r="J874" t="s">
        <v>405</v>
      </c>
      <c r="K874" t="s">
        <v>2217</v>
      </c>
      <c r="L874" t="s">
        <v>406</v>
      </c>
      <c r="M874" t="s">
        <v>16</v>
      </c>
      <c r="N874" t="s">
        <v>77</v>
      </c>
    </row>
    <row r="875" spans="1:14" hidden="1" x14ac:dyDescent="0.35">
      <c r="A875" t="s">
        <v>1916</v>
      </c>
      <c r="B875" t="s">
        <v>12</v>
      </c>
      <c r="C875">
        <v>4</v>
      </c>
      <c r="D875">
        <v>4</v>
      </c>
      <c r="E875" s="1">
        <v>505</v>
      </c>
      <c r="F875" s="3">
        <v>1650000</v>
      </c>
      <c r="G875" s="2">
        <f t="shared" si="26"/>
        <v>3267.3267326732675</v>
      </c>
      <c r="H875" s="2">
        <f t="shared" si="27"/>
        <v>1650000</v>
      </c>
      <c r="I875" t="s">
        <v>975</v>
      </c>
      <c r="J875" t="s">
        <v>405</v>
      </c>
      <c r="K875" t="s">
        <v>2217</v>
      </c>
      <c r="L875" t="s">
        <v>406</v>
      </c>
      <c r="M875" t="s">
        <v>16</v>
      </c>
      <c r="N875" t="s">
        <v>77</v>
      </c>
    </row>
    <row r="876" spans="1:14" hidden="1" x14ac:dyDescent="0.35">
      <c r="A876" t="s">
        <v>2071</v>
      </c>
      <c r="B876" t="s">
        <v>1033</v>
      </c>
      <c r="C876">
        <v>0</v>
      </c>
      <c r="D876">
        <v>0</v>
      </c>
      <c r="E876" s="1">
        <v>375</v>
      </c>
      <c r="F876" s="3">
        <v>1650000</v>
      </c>
      <c r="G876" s="2">
        <f t="shared" si="26"/>
        <v>4400</v>
      </c>
      <c r="H876" s="2">
        <f t="shared" si="27"/>
        <v>1650000</v>
      </c>
      <c r="I876" t="s">
        <v>2072</v>
      </c>
      <c r="J876" t="s">
        <v>164</v>
      </c>
      <c r="K876" t="s">
        <v>2218</v>
      </c>
      <c r="L876" t="s">
        <v>165</v>
      </c>
      <c r="M876" t="s">
        <v>16</v>
      </c>
      <c r="N876" t="s">
        <v>567</v>
      </c>
    </row>
    <row r="877" spans="1:14" x14ac:dyDescent="0.35">
      <c r="A877" t="s">
        <v>438</v>
      </c>
      <c r="B877" t="s">
        <v>18</v>
      </c>
      <c r="C877">
        <v>3</v>
      </c>
      <c r="D877">
        <v>4</v>
      </c>
      <c r="E877" s="1">
        <v>360</v>
      </c>
      <c r="F877" s="3">
        <v>1680000</v>
      </c>
      <c r="G877" s="2">
        <f t="shared" si="26"/>
        <v>4666.666666666667</v>
      </c>
      <c r="H877" s="2">
        <f t="shared" si="27"/>
        <v>1680000</v>
      </c>
      <c r="I877" t="s">
        <v>439</v>
      </c>
      <c r="J877" t="s">
        <v>28</v>
      </c>
      <c r="K877" t="s">
        <v>2217</v>
      </c>
      <c r="L877" t="s">
        <v>29</v>
      </c>
      <c r="M877" t="s">
        <v>16</v>
      </c>
      <c r="N877" t="s">
        <v>440</v>
      </c>
    </row>
    <row r="878" spans="1:14" hidden="1" x14ac:dyDescent="0.35">
      <c r="A878" t="s">
        <v>1828</v>
      </c>
      <c r="B878" t="s">
        <v>12</v>
      </c>
      <c r="C878">
        <v>3</v>
      </c>
      <c r="D878">
        <v>3</v>
      </c>
      <c r="E878" s="1">
        <v>503</v>
      </c>
      <c r="F878" s="3">
        <v>1680000</v>
      </c>
      <c r="G878" s="2">
        <f t="shared" si="26"/>
        <v>3339.9602385685885</v>
      </c>
      <c r="H878" s="2">
        <f t="shared" si="27"/>
        <v>1680000</v>
      </c>
      <c r="I878" t="s">
        <v>1829</v>
      </c>
      <c r="J878" t="s">
        <v>28</v>
      </c>
      <c r="K878" t="s">
        <v>2217</v>
      </c>
      <c r="L878" t="s">
        <v>29</v>
      </c>
      <c r="M878" t="s">
        <v>16</v>
      </c>
      <c r="N878" t="s">
        <v>440</v>
      </c>
    </row>
    <row r="879" spans="1:14" x14ac:dyDescent="0.35">
      <c r="A879" t="s">
        <v>2013</v>
      </c>
      <c r="B879" t="s">
        <v>18</v>
      </c>
      <c r="C879">
        <v>3</v>
      </c>
      <c r="D879">
        <v>4</v>
      </c>
      <c r="E879" s="1">
        <v>1600</v>
      </c>
      <c r="F879" s="3">
        <v>1690000</v>
      </c>
      <c r="G879" s="2">
        <f t="shared" si="26"/>
        <v>1056.25</v>
      </c>
      <c r="H879" s="2">
        <f t="shared" si="27"/>
        <v>1690000</v>
      </c>
      <c r="I879" t="s">
        <v>1661</v>
      </c>
      <c r="J879" t="s">
        <v>145</v>
      </c>
      <c r="K879" t="s">
        <v>2216</v>
      </c>
      <c r="L879" t="s">
        <v>146</v>
      </c>
      <c r="M879" t="s">
        <v>16</v>
      </c>
      <c r="N879" t="s">
        <v>2242</v>
      </c>
    </row>
    <row r="880" spans="1:14" x14ac:dyDescent="0.35">
      <c r="A880" t="s">
        <v>2157</v>
      </c>
      <c r="B880" t="s">
        <v>18</v>
      </c>
      <c r="C880">
        <v>3</v>
      </c>
      <c r="D880">
        <v>4</v>
      </c>
      <c r="E880" s="1">
        <v>1600</v>
      </c>
      <c r="F880" s="3">
        <v>1690000</v>
      </c>
      <c r="G880" s="2">
        <f t="shared" si="26"/>
        <v>1056.25</v>
      </c>
      <c r="H880" s="2">
        <f t="shared" si="27"/>
        <v>1690000</v>
      </c>
      <c r="I880" t="s">
        <v>1661</v>
      </c>
      <c r="J880" t="s">
        <v>145</v>
      </c>
      <c r="K880" t="s">
        <v>2216</v>
      </c>
      <c r="L880" t="s">
        <v>146</v>
      </c>
      <c r="M880" t="s">
        <v>16</v>
      </c>
      <c r="N880" t="s">
        <v>1074</v>
      </c>
    </row>
    <row r="881" spans="1:14" hidden="1" x14ac:dyDescent="0.35">
      <c r="A881" t="s">
        <v>684</v>
      </c>
      <c r="B881" t="s">
        <v>1033</v>
      </c>
      <c r="C881">
        <v>0</v>
      </c>
      <c r="D881">
        <v>0</v>
      </c>
      <c r="E881" s="1">
        <v>792</v>
      </c>
      <c r="F881" s="3">
        <v>1700000</v>
      </c>
      <c r="G881" s="2">
        <f t="shared" si="26"/>
        <v>2146.4646464646466</v>
      </c>
      <c r="H881" s="2">
        <f t="shared" si="27"/>
        <v>1700000</v>
      </c>
      <c r="I881" t="s">
        <v>685</v>
      </c>
      <c r="J881" t="s">
        <v>686</v>
      </c>
      <c r="K881" t="s">
        <v>2218</v>
      </c>
      <c r="L881" t="s">
        <v>687</v>
      </c>
      <c r="M881" t="s">
        <v>16</v>
      </c>
      <c r="N881" t="s">
        <v>688</v>
      </c>
    </row>
    <row r="882" spans="1:14" x14ac:dyDescent="0.35">
      <c r="A882" t="s">
        <v>992</v>
      </c>
      <c r="B882" t="s">
        <v>18</v>
      </c>
      <c r="C882">
        <v>6</v>
      </c>
      <c r="D882">
        <v>7</v>
      </c>
      <c r="E882" s="1">
        <v>200</v>
      </c>
      <c r="F882" s="3">
        <v>1700000</v>
      </c>
      <c r="G882" s="2">
        <f t="shared" si="26"/>
        <v>8500</v>
      </c>
      <c r="H882" s="2">
        <f t="shared" si="27"/>
        <v>1700000</v>
      </c>
      <c r="I882" t="s">
        <v>993</v>
      </c>
      <c r="J882" t="s">
        <v>994</v>
      </c>
      <c r="K882" t="s">
        <v>2219</v>
      </c>
      <c r="L882" t="s">
        <v>995</v>
      </c>
      <c r="M882" t="s">
        <v>16</v>
      </c>
      <c r="N882" t="s">
        <v>996</v>
      </c>
    </row>
    <row r="883" spans="1:14" x14ac:dyDescent="0.35">
      <c r="A883" t="s">
        <v>1124</v>
      </c>
      <c r="B883" t="s">
        <v>18</v>
      </c>
      <c r="C883">
        <v>4</v>
      </c>
      <c r="D883">
        <v>5</v>
      </c>
      <c r="E883" s="1">
        <v>249</v>
      </c>
      <c r="F883" s="3">
        <v>1700000</v>
      </c>
      <c r="G883" s="2">
        <f t="shared" si="26"/>
        <v>6827.3092369477909</v>
      </c>
      <c r="H883" s="2">
        <f t="shared" si="27"/>
        <v>1700000</v>
      </c>
      <c r="I883" t="s">
        <v>498</v>
      </c>
      <c r="J883" t="s">
        <v>169</v>
      </c>
      <c r="K883" t="s">
        <v>2217</v>
      </c>
      <c r="L883" t="s">
        <v>170</v>
      </c>
      <c r="M883" t="s">
        <v>16</v>
      </c>
      <c r="N883" t="s">
        <v>415</v>
      </c>
    </row>
    <row r="884" spans="1:14" ht="16" hidden="1" x14ac:dyDescent="0.45">
      <c r="A884" t="s">
        <v>1473</v>
      </c>
      <c r="B884" t="s">
        <v>189</v>
      </c>
      <c r="C884">
        <v>11</v>
      </c>
      <c r="D884">
        <v>7</v>
      </c>
      <c r="E884" s="1">
        <v>316</v>
      </c>
      <c r="F884" s="3">
        <v>1700000</v>
      </c>
      <c r="G884" s="2">
        <f t="shared" si="26"/>
        <v>5379.7468354430375</v>
      </c>
      <c r="H884" s="2">
        <f t="shared" si="27"/>
        <v>1700000</v>
      </c>
      <c r="I884" s="4" t="s">
        <v>2225</v>
      </c>
      <c r="J884" t="s">
        <v>630</v>
      </c>
      <c r="K884" t="s">
        <v>2219</v>
      </c>
      <c r="L884" t="s">
        <v>631</v>
      </c>
      <c r="M884" t="s">
        <v>16</v>
      </c>
      <c r="N884" t="s">
        <v>1472</v>
      </c>
    </row>
    <row r="885" spans="1:14" x14ac:dyDescent="0.35">
      <c r="A885" t="s">
        <v>1678</v>
      </c>
      <c r="B885" t="s">
        <v>18</v>
      </c>
      <c r="C885">
        <v>6</v>
      </c>
      <c r="D885">
        <v>6</v>
      </c>
      <c r="E885" s="1">
        <v>276</v>
      </c>
      <c r="F885" s="3">
        <v>1700000</v>
      </c>
      <c r="G885" s="2">
        <f t="shared" si="26"/>
        <v>6159.420289855072</v>
      </c>
      <c r="H885" s="2">
        <f t="shared" si="27"/>
        <v>1700000</v>
      </c>
      <c r="I885" t="s">
        <v>1679</v>
      </c>
      <c r="J885" t="s">
        <v>209</v>
      </c>
      <c r="K885" t="s">
        <v>2217</v>
      </c>
      <c r="L885" t="s">
        <v>210</v>
      </c>
      <c r="M885" t="s">
        <v>16</v>
      </c>
      <c r="N885" t="s">
        <v>407</v>
      </c>
    </row>
    <row r="886" spans="1:14" x14ac:dyDescent="0.35">
      <c r="A886" t="s">
        <v>1682</v>
      </c>
      <c r="B886" t="s">
        <v>18</v>
      </c>
      <c r="C886">
        <v>4</v>
      </c>
      <c r="D886">
        <v>5</v>
      </c>
      <c r="E886" s="1">
        <v>276</v>
      </c>
      <c r="F886" s="3">
        <v>1700000</v>
      </c>
      <c r="G886" s="2">
        <f t="shared" si="26"/>
        <v>6159.420289855072</v>
      </c>
      <c r="H886" s="2">
        <f t="shared" si="27"/>
        <v>1700000</v>
      </c>
      <c r="I886" t="s">
        <v>1683</v>
      </c>
      <c r="J886" t="s">
        <v>209</v>
      </c>
      <c r="K886" t="s">
        <v>2217</v>
      </c>
      <c r="L886" t="s">
        <v>210</v>
      </c>
      <c r="M886" t="s">
        <v>16</v>
      </c>
      <c r="N886" t="s">
        <v>407</v>
      </c>
    </row>
    <row r="887" spans="1:14" x14ac:dyDescent="0.35">
      <c r="A887" t="s">
        <v>1687</v>
      </c>
      <c r="B887" t="s">
        <v>18</v>
      </c>
      <c r="C887">
        <v>5</v>
      </c>
      <c r="D887">
        <v>6</v>
      </c>
      <c r="E887" s="1">
        <v>276</v>
      </c>
      <c r="F887" s="3">
        <v>1700000</v>
      </c>
      <c r="G887" s="2">
        <f t="shared" si="26"/>
        <v>6159.420289855072</v>
      </c>
      <c r="H887" s="2">
        <f t="shared" si="27"/>
        <v>1700000</v>
      </c>
      <c r="I887" t="s">
        <v>1688</v>
      </c>
      <c r="J887" t="s">
        <v>209</v>
      </c>
      <c r="K887" t="s">
        <v>2217</v>
      </c>
      <c r="L887" t="s">
        <v>210</v>
      </c>
      <c r="M887" t="s">
        <v>16</v>
      </c>
      <c r="N887" t="s">
        <v>407</v>
      </c>
    </row>
    <row r="888" spans="1:14" hidden="1" x14ac:dyDescent="0.35">
      <c r="A888" t="s">
        <v>2099</v>
      </c>
      <c r="B888" t="s">
        <v>12</v>
      </c>
      <c r="C888">
        <v>4</v>
      </c>
      <c r="D888">
        <v>5</v>
      </c>
      <c r="E888" s="1">
        <v>621</v>
      </c>
      <c r="F888" s="3">
        <v>1700000</v>
      </c>
      <c r="G888" s="2">
        <f t="shared" si="26"/>
        <v>2737.5201288244766</v>
      </c>
      <c r="H888" s="2">
        <f t="shared" si="27"/>
        <v>1700000</v>
      </c>
      <c r="I888" t="s">
        <v>2100</v>
      </c>
      <c r="J888" t="s">
        <v>28</v>
      </c>
      <c r="K888" t="s">
        <v>2217</v>
      </c>
      <c r="L888" t="s">
        <v>29</v>
      </c>
      <c r="M888" t="s">
        <v>16</v>
      </c>
      <c r="N888" t="s">
        <v>77</v>
      </c>
    </row>
    <row r="889" spans="1:14" hidden="1" x14ac:dyDescent="0.35">
      <c r="A889" t="s">
        <v>2101</v>
      </c>
      <c r="B889" t="s">
        <v>12</v>
      </c>
      <c r="C889">
        <v>4</v>
      </c>
      <c r="D889">
        <v>4</v>
      </c>
      <c r="E889" s="1">
        <v>621</v>
      </c>
      <c r="F889" s="3">
        <v>1700000</v>
      </c>
      <c r="G889" s="2">
        <f t="shared" si="26"/>
        <v>2737.5201288244766</v>
      </c>
      <c r="H889" s="2">
        <f t="shared" si="27"/>
        <v>1700000</v>
      </c>
      <c r="I889" t="s">
        <v>2102</v>
      </c>
      <c r="J889" t="s">
        <v>28</v>
      </c>
      <c r="K889" t="s">
        <v>2217</v>
      </c>
      <c r="L889" t="s">
        <v>29</v>
      </c>
      <c r="M889" t="s">
        <v>16</v>
      </c>
      <c r="N889" t="s">
        <v>77</v>
      </c>
    </row>
    <row r="890" spans="1:14" hidden="1" x14ac:dyDescent="0.35">
      <c r="A890" t="s">
        <v>2151</v>
      </c>
      <c r="B890" t="s">
        <v>12</v>
      </c>
      <c r="C890">
        <v>4</v>
      </c>
      <c r="D890">
        <v>4</v>
      </c>
      <c r="E890" s="1">
        <v>621</v>
      </c>
      <c r="F890" s="3">
        <v>1700000</v>
      </c>
      <c r="G890" s="2">
        <f t="shared" si="26"/>
        <v>2737.5201288244766</v>
      </c>
      <c r="H890" s="2">
        <f t="shared" si="27"/>
        <v>1700000</v>
      </c>
      <c r="I890" t="s">
        <v>76</v>
      </c>
      <c r="J890" t="s">
        <v>28</v>
      </c>
      <c r="K890" t="s">
        <v>2217</v>
      </c>
      <c r="L890" t="s">
        <v>29</v>
      </c>
      <c r="M890" t="s">
        <v>16</v>
      </c>
      <c r="N890" t="s">
        <v>1555</v>
      </c>
    </row>
    <row r="891" spans="1:14" hidden="1" x14ac:dyDescent="0.35">
      <c r="A891" t="s">
        <v>2194</v>
      </c>
      <c r="B891" t="s">
        <v>12</v>
      </c>
      <c r="C891">
        <v>3</v>
      </c>
      <c r="D891">
        <v>5</v>
      </c>
      <c r="E891" s="1">
        <v>301</v>
      </c>
      <c r="F891" s="3">
        <v>1700000</v>
      </c>
      <c r="G891" s="2">
        <f t="shared" si="26"/>
        <v>5647.8405315614618</v>
      </c>
      <c r="H891" s="2">
        <f t="shared" si="27"/>
        <v>1700000</v>
      </c>
      <c r="I891" t="s">
        <v>76</v>
      </c>
      <c r="J891" t="s">
        <v>28</v>
      </c>
      <c r="K891" t="s">
        <v>2217</v>
      </c>
      <c r="L891" t="s">
        <v>29</v>
      </c>
      <c r="M891" t="s">
        <v>16</v>
      </c>
      <c r="N891" t="s">
        <v>77</v>
      </c>
    </row>
    <row r="892" spans="1:14" x14ac:dyDescent="0.35">
      <c r="A892" t="s">
        <v>1426</v>
      </c>
      <c r="B892" t="s">
        <v>18</v>
      </c>
      <c r="C892">
        <v>4</v>
      </c>
      <c r="D892">
        <v>3</v>
      </c>
      <c r="E892" s="1">
        <v>198</v>
      </c>
      <c r="F892" s="3">
        <v>1748875</v>
      </c>
      <c r="G892" s="2">
        <f t="shared" si="26"/>
        <v>8832.7020202020194</v>
      </c>
      <c r="H892" s="2">
        <f t="shared" si="27"/>
        <v>1748875</v>
      </c>
      <c r="I892" t="s">
        <v>259</v>
      </c>
      <c r="J892" t="s">
        <v>173</v>
      </c>
      <c r="K892" t="s">
        <v>2216</v>
      </c>
      <c r="L892" t="s">
        <v>174</v>
      </c>
      <c r="M892" t="s">
        <v>16</v>
      </c>
      <c r="N892" t="s">
        <v>1074</v>
      </c>
    </row>
    <row r="893" spans="1:14" hidden="1" x14ac:dyDescent="0.35">
      <c r="A893" t="s">
        <v>172</v>
      </c>
      <c r="B893" t="s">
        <v>12</v>
      </c>
      <c r="C893">
        <v>4</v>
      </c>
      <c r="D893">
        <v>3</v>
      </c>
      <c r="E893" s="1">
        <v>390</v>
      </c>
      <c r="F893" s="3">
        <v>1750000</v>
      </c>
      <c r="G893" s="2">
        <f t="shared" si="26"/>
        <v>4487.1794871794873</v>
      </c>
      <c r="H893" s="2">
        <f t="shared" si="27"/>
        <v>1750000</v>
      </c>
      <c r="I893" t="s">
        <v>2237</v>
      </c>
      <c r="J893" t="s">
        <v>173</v>
      </c>
      <c r="K893" t="s">
        <v>2216</v>
      </c>
      <c r="L893" t="s">
        <v>174</v>
      </c>
      <c r="M893" t="s">
        <v>16</v>
      </c>
      <c r="N893" t="s">
        <v>171</v>
      </c>
    </row>
    <row r="894" spans="1:14" x14ac:dyDescent="0.35">
      <c r="A894" t="s">
        <v>724</v>
      </c>
      <c r="B894" t="s">
        <v>18</v>
      </c>
      <c r="C894">
        <v>4</v>
      </c>
      <c r="D894">
        <v>4</v>
      </c>
      <c r="E894" s="1">
        <v>900</v>
      </c>
      <c r="F894" s="3">
        <v>1750000</v>
      </c>
      <c r="G894" s="2">
        <f t="shared" si="26"/>
        <v>1944.4444444444443</v>
      </c>
      <c r="H894" s="2">
        <f t="shared" si="27"/>
        <v>1750000</v>
      </c>
      <c r="I894" t="s">
        <v>725</v>
      </c>
      <c r="J894" t="s">
        <v>726</v>
      </c>
      <c r="K894" t="s">
        <v>2216</v>
      </c>
      <c r="L894" t="s">
        <v>727</v>
      </c>
      <c r="M894" t="s">
        <v>16</v>
      </c>
      <c r="N894" t="s">
        <v>728</v>
      </c>
    </row>
    <row r="895" spans="1:14" hidden="1" x14ac:dyDescent="0.35">
      <c r="A895" t="s">
        <v>765</v>
      </c>
      <c r="B895" t="s">
        <v>12</v>
      </c>
      <c r="C895">
        <v>4</v>
      </c>
      <c r="D895">
        <v>5</v>
      </c>
      <c r="E895" s="1">
        <v>621</v>
      </c>
      <c r="F895" s="3">
        <v>1750000</v>
      </c>
      <c r="G895" s="2">
        <f t="shared" si="26"/>
        <v>2818.035426731079</v>
      </c>
      <c r="H895" s="2">
        <f t="shared" si="27"/>
        <v>1750000</v>
      </c>
      <c r="I895" t="s">
        <v>766</v>
      </c>
      <c r="J895" t="s">
        <v>28</v>
      </c>
      <c r="K895" t="s">
        <v>2217</v>
      </c>
      <c r="L895" t="s">
        <v>29</v>
      </c>
      <c r="M895" t="s">
        <v>16</v>
      </c>
      <c r="N895" t="s">
        <v>407</v>
      </c>
    </row>
    <row r="896" spans="1:14" hidden="1" x14ac:dyDescent="0.35">
      <c r="A896" t="s">
        <v>1145</v>
      </c>
      <c r="B896" t="s">
        <v>12</v>
      </c>
      <c r="C896">
        <v>3</v>
      </c>
      <c r="D896">
        <v>2</v>
      </c>
      <c r="E896" s="1">
        <v>79</v>
      </c>
      <c r="F896" s="3">
        <v>1750000</v>
      </c>
      <c r="G896" s="2">
        <f t="shared" si="26"/>
        <v>22151.898734177215</v>
      </c>
      <c r="H896" s="2">
        <f t="shared" si="27"/>
        <v>1750000</v>
      </c>
      <c r="I896" t="s">
        <v>1146</v>
      </c>
      <c r="J896" t="s">
        <v>173</v>
      </c>
      <c r="K896" t="s">
        <v>2216</v>
      </c>
      <c r="L896" t="s">
        <v>174</v>
      </c>
      <c r="M896" t="s">
        <v>16</v>
      </c>
      <c r="N896" t="s">
        <v>1074</v>
      </c>
    </row>
    <row r="897" spans="1:14" x14ac:dyDescent="0.35">
      <c r="A897" t="s">
        <v>1285</v>
      </c>
      <c r="B897" t="s">
        <v>18</v>
      </c>
      <c r="C897">
        <v>4</v>
      </c>
      <c r="D897">
        <v>5</v>
      </c>
      <c r="E897" s="1">
        <v>225</v>
      </c>
      <c r="F897" s="3">
        <v>1750000</v>
      </c>
      <c r="G897" s="2">
        <f t="shared" si="26"/>
        <v>7777.7777777777774</v>
      </c>
      <c r="H897" s="2">
        <f t="shared" si="27"/>
        <v>1750000</v>
      </c>
      <c r="I897" t="s">
        <v>1286</v>
      </c>
      <c r="J897" t="s">
        <v>169</v>
      </c>
      <c r="K897" t="s">
        <v>2217</v>
      </c>
      <c r="L897" t="s">
        <v>170</v>
      </c>
      <c r="M897" t="s">
        <v>16</v>
      </c>
      <c r="N897" t="s">
        <v>883</v>
      </c>
    </row>
    <row r="898" spans="1:14" x14ac:dyDescent="0.35">
      <c r="A898" t="s">
        <v>1402</v>
      </c>
      <c r="B898" t="s">
        <v>18</v>
      </c>
      <c r="C898">
        <v>3</v>
      </c>
      <c r="D898">
        <v>3</v>
      </c>
      <c r="E898" s="1">
        <v>232</v>
      </c>
      <c r="F898" s="3">
        <v>1750000</v>
      </c>
      <c r="G898" s="2">
        <f t="shared" si="26"/>
        <v>7543.1034482758623</v>
      </c>
      <c r="H898" s="2">
        <f t="shared" si="27"/>
        <v>1750000</v>
      </c>
      <c r="I898" t="s">
        <v>163</v>
      </c>
      <c r="J898" t="s">
        <v>164</v>
      </c>
      <c r="K898" t="s">
        <v>2218</v>
      </c>
      <c r="L898" t="s">
        <v>165</v>
      </c>
      <c r="M898" t="s">
        <v>16</v>
      </c>
      <c r="N898" t="s">
        <v>166</v>
      </c>
    </row>
    <row r="899" spans="1:14" hidden="1" x14ac:dyDescent="0.35">
      <c r="A899" t="s">
        <v>1593</v>
      </c>
      <c r="B899" t="s">
        <v>12</v>
      </c>
      <c r="C899">
        <v>3</v>
      </c>
      <c r="D899">
        <v>4</v>
      </c>
      <c r="E899" s="1">
        <v>360</v>
      </c>
      <c r="F899" s="3">
        <v>1750000</v>
      </c>
      <c r="G899" s="2">
        <f t="shared" si="26"/>
        <v>4861.1111111111113</v>
      </c>
      <c r="H899" s="2">
        <f t="shared" si="27"/>
        <v>1750000</v>
      </c>
      <c r="I899" t="s">
        <v>1594</v>
      </c>
      <c r="J899" t="s">
        <v>173</v>
      </c>
      <c r="K899" t="s">
        <v>2216</v>
      </c>
      <c r="L899" t="s">
        <v>174</v>
      </c>
      <c r="M899" t="s">
        <v>16</v>
      </c>
      <c r="N899" t="s">
        <v>2242</v>
      </c>
    </row>
    <row r="900" spans="1:14" hidden="1" x14ac:dyDescent="0.35">
      <c r="A900" t="s">
        <v>1636</v>
      </c>
      <c r="B900" t="s">
        <v>66</v>
      </c>
      <c r="C900">
        <v>2</v>
      </c>
      <c r="D900">
        <v>3</v>
      </c>
      <c r="E900" s="1">
        <v>2594</v>
      </c>
      <c r="F900" s="3">
        <v>1750000</v>
      </c>
      <c r="G900" s="2">
        <f t="shared" si="26"/>
        <v>674.63377023901307</v>
      </c>
      <c r="H900" s="2">
        <f t="shared" si="27"/>
        <v>1750000</v>
      </c>
      <c r="I900" t="s">
        <v>1637</v>
      </c>
      <c r="J900" t="s">
        <v>382</v>
      </c>
      <c r="K900" t="s">
        <v>2217</v>
      </c>
      <c r="L900" t="s">
        <v>383</v>
      </c>
      <c r="M900" t="s">
        <v>16</v>
      </c>
      <c r="N900" t="s">
        <v>2242</v>
      </c>
    </row>
    <row r="901" spans="1:14" x14ac:dyDescent="0.35">
      <c r="A901" t="s">
        <v>1766</v>
      </c>
      <c r="B901" t="s">
        <v>18</v>
      </c>
      <c r="C901">
        <v>7</v>
      </c>
      <c r="D901">
        <v>6</v>
      </c>
      <c r="E901" s="1">
        <v>225</v>
      </c>
      <c r="F901" s="3">
        <v>1750000</v>
      </c>
      <c r="G901" s="2">
        <f t="shared" ref="G901:G964" si="28">IF(F901&lt;50000,F901,F901/E901)</f>
        <v>7777.7777777777774</v>
      </c>
      <c r="H901" s="2">
        <f t="shared" ref="H901:H964" si="29">IF(F901&lt;50000,E901*F901,F901)</f>
        <v>1750000</v>
      </c>
      <c r="I901" t="s">
        <v>807</v>
      </c>
      <c r="J901" t="s">
        <v>169</v>
      </c>
      <c r="K901" t="s">
        <v>2217</v>
      </c>
      <c r="L901" t="s">
        <v>170</v>
      </c>
      <c r="M901" t="s">
        <v>16</v>
      </c>
      <c r="N901" t="s">
        <v>624</v>
      </c>
    </row>
    <row r="902" spans="1:14" x14ac:dyDescent="0.35">
      <c r="A902" t="s">
        <v>1767</v>
      </c>
      <c r="B902" t="s">
        <v>18</v>
      </c>
      <c r="C902">
        <v>7</v>
      </c>
      <c r="D902">
        <v>6</v>
      </c>
      <c r="E902" s="1">
        <v>225</v>
      </c>
      <c r="F902" s="3">
        <v>1750000</v>
      </c>
      <c r="G902" s="2">
        <f t="shared" si="28"/>
        <v>7777.7777777777774</v>
      </c>
      <c r="H902" s="2">
        <f t="shared" si="29"/>
        <v>1750000</v>
      </c>
      <c r="I902" t="s">
        <v>1768</v>
      </c>
      <c r="J902" t="s">
        <v>169</v>
      </c>
      <c r="K902" t="s">
        <v>2217</v>
      </c>
      <c r="L902" t="s">
        <v>170</v>
      </c>
      <c r="M902" t="s">
        <v>16</v>
      </c>
      <c r="N902" t="s">
        <v>624</v>
      </c>
    </row>
    <row r="903" spans="1:14" hidden="1" x14ac:dyDescent="0.35">
      <c r="A903" t="s">
        <v>2156</v>
      </c>
      <c r="B903" t="s">
        <v>12</v>
      </c>
      <c r="C903">
        <v>3</v>
      </c>
      <c r="D903">
        <v>3</v>
      </c>
      <c r="E903" s="1">
        <v>79</v>
      </c>
      <c r="F903" s="3">
        <v>1750000</v>
      </c>
      <c r="G903" s="2">
        <f t="shared" si="28"/>
        <v>22151.898734177215</v>
      </c>
      <c r="H903" s="2">
        <f t="shared" si="29"/>
        <v>1750000</v>
      </c>
      <c r="I903" t="s">
        <v>1594</v>
      </c>
      <c r="J903" t="s">
        <v>173</v>
      </c>
      <c r="K903" t="s">
        <v>2216</v>
      </c>
      <c r="L903" t="s">
        <v>174</v>
      </c>
      <c r="M903" t="s">
        <v>16</v>
      </c>
      <c r="N903" t="s">
        <v>1074</v>
      </c>
    </row>
    <row r="904" spans="1:14" hidden="1" x14ac:dyDescent="0.35">
      <c r="A904" t="s">
        <v>1607</v>
      </c>
      <c r="B904" t="s">
        <v>66</v>
      </c>
      <c r="C904">
        <v>3</v>
      </c>
      <c r="D904">
        <v>3</v>
      </c>
      <c r="E904" s="1">
        <v>163</v>
      </c>
      <c r="F904" s="3">
        <v>1770000</v>
      </c>
      <c r="G904" s="2">
        <f t="shared" si="28"/>
        <v>10858.895705521472</v>
      </c>
      <c r="H904" s="2">
        <f t="shared" si="29"/>
        <v>1770000</v>
      </c>
      <c r="I904" t="s">
        <v>2207</v>
      </c>
      <c r="J904" t="s">
        <v>255</v>
      </c>
      <c r="K904" t="s">
        <v>2216</v>
      </c>
      <c r="L904" t="s">
        <v>256</v>
      </c>
      <c r="M904" t="s">
        <v>16</v>
      </c>
      <c r="N904" t="s">
        <v>171</v>
      </c>
    </row>
    <row r="905" spans="1:14" hidden="1" x14ac:dyDescent="0.35">
      <c r="A905" t="s">
        <v>2038</v>
      </c>
      <c r="B905" t="s">
        <v>12</v>
      </c>
      <c r="C905">
        <v>4</v>
      </c>
      <c r="D905">
        <v>3</v>
      </c>
      <c r="E905" s="1">
        <v>115</v>
      </c>
      <c r="F905" s="3">
        <v>1799000</v>
      </c>
      <c r="G905" s="2">
        <f t="shared" si="28"/>
        <v>15643.478260869566</v>
      </c>
      <c r="H905" s="2">
        <f t="shared" si="29"/>
        <v>1799000</v>
      </c>
      <c r="I905" t="s">
        <v>2039</v>
      </c>
      <c r="J905" t="s">
        <v>1623</v>
      </c>
      <c r="K905" t="s">
        <v>2217</v>
      </c>
      <c r="L905" t="s">
        <v>1624</v>
      </c>
      <c r="M905" t="s">
        <v>16</v>
      </c>
      <c r="N905" t="s">
        <v>1409</v>
      </c>
    </row>
    <row r="906" spans="1:14" x14ac:dyDescent="0.35">
      <c r="A906" t="s">
        <v>1958</v>
      </c>
      <c r="B906" t="s">
        <v>18</v>
      </c>
      <c r="C906">
        <v>7</v>
      </c>
      <c r="D906">
        <v>6</v>
      </c>
      <c r="E906" s="1">
        <v>250</v>
      </c>
      <c r="F906" s="3">
        <v>1799999</v>
      </c>
      <c r="G906" s="2">
        <f t="shared" si="28"/>
        <v>7199.9960000000001</v>
      </c>
      <c r="H906" s="2">
        <f t="shared" si="29"/>
        <v>1799999</v>
      </c>
      <c r="I906" t="s">
        <v>157</v>
      </c>
      <c r="J906" t="s">
        <v>68</v>
      </c>
      <c r="K906" t="s">
        <v>2218</v>
      </c>
      <c r="L906" t="s">
        <v>69</v>
      </c>
      <c r="M906" t="s">
        <v>16</v>
      </c>
      <c r="N906" t="s">
        <v>948</v>
      </c>
    </row>
    <row r="907" spans="1:14" hidden="1" x14ac:dyDescent="0.35">
      <c r="A907" t="s">
        <v>340</v>
      </c>
      <c r="B907" t="s">
        <v>12</v>
      </c>
      <c r="C907">
        <v>3</v>
      </c>
      <c r="D907">
        <v>4</v>
      </c>
      <c r="E907" s="1">
        <v>362</v>
      </c>
      <c r="F907" s="3">
        <v>1800000</v>
      </c>
      <c r="G907" s="2">
        <f t="shared" si="28"/>
        <v>4972.3756906077351</v>
      </c>
      <c r="H907" s="2">
        <f t="shared" si="29"/>
        <v>1800000</v>
      </c>
      <c r="I907" t="s">
        <v>283</v>
      </c>
      <c r="J907" t="s">
        <v>145</v>
      </c>
      <c r="K907" t="s">
        <v>2216</v>
      </c>
      <c r="L907" t="s">
        <v>146</v>
      </c>
      <c r="M907" t="s">
        <v>16</v>
      </c>
      <c r="N907" t="s">
        <v>2242</v>
      </c>
    </row>
    <row r="908" spans="1:14" hidden="1" x14ac:dyDescent="0.35">
      <c r="A908" t="s">
        <v>342</v>
      </c>
      <c r="B908" t="s">
        <v>12</v>
      </c>
      <c r="C908">
        <v>3</v>
      </c>
      <c r="D908">
        <v>5</v>
      </c>
      <c r="E908" s="1">
        <v>211</v>
      </c>
      <c r="F908" s="3">
        <v>1800000</v>
      </c>
      <c r="G908" s="2">
        <f t="shared" si="28"/>
        <v>8530.8056872037923</v>
      </c>
      <c r="H908" s="2">
        <f t="shared" si="29"/>
        <v>1800000</v>
      </c>
      <c r="I908" t="s">
        <v>343</v>
      </c>
      <c r="J908" t="s">
        <v>40</v>
      </c>
      <c r="K908" t="s">
        <v>2217</v>
      </c>
      <c r="L908" t="s">
        <v>41</v>
      </c>
      <c r="M908" t="s">
        <v>16</v>
      </c>
      <c r="N908" t="s">
        <v>2242</v>
      </c>
    </row>
    <row r="909" spans="1:14" x14ac:dyDescent="0.35">
      <c r="A909" t="s">
        <v>540</v>
      </c>
      <c r="B909" t="s">
        <v>18</v>
      </c>
      <c r="C909">
        <v>3</v>
      </c>
      <c r="D909">
        <v>3</v>
      </c>
      <c r="E909" s="1">
        <v>300</v>
      </c>
      <c r="F909" s="3">
        <v>1800000</v>
      </c>
      <c r="G909" s="2">
        <f t="shared" si="28"/>
        <v>6000</v>
      </c>
      <c r="H909" s="2">
        <f t="shared" si="29"/>
        <v>1800000</v>
      </c>
      <c r="I909" t="s">
        <v>541</v>
      </c>
      <c r="J909" t="s">
        <v>173</v>
      </c>
      <c r="K909" t="s">
        <v>2216</v>
      </c>
      <c r="L909" t="s">
        <v>174</v>
      </c>
      <c r="M909" t="s">
        <v>16</v>
      </c>
      <c r="N909" t="s">
        <v>2242</v>
      </c>
    </row>
    <row r="910" spans="1:14" x14ac:dyDescent="0.35">
      <c r="A910" t="s">
        <v>549</v>
      </c>
      <c r="B910" t="s">
        <v>18</v>
      </c>
      <c r="C910">
        <v>5</v>
      </c>
      <c r="D910">
        <v>5</v>
      </c>
      <c r="E910" s="1">
        <v>562</v>
      </c>
      <c r="F910" s="3">
        <v>1800000</v>
      </c>
      <c r="G910" s="2">
        <f t="shared" si="28"/>
        <v>3202.8469750889681</v>
      </c>
      <c r="H910" s="2">
        <f t="shared" si="29"/>
        <v>1800000</v>
      </c>
      <c r="I910" t="s">
        <v>550</v>
      </c>
      <c r="J910" t="s">
        <v>14</v>
      </c>
      <c r="K910" t="s">
        <v>2215</v>
      </c>
      <c r="L910" t="s">
        <v>15</v>
      </c>
      <c r="M910" t="s">
        <v>16</v>
      </c>
      <c r="N910" t="s">
        <v>454</v>
      </c>
    </row>
    <row r="911" spans="1:14" x14ac:dyDescent="0.35">
      <c r="A911" t="s">
        <v>612</v>
      </c>
      <c r="B911" t="s">
        <v>18</v>
      </c>
      <c r="C911">
        <v>6</v>
      </c>
      <c r="D911">
        <v>6</v>
      </c>
      <c r="E911" s="1">
        <v>359</v>
      </c>
      <c r="F911" s="3">
        <v>1800000</v>
      </c>
      <c r="G911" s="2">
        <f t="shared" si="28"/>
        <v>5013.9275766016717</v>
      </c>
      <c r="H911" s="2">
        <f t="shared" si="29"/>
        <v>1800000</v>
      </c>
      <c r="I911" t="s">
        <v>613</v>
      </c>
      <c r="J911" t="s">
        <v>97</v>
      </c>
      <c r="K911" t="s">
        <v>2217</v>
      </c>
      <c r="L911" t="s">
        <v>98</v>
      </c>
      <c r="M911" t="s">
        <v>16</v>
      </c>
      <c r="N911" t="s">
        <v>415</v>
      </c>
    </row>
    <row r="912" spans="1:14" hidden="1" x14ac:dyDescent="0.35">
      <c r="A912" t="s">
        <v>903</v>
      </c>
      <c r="B912" t="s">
        <v>66</v>
      </c>
      <c r="C912">
        <v>4</v>
      </c>
      <c r="D912">
        <v>3</v>
      </c>
      <c r="E912" s="1">
        <v>181</v>
      </c>
      <c r="F912" s="3">
        <v>1800000</v>
      </c>
      <c r="G912" s="2">
        <f t="shared" si="28"/>
        <v>9944.7513812154702</v>
      </c>
      <c r="H912" s="2">
        <f t="shared" si="29"/>
        <v>1800000</v>
      </c>
      <c r="I912" t="s">
        <v>547</v>
      </c>
      <c r="J912" t="s">
        <v>173</v>
      </c>
      <c r="K912" t="s">
        <v>2216</v>
      </c>
      <c r="L912" t="s">
        <v>174</v>
      </c>
      <c r="M912" t="s">
        <v>16</v>
      </c>
      <c r="N912" t="s">
        <v>2242</v>
      </c>
    </row>
    <row r="913" spans="1:14" x14ac:dyDescent="0.35">
      <c r="A913" t="s">
        <v>921</v>
      </c>
      <c r="B913" t="s">
        <v>18</v>
      </c>
      <c r="C913">
        <v>9</v>
      </c>
      <c r="D913">
        <v>6</v>
      </c>
      <c r="E913" s="1">
        <v>334</v>
      </c>
      <c r="F913" s="3">
        <v>1800000</v>
      </c>
      <c r="G913" s="2">
        <f t="shared" si="28"/>
        <v>5389.2215568862275</v>
      </c>
      <c r="H913" s="2">
        <f t="shared" si="29"/>
        <v>1800000</v>
      </c>
      <c r="I913" t="s">
        <v>922</v>
      </c>
      <c r="J913" t="s">
        <v>923</v>
      </c>
      <c r="K913" t="s">
        <v>2217</v>
      </c>
      <c r="L913" t="s">
        <v>924</v>
      </c>
      <c r="M913" t="s">
        <v>16</v>
      </c>
      <c r="N913" t="s">
        <v>45</v>
      </c>
    </row>
    <row r="914" spans="1:14" hidden="1" x14ac:dyDescent="0.35">
      <c r="A914" t="s">
        <v>1104</v>
      </c>
      <c r="B914" t="s">
        <v>12</v>
      </c>
      <c r="C914">
        <v>3</v>
      </c>
      <c r="D914">
        <v>3</v>
      </c>
      <c r="E914" s="1">
        <v>174</v>
      </c>
      <c r="F914" s="3">
        <v>1800000</v>
      </c>
      <c r="G914" s="2">
        <f t="shared" si="28"/>
        <v>10344.827586206897</v>
      </c>
      <c r="H914" s="2">
        <f t="shared" si="29"/>
        <v>1800000</v>
      </c>
      <c r="I914" t="s">
        <v>1105</v>
      </c>
      <c r="J914" t="s">
        <v>387</v>
      </c>
      <c r="K914" t="s">
        <v>2216</v>
      </c>
      <c r="L914" t="s">
        <v>388</v>
      </c>
      <c r="M914" t="s">
        <v>16</v>
      </c>
      <c r="N914" t="s">
        <v>2242</v>
      </c>
    </row>
    <row r="915" spans="1:14" hidden="1" x14ac:dyDescent="0.35">
      <c r="A915" t="s">
        <v>1122</v>
      </c>
      <c r="B915" t="s">
        <v>66</v>
      </c>
      <c r="C915">
        <v>3</v>
      </c>
      <c r="D915">
        <v>3</v>
      </c>
      <c r="E915" s="1">
        <v>141</v>
      </c>
      <c r="F915" s="3">
        <v>1800000</v>
      </c>
      <c r="G915" s="2">
        <f t="shared" si="28"/>
        <v>12765.95744680851</v>
      </c>
      <c r="H915" s="2">
        <f t="shared" si="29"/>
        <v>1800000</v>
      </c>
      <c r="I915" t="s">
        <v>1123</v>
      </c>
      <c r="J915" t="s">
        <v>241</v>
      </c>
      <c r="K915" t="s">
        <v>2216</v>
      </c>
      <c r="L915" t="s">
        <v>242</v>
      </c>
      <c r="M915" t="s">
        <v>16</v>
      </c>
      <c r="N915" t="s">
        <v>624</v>
      </c>
    </row>
    <row r="916" spans="1:14" x14ac:dyDescent="0.35">
      <c r="A916" t="s">
        <v>1143</v>
      </c>
      <c r="B916" t="s">
        <v>18</v>
      </c>
      <c r="C916">
        <v>3</v>
      </c>
      <c r="D916">
        <v>4</v>
      </c>
      <c r="E916" s="1">
        <v>375</v>
      </c>
      <c r="F916" s="3">
        <v>1800000</v>
      </c>
      <c r="G916" s="2">
        <f t="shared" si="28"/>
        <v>4800</v>
      </c>
      <c r="H916" s="2">
        <f t="shared" si="29"/>
        <v>1800000</v>
      </c>
      <c r="I916" t="s">
        <v>891</v>
      </c>
      <c r="J916" t="s">
        <v>164</v>
      </c>
      <c r="K916" t="s">
        <v>2218</v>
      </c>
      <c r="L916" t="s">
        <v>165</v>
      </c>
      <c r="M916" t="s">
        <v>16</v>
      </c>
      <c r="N916" t="s">
        <v>2242</v>
      </c>
    </row>
    <row r="917" spans="1:14" x14ac:dyDescent="0.35">
      <c r="A917" t="s">
        <v>1254</v>
      </c>
      <c r="B917" t="s">
        <v>18</v>
      </c>
      <c r="C917">
        <v>7</v>
      </c>
      <c r="D917">
        <v>8</v>
      </c>
      <c r="E917" s="1">
        <v>250</v>
      </c>
      <c r="F917" s="3">
        <v>1800000</v>
      </c>
      <c r="G917" s="2">
        <f t="shared" si="28"/>
        <v>7200</v>
      </c>
      <c r="H917" s="2">
        <f t="shared" si="29"/>
        <v>1800000</v>
      </c>
      <c r="I917" t="s">
        <v>1255</v>
      </c>
      <c r="J917" t="s">
        <v>68</v>
      </c>
      <c r="K917" t="s">
        <v>2218</v>
      </c>
      <c r="L917" t="s">
        <v>69</v>
      </c>
      <c r="M917" t="s">
        <v>16</v>
      </c>
      <c r="N917" t="s">
        <v>2242</v>
      </c>
    </row>
    <row r="918" spans="1:14" x14ac:dyDescent="0.35">
      <c r="A918" t="s">
        <v>1427</v>
      </c>
      <c r="B918" t="s">
        <v>18</v>
      </c>
      <c r="C918">
        <v>6</v>
      </c>
      <c r="D918">
        <v>7</v>
      </c>
      <c r="E918" s="1">
        <v>250</v>
      </c>
      <c r="F918" s="3">
        <v>1800000</v>
      </c>
      <c r="G918" s="2">
        <f t="shared" si="28"/>
        <v>7200</v>
      </c>
      <c r="H918" s="2">
        <f t="shared" si="29"/>
        <v>1800000</v>
      </c>
      <c r="I918" t="s">
        <v>1206</v>
      </c>
      <c r="J918" t="s">
        <v>1207</v>
      </c>
      <c r="K918" t="s">
        <v>2216</v>
      </c>
      <c r="L918" t="s">
        <v>1208</v>
      </c>
      <c r="M918" t="s">
        <v>16</v>
      </c>
      <c r="N918" t="s">
        <v>948</v>
      </c>
    </row>
    <row r="919" spans="1:14" x14ac:dyDescent="0.35">
      <c r="A919" t="s">
        <v>1434</v>
      </c>
      <c r="B919" t="s">
        <v>18</v>
      </c>
      <c r="C919">
        <v>6</v>
      </c>
      <c r="D919">
        <v>3</v>
      </c>
      <c r="E919" s="1">
        <v>400</v>
      </c>
      <c r="F919" s="3">
        <v>1800000</v>
      </c>
      <c r="G919" s="2">
        <f t="shared" si="28"/>
        <v>4500</v>
      </c>
      <c r="H919" s="2">
        <f t="shared" si="29"/>
        <v>1800000</v>
      </c>
      <c r="I919" t="s">
        <v>1435</v>
      </c>
      <c r="J919" t="s">
        <v>35</v>
      </c>
      <c r="K919" t="s">
        <v>2217</v>
      </c>
      <c r="L919" t="s">
        <v>36</v>
      </c>
      <c r="M919" t="s">
        <v>16</v>
      </c>
      <c r="N919" t="s">
        <v>211</v>
      </c>
    </row>
    <row r="920" spans="1:14" ht="16" hidden="1" x14ac:dyDescent="0.45">
      <c r="A920" t="s">
        <v>1469</v>
      </c>
      <c r="B920" t="s">
        <v>189</v>
      </c>
      <c r="C920">
        <v>11</v>
      </c>
      <c r="D920">
        <v>7</v>
      </c>
      <c r="E920" s="1">
        <v>190</v>
      </c>
      <c r="F920" s="3">
        <v>1800000</v>
      </c>
      <c r="G920" s="2">
        <f t="shared" si="28"/>
        <v>9473.6842105263149</v>
      </c>
      <c r="H920" s="2">
        <f t="shared" si="29"/>
        <v>1800000</v>
      </c>
      <c r="I920" s="4" t="s">
        <v>2224</v>
      </c>
      <c r="J920" t="s">
        <v>1470</v>
      </c>
      <c r="K920" t="s">
        <v>2218</v>
      </c>
      <c r="L920" t="s">
        <v>1471</v>
      </c>
      <c r="M920" t="s">
        <v>16</v>
      </c>
      <c r="N920" t="s">
        <v>1472</v>
      </c>
    </row>
    <row r="921" spans="1:14" x14ac:dyDescent="0.35">
      <c r="A921" t="s">
        <v>1701</v>
      </c>
      <c r="B921" t="s">
        <v>18</v>
      </c>
      <c r="C921">
        <v>5</v>
      </c>
      <c r="D921">
        <v>5</v>
      </c>
      <c r="E921" s="1">
        <v>630</v>
      </c>
      <c r="F921" s="3">
        <v>1800000</v>
      </c>
      <c r="G921" s="2">
        <f t="shared" si="28"/>
        <v>2857.1428571428573</v>
      </c>
      <c r="H921" s="2">
        <f t="shared" si="29"/>
        <v>1800000</v>
      </c>
      <c r="I921" t="s">
        <v>1551</v>
      </c>
      <c r="J921" t="s">
        <v>430</v>
      </c>
      <c r="K921" t="s">
        <v>2215</v>
      </c>
      <c r="L921" t="s">
        <v>431</v>
      </c>
      <c r="M921" t="s">
        <v>16</v>
      </c>
      <c r="N921" t="s">
        <v>2242</v>
      </c>
    </row>
    <row r="922" spans="1:14" x14ac:dyDescent="0.35">
      <c r="A922" t="s">
        <v>1745</v>
      </c>
      <c r="B922" t="s">
        <v>18</v>
      </c>
      <c r="C922">
        <v>8</v>
      </c>
      <c r="D922">
        <v>7</v>
      </c>
      <c r="E922" s="1">
        <v>200</v>
      </c>
      <c r="F922" s="3">
        <v>1800000</v>
      </c>
      <c r="G922" s="2">
        <f t="shared" si="28"/>
        <v>9000</v>
      </c>
      <c r="H922" s="2">
        <f t="shared" si="29"/>
        <v>1800000</v>
      </c>
      <c r="I922" t="s">
        <v>163</v>
      </c>
      <c r="J922" t="s">
        <v>164</v>
      </c>
      <c r="K922" t="s">
        <v>2218</v>
      </c>
      <c r="L922" t="s">
        <v>165</v>
      </c>
      <c r="M922" t="s">
        <v>16</v>
      </c>
      <c r="N922" t="s">
        <v>2242</v>
      </c>
    </row>
    <row r="923" spans="1:14" hidden="1" x14ac:dyDescent="0.35">
      <c r="A923" t="s">
        <v>1753</v>
      </c>
      <c r="B923" t="s">
        <v>12</v>
      </c>
      <c r="C923">
        <v>4</v>
      </c>
      <c r="D923">
        <v>5</v>
      </c>
      <c r="E923" s="1">
        <v>246</v>
      </c>
      <c r="F923" s="3">
        <v>1800000</v>
      </c>
      <c r="G923" s="2">
        <f t="shared" si="28"/>
        <v>7317.0731707317073</v>
      </c>
      <c r="H923" s="2">
        <f t="shared" si="29"/>
        <v>1800000</v>
      </c>
      <c r="I923" t="s">
        <v>283</v>
      </c>
      <c r="J923" t="s">
        <v>145</v>
      </c>
      <c r="K923" t="s">
        <v>2216</v>
      </c>
      <c r="L923" t="s">
        <v>146</v>
      </c>
      <c r="M923" t="s">
        <v>16</v>
      </c>
      <c r="N923" t="s">
        <v>284</v>
      </c>
    </row>
    <row r="924" spans="1:14" x14ac:dyDescent="0.35">
      <c r="A924" t="s">
        <v>1889</v>
      </c>
      <c r="B924" t="s">
        <v>18</v>
      </c>
      <c r="C924">
        <v>5</v>
      </c>
      <c r="D924">
        <v>5</v>
      </c>
      <c r="E924" s="1">
        <v>312</v>
      </c>
      <c r="F924" s="3">
        <v>1800000</v>
      </c>
      <c r="G924" s="2">
        <f t="shared" si="28"/>
        <v>5769.2307692307695</v>
      </c>
      <c r="H924" s="2">
        <f t="shared" si="29"/>
        <v>1800000</v>
      </c>
      <c r="I924" t="s">
        <v>163</v>
      </c>
      <c r="J924" t="s">
        <v>164</v>
      </c>
      <c r="K924" t="s">
        <v>2218</v>
      </c>
      <c r="L924" t="s">
        <v>165</v>
      </c>
      <c r="M924" t="s">
        <v>16</v>
      </c>
      <c r="N924" t="s">
        <v>996</v>
      </c>
    </row>
    <row r="925" spans="1:14" x14ac:dyDescent="0.35">
      <c r="A925" t="s">
        <v>1979</v>
      </c>
      <c r="B925" t="s">
        <v>18</v>
      </c>
      <c r="C925">
        <v>7</v>
      </c>
      <c r="D925">
        <v>5</v>
      </c>
      <c r="E925" s="1">
        <v>250</v>
      </c>
      <c r="F925" s="3">
        <v>1800000</v>
      </c>
      <c r="G925" s="2">
        <f t="shared" si="28"/>
        <v>7200</v>
      </c>
      <c r="H925" s="2">
        <f t="shared" si="29"/>
        <v>1800000</v>
      </c>
      <c r="I925" t="s">
        <v>157</v>
      </c>
      <c r="J925" t="s">
        <v>68</v>
      </c>
      <c r="K925" t="s">
        <v>2218</v>
      </c>
      <c r="L925" t="s">
        <v>69</v>
      </c>
      <c r="M925" t="s">
        <v>16</v>
      </c>
      <c r="N925" t="s">
        <v>948</v>
      </c>
    </row>
    <row r="926" spans="1:14" hidden="1" x14ac:dyDescent="0.35">
      <c r="A926" t="s">
        <v>2004</v>
      </c>
      <c r="B926" t="s">
        <v>12</v>
      </c>
      <c r="C926">
        <v>3</v>
      </c>
      <c r="D926">
        <v>3</v>
      </c>
      <c r="E926" s="1">
        <v>174</v>
      </c>
      <c r="F926" s="3">
        <v>1800000</v>
      </c>
      <c r="G926" s="2">
        <f t="shared" si="28"/>
        <v>10344.827586206897</v>
      </c>
      <c r="H926" s="2">
        <f t="shared" si="29"/>
        <v>1800000</v>
      </c>
      <c r="I926" t="s">
        <v>1105</v>
      </c>
      <c r="J926" t="s">
        <v>387</v>
      </c>
      <c r="K926" t="s">
        <v>2216</v>
      </c>
      <c r="L926" t="s">
        <v>388</v>
      </c>
      <c r="M926" t="s">
        <v>16</v>
      </c>
      <c r="N926" t="s">
        <v>1074</v>
      </c>
    </row>
    <row r="927" spans="1:14" x14ac:dyDescent="0.35">
      <c r="A927" t="s">
        <v>2025</v>
      </c>
      <c r="B927" t="s">
        <v>18</v>
      </c>
      <c r="C927">
        <v>8</v>
      </c>
      <c r="D927">
        <v>6</v>
      </c>
      <c r="E927" s="1">
        <v>285</v>
      </c>
      <c r="F927" s="3">
        <v>1800000</v>
      </c>
      <c r="G927" s="2">
        <f t="shared" si="28"/>
        <v>6315.7894736842109</v>
      </c>
      <c r="H927" s="2">
        <f t="shared" si="29"/>
        <v>1800000</v>
      </c>
      <c r="I927" t="s">
        <v>1800</v>
      </c>
      <c r="J927" t="s">
        <v>405</v>
      </c>
      <c r="K927" t="s">
        <v>2217</v>
      </c>
      <c r="L927" t="s">
        <v>406</v>
      </c>
      <c r="M927" t="s">
        <v>16</v>
      </c>
      <c r="N927" t="s">
        <v>624</v>
      </c>
    </row>
    <row r="928" spans="1:14" hidden="1" x14ac:dyDescent="0.35">
      <c r="A928" t="s">
        <v>403</v>
      </c>
      <c r="B928" t="s">
        <v>66</v>
      </c>
      <c r="C928">
        <v>3</v>
      </c>
      <c r="D928">
        <v>3</v>
      </c>
      <c r="E928" s="1">
        <v>141</v>
      </c>
      <c r="F928" s="3">
        <v>1850000</v>
      </c>
      <c r="G928" s="2">
        <f t="shared" si="28"/>
        <v>13120.567375886525</v>
      </c>
      <c r="H928" s="2">
        <f t="shared" si="29"/>
        <v>1850000</v>
      </c>
      <c r="I928" t="s">
        <v>2241</v>
      </c>
      <c r="J928" t="s">
        <v>255</v>
      </c>
      <c r="K928" t="s">
        <v>2216</v>
      </c>
      <c r="L928" t="s">
        <v>256</v>
      </c>
      <c r="M928" t="s">
        <v>16</v>
      </c>
      <c r="N928" t="s">
        <v>2242</v>
      </c>
    </row>
    <row r="929" spans="1:14" hidden="1" x14ac:dyDescent="0.35">
      <c r="A929" t="s">
        <v>753</v>
      </c>
      <c r="B929" t="s">
        <v>12</v>
      </c>
      <c r="C929">
        <v>3</v>
      </c>
      <c r="D929">
        <v>4</v>
      </c>
      <c r="E929" s="1">
        <v>195</v>
      </c>
      <c r="F929" s="3">
        <v>1850000</v>
      </c>
      <c r="G929" s="2">
        <f t="shared" si="28"/>
        <v>9487.1794871794864</v>
      </c>
      <c r="H929" s="2">
        <f t="shared" si="29"/>
        <v>1850000</v>
      </c>
      <c r="I929" t="s">
        <v>754</v>
      </c>
      <c r="J929" t="s">
        <v>382</v>
      </c>
      <c r="K929" t="s">
        <v>2217</v>
      </c>
      <c r="L929" t="s">
        <v>383</v>
      </c>
      <c r="M929" t="s">
        <v>16</v>
      </c>
      <c r="N929" t="s">
        <v>407</v>
      </c>
    </row>
    <row r="930" spans="1:14" x14ac:dyDescent="0.35">
      <c r="A930" t="s">
        <v>1323</v>
      </c>
      <c r="B930" t="s">
        <v>18</v>
      </c>
      <c r="C930">
        <v>4</v>
      </c>
      <c r="D930">
        <v>5</v>
      </c>
      <c r="E930" s="1">
        <v>273</v>
      </c>
      <c r="F930" s="3">
        <v>1850000</v>
      </c>
      <c r="G930" s="2">
        <f t="shared" si="28"/>
        <v>6776.5567765567766</v>
      </c>
      <c r="H930" s="2">
        <f t="shared" si="29"/>
        <v>1850000</v>
      </c>
      <c r="I930" t="s">
        <v>807</v>
      </c>
      <c r="J930" t="s">
        <v>169</v>
      </c>
      <c r="K930" t="s">
        <v>2217</v>
      </c>
      <c r="L930" t="s">
        <v>170</v>
      </c>
      <c r="M930" t="s">
        <v>16</v>
      </c>
      <c r="N930" t="s">
        <v>77</v>
      </c>
    </row>
    <row r="931" spans="1:14" x14ac:dyDescent="0.35">
      <c r="A931" t="s">
        <v>1559</v>
      </c>
      <c r="B931" t="s">
        <v>18</v>
      </c>
      <c r="C931">
        <v>5</v>
      </c>
      <c r="D931">
        <v>5</v>
      </c>
      <c r="E931" s="1">
        <v>400</v>
      </c>
      <c r="F931" s="3">
        <v>1850000</v>
      </c>
      <c r="G931" s="2">
        <f t="shared" si="28"/>
        <v>4625</v>
      </c>
      <c r="H931" s="2">
        <f t="shared" si="29"/>
        <v>1850000</v>
      </c>
      <c r="I931" t="s">
        <v>1560</v>
      </c>
      <c r="J931" t="s">
        <v>164</v>
      </c>
      <c r="K931" t="s">
        <v>2218</v>
      </c>
      <c r="L931" t="s">
        <v>165</v>
      </c>
      <c r="M931" t="s">
        <v>16</v>
      </c>
      <c r="N931" t="s">
        <v>2242</v>
      </c>
    </row>
    <row r="932" spans="1:14" x14ac:dyDescent="0.35">
      <c r="A932" t="s">
        <v>1799</v>
      </c>
      <c r="B932" t="s">
        <v>18</v>
      </c>
      <c r="C932">
        <v>8</v>
      </c>
      <c r="D932">
        <v>6</v>
      </c>
      <c r="E932" s="1">
        <v>285</v>
      </c>
      <c r="F932" s="3">
        <v>1850000</v>
      </c>
      <c r="G932" s="2">
        <f t="shared" si="28"/>
        <v>6491.2280701754389</v>
      </c>
      <c r="H932" s="2">
        <f t="shared" si="29"/>
        <v>1850000</v>
      </c>
      <c r="I932" t="s">
        <v>1800</v>
      </c>
      <c r="J932" t="s">
        <v>405</v>
      </c>
      <c r="K932" t="s">
        <v>2217</v>
      </c>
      <c r="L932" t="s">
        <v>406</v>
      </c>
      <c r="M932" t="s">
        <v>16</v>
      </c>
      <c r="N932" t="s">
        <v>624</v>
      </c>
    </row>
    <row r="933" spans="1:14" hidden="1" x14ac:dyDescent="0.35">
      <c r="A933" t="s">
        <v>1858</v>
      </c>
      <c r="B933" t="s">
        <v>12</v>
      </c>
      <c r="C933">
        <v>3</v>
      </c>
      <c r="D933">
        <v>4</v>
      </c>
      <c r="E933" s="1">
        <v>200</v>
      </c>
      <c r="F933" s="3">
        <v>1850000</v>
      </c>
      <c r="G933" s="2">
        <f t="shared" si="28"/>
        <v>9250</v>
      </c>
      <c r="H933" s="2">
        <f t="shared" si="29"/>
        <v>1850000</v>
      </c>
      <c r="I933" t="s">
        <v>1338</v>
      </c>
      <c r="J933" t="s">
        <v>382</v>
      </c>
      <c r="K933" t="s">
        <v>2217</v>
      </c>
      <c r="L933" t="s">
        <v>383</v>
      </c>
      <c r="M933" t="s">
        <v>16</v>
      </c>
      <c r="N933" t="s">
        <v>407</v>
      </c>
    </row>
    <row r="934" spans="1:14" hidden="1" x14ac:dyDescent="0.35">
      <c r="A934" t="s">
        <v>1883</v>
      </c>
      <c r="B934" t="s">
        <v>12</v>
      </c>
      <c r="C934">
        <v>3</v>
      </c>
      <c r="D934">
        <v>3</v>
      </c>
      <c r="E934" s="1">
        <v>126</v>
      </c>
      <c r="F934" s="3">
        <v>1899000</v>
      </c>
      <c r="G934" s="2">
        <f t="shared" si="28"/>
        <v>15071.428571428571</v>
      </c>
      <c r="H934" s="2">
        <f t="shared" si="29"/>
        <v>1899000</v>
      </c>
      <c r="I934" t="s">
        <v>1884</v>
      </c>
      <c r="J934" t="s">
        <v>1623</v>
      </c>
      <c r="K934" t="s">
        <v>2217</v>
      </c>
      <c r="L934" t="s">
        <v>1624</v>
      </c>
      <c r="M934" t="s">
        <v>16</v>
      </c>
      <c r="N934" t="s">
        <v>1409</v>
      </c>
    </row>
    <row r="935" spans="1:14" hidden="1" x14ac:dyDescent="0.35">
      <c r="A935" t="s">
        <v>253</v>
      </c>
      <c r="B935" t="s">
        <v>66</v>
      </c>
      <c r="C935">
        <v>3</v>
      </c>
      <c r="D935">
        <v>3</v>
      </c>
      <c r="E935" s="1">
        <v>182</v>
      </c>
      <c r="F935" s="3">
        <v>1900000</v>
      </c>
      <c r="G935" s="2">
        <f t="shared" si="28"/>
        <v>10439.560439560439</v>
      </c>
      <c r="H935" s="2">
        <f t="shared" si="29"/>
        <v>1900000</v>
      </c>
      <c r="I935" t="s">
        <v>254</v>
      </c>
      <c r="J935" t="s">
        <v>255</v>
      </c>
      <c r="K935" t="s">
        <v>2216</v>
      </c>
      <c r="L935" t="s">
        <v>256</v>
      </c>
      <c r="M935" t="s">
        <v>16</v>
      </c>
      <c r="N935" t="s">
        <v>257</v>
      </c>
    </row>
    <row r="936" spans="1:14" hidden="1" x14ac:dyDescent="0.35">
      <c r="A936" t="s">
        <v>1585</v>
      </c>
      <c r="B936" t="s">
        <v>1033</v>
      </c>
      <c r="C936">
        <v>0</v>
      </c>
      <c r="D936">
        <v>0</v>
      </c>
      <c r="E936" s="1">
        <v>928</v>
      </c>
      <c r="F936" s="3">
        <v>1900000</v>
      </c>
      <c r="G936" s="2">
        <f t="shared" si="28"/>
        <v>2047.4137931034484</v>
      </c>
      <c r="H936" s="2">
        <f t="shared" si="29"/>
        <v>1900000</v>
      </c>
      <c r="I936" t="s">
        <v>1586</v>
      </c>
      <c r="J936" t="s">
        <v>1587</v>
      </c>
      <c r="K936" t="s">
        <v>2217</v>
      </c>
      <c r="L936" t="s">
        <v>1588</v>
      </c>
      <c r="M936" t="s">
        <v>16</v>
      </c>
      <c r="N936" t="s">
        <v>2242</v>
      </c>
    </row>
    <row r="937" spans="1:14" hidden="1" x14ac:dyDescent="0.35">
      <c r="A937" t="s">
        <v>1337</v>
      </c>
      <c r="B937" t="s">
        <v>12</v>
      </c>
      <c r="C937">
        <v>3</v>
      </c>
      <c r="D937">
        <v>3</v>
      </c>
      <c r="E937" s="1">
        <v>600</v>
      </c>
      <c r="F937" s="3">
        <v>1950000</v>
      </c>
      <c r="G937" s="2">
        <f t="shared" si="28"/>
        <v>3250</v>
      </c>
      <c r="H937" s="2">
        <f t="shared" si="29"/>
        <v>1950000</v>
      </c>
      <c r="I937" t="s">
        <v>1338</v>
      </c>
      <c r="J937" t="s">
        <v>382</v>
      </c>
      <c r="K937" t="s">
        <v>2217</v>
      </c>
      <c r="L937" t="s">
        <v>383</v>
      </c>
      <c r="M937" t="s">
        <v>16</v>
      </c>
      <c r="N937" t="s">
        <v>407</v>
      </c>
    </row>
    <row r="938" spans="1:14" x14ac:dyDescent="0.35">
      <c r="A938" t="s">
        <v>1810</v>
      </c>
      <c r="B938" t="s">
        <v>18</v>
      </c>
      <c r="C938">
        <v>3</v>
      </c>
      <c r="D938">
        <v>3</v>
      </c>
      <c r="E938" s="1">
        <v>200</v>
      </c>
      <c r="F938" s="3">
        <v>1950000</v>
      </c>
      <c r="G938" s="2">
        <f t="shared" si="28"/>
        <v>9750</v>
      </c>
      <c r="H938" s="2">
        <f t="shared" si="29"/>
        <v>1950000</v>
      </c>
      <c r="I938" t="s">
        <v>1811</v>
      </c>
      <c r="J938" t="s">
        <v>1812</v>
      </c>
      <c r="K938" t="s">
        <v>2216</v>
      </c>
      <c r="L938" t="s">
        <v>1813</v>
      </c>
      <c r="M938" t="s">
        <v>16</v>
      </c>
      <c r="N938" t="s">
        <v>1814</v>
      </c>
    </row>
    <row r="939" spans="1:14" x14ac:dyDescent="0.35">
      <c r="A939" t="s">
        <v>1996</v>
      </c>
      <c r="B939" t="s">
        <v>18</v>
      </c>
      <c r="C939">
        <v>18</v>
      </c>
      <c r="D939">
        <v>14</v>
      </c>
      <c r="E939" s="1">
        <v>443</v>
      </c>
      <c r="F939" s="3">
        <v>1950000</v>
      </c>
      <c r="G939" s="2">
        <f t="shared" si="28"/>
        <v>4401.805869074492</v>
      </c>
      <c r="H939" s="2">
        <f t="shared" si="29"/>
        <v>1950000</v>
      </c>
      <c r="I939" t="s">
        <v>1997</v>
      </c>
      <c r="J939" t="s">
        <v>97</v>
      </c>
      <c r="K939" t="s">
        <v>2217</v>
      </c>
      <c r="L939" t="s">
        <v>98</v>
      </c>
      <c r="M939" t="s">
        <v>16</v>
      </c>
      <c r="N939" t="s">
        <v>624</v>
      </c>
    </row>
    <row r="940" spans="1:14" x14ac:dyDescent="0.35">
      <c r="A940" t="s">
        <v>266</v>
      </c>
      <c r="B940" t="s">
        <v>18</v>
      </c>
      <c r="C940">
        <v>9</v>
      </c>
      <c r="D940">
        <v>5</v>
      </c>
      <c r="E940" s="1">
        <v>379</v>
      </c>
      <c r="F940" s="3">
        <v>2000000</v>
      </c>
      <c r="G940" s="2">
        <f t="shared" si="28"/>
        <v>5277.0448548812665</v>
      </c>
      <c r="H940" s="2">
        <f t="shared" si="29"/>
        <v>2000000</v>
      </c>
      <c r="I940" t="s">
        <v>267</v>
      </c>
      <c r="J940" t="s">
        <v>264</v>
      </c>
      <c r="K940" t="s">
        <v>2217</v>
      </c>
      <c r="L940" t="s">
        <v>265</v>
      </c>
      <c r="M940" t="s">
        <v>16</v>
      </c>
      <c r="N940" t="s">
        <v>2242</v>
      </c>
    </row>
    <row r="941" spans="1:14" ht="16" x14ac:dyDescent="0.45">
      <c r="A941" t="s">
        <v>420</v>
      </c>
      <c r="B941" t="s">
        <v>18</v>
      </c>
      <c r="C941">
        <v>6</v>
      </c>
      <c r="D941">
        <v>4</v>
      </c>
      <c r="E941" s="1">
        <v>500</v>
      </c>
      <c r="F941" s="3">
        <v>2000000</v>
      </c>
      <c r="G941" s="2">
        <f t="shared" si="28"/>
        <v>4000</v>
      </c>
      <c r="H941" s="2">
        <f t="shared" si="29"/>
        <v>2000000</v>
      </c>
      <c r="I941" s="4" t="s">
        <v>2222</v>
      </c>
      <c r="J941" t="s">
        <v>421</v>
      </c>
      <c r="K941" t="s">
        <v>2218</v>
      </c>
      <c r="L941" t="s">
        <v>422</v>
      </c>
      <c r="M941" t="s">
        <v>16</v>
      </c>
      <c r="N941" t="s">
        <v>2242</v>
      </c>
    </row>
    <row r="942" spans="1:14" hidden="1" x14ac:dyDescent="0.35">
      <c r="A942" t="s">
        <v>645</v>
      </c>
      <c r="B942" t="s">
        <v>1033</v>
      </c>
      <c r="C942">
        <v>0</v>
      </c>
      <c r="D942">
        <v>0</v>
      </c>
      <c r="E942" s="1">
        <v>750</v>
      </c>
      <c r="F942" s="3">
        <v>2000000</v>
      </c>
      <c r="G942" s="2">
        <f t="shared" si="28"/>
        <v>2666.6666666666665</v>
      </c>
      <c r="H942" s="2">
        <f t="shared" si="29"/>
        <v>2000000</v>
      </c>
      <c r="I942" t="s">
        <v>611</v>
      </c>
      <c r="J942" t="s">
        <v>68</v>
      </c>
      <c r="K942" t="s">
        <v>2218</v>
      </c>
      <c r="L942" t="s">
        <v>69</v>
      </c>
      <c r="M942" t="s">
        <v>16</v>
      </c>
      <c r="N942" t="s">
        <v>2242</v>
      </c>
    </row>
    <row r="943" spans="1:14" x14ac:dyDescent="0.35">
      <c r="A943" t="s">
        <v>750</v>
      </c>
      <c r="B943" t="s">
        <v>18</v>
      </c>
      <c r="C943">
        <v>1</v>
      </c>
      <c r="D943">
        <v>3</v>
      </c>
      <c r="E943" s="1">
        <v>420</v>
      </c>
      <c r="F943" s="3">
        <v>2000000</v>
      </c>
      <c r="G943" s="2">
        <f t="shared" si="28"/>
        <v>4761.9047619047615</v>
      </c>
      <c r="H943" s="2">
        <f t="shared" si="29"/>
        <v>2000000</v>
      </c>
      <c r="I943" t="s">
        <v>751</v>
      </c>
      <c r="J943" t="s">
        <v>58</v>
      </c>
      <c r="K943" t="s">
        <v>2216</v>
      </c>
      <c r="L943" t="s">
        <v>59</v>
      </c>
      <c r="M943" t="s">
        <v>16</v>
      </c>
      <c r="N943" t="s">
        <v>705</v>
      </c>
    </row>
    <row r="944" spans="1:14" x14ac:dyDescent="0.35">
      <c r="A944" t="s">
        <v>1512</v>
      </c>
      <c r="B944" t="s">
        <v>18</v>
      </c>
      <c r="C944">
        <v>12</v>
      </c>
      <c r="D944">
        <v>9</v>
      </c>
      <c r="E944" s="1">
        <v>261</v>
      </c>
      <c r="F944" s="3">
        <v>2000000</v>
      </c>
      <c r="G944" s="2">
        <f t="shared" si="28"/>
        <v>7662.8352490421457</v>
      </c>
      <c r="H944" s="2">
        <f t="shared" si="29"/>
        <v>2000000</v>
      </c>
      <c r="I944" t="s">
        <v>807</v>
      </c>
      <c r="J944" t="s">
        <v>169</v>
      </c>
      <c r="K944" t="s">
        <v>2217</v>
      </c>
      <c r="L944" t="s">
        <v>170</v>
      </c>
      <c r="M944" t="s">
        <v>16</v>
      </c>
      <c r="N944" t="s">
        <v>624</v>
      </c>
    </row>
    <row r="945" spans="1:14" x14ac:dyDescent="0.35">
      <c r="A945" t="s">
        <v>1513</v>
      </c>
      <c r="B945" t="s">
        <v>18</v>
      </c>
      <c r="C945">
        <v>12</v>
      </c>
      <c r="D945">
        <v>9</v>
      </c>
      <c r="E945" s="1">
        <v>261</v>
      </c>
      <c r="F945" s="3">
        <v>2000000</v>
      </c>
      <c r="G945" s="2">
        <f t="shared" si="28"/>
        <v>7662.8352490421457</v>
      </c>
      <c r="H945" s="2">
        <f t="shared" si="29"/>
        <v>2000000</v>
      </c>
      <c r="I945" t="s">
        <v>1044</v>
      </c>
      <c r="J945" t="s">
        <v>169</v>
      </c>
      <c r="K945" t="s">
        <v>2217</v>
      </c>
      <c r="L945" t="s">
        <v>170</v>
      </c>
      <c r="M945" t="s">
        <v>16</v>
      </c>
      <c r="N945" t="s">
        <v>624</v>
      </c>
    </row>
    <row r="946" spans="1:14" x14ac:dyDescent="0.35">
      <c r="A946" t="s">
        <v>1558</v>
      </c>
      <c r="B946" t="s">
        <v>18</v>
      </c>
      <c r="C946">
        <v>5</v>
      </c>
      <c r="D946">
        <v>8</v>
      </c>
      <c r="E946" s="1">
        <v>213</v>
      </c>
      <c r="F946" s="3">
        <v>2000000</v>
      </c>
      <c r="G946" s="2">
        <f t="shared" si="28"/>
        <v>9389.6713615023473</v>
      </c>
      <c r="H946" s="2">
        <f t="shared" si="29"/>
        <v>2000000</v>
      </c>
      <c r="I946" t="s">
        <v>163</v>
      </c>
      <c r="J946" t="s">
        <v>164</v>
      </c>
      <c r="K946" t="s">
        <v>2218</v>
      </c>
      <c r="L946" t="s">
        <v>165</v>
      </c>
      <c r="M946" t="s">
        <v>16</v>
      </c>
      <c r="N946" t="s">
        <v>2242</v>
      </c>
    </row>
    <row r="947" spans="1:14" hidden="1" x14ac:dyDescent="0.35">
      <c r="A947" t="s">
        <v>1581</v>
      </c>
      <c r="B947" t="s">
        <v>1033</v>
      </c>
      <c r="C947">
        <v>0</v>
      </c>
      <c r="D947">
        <v>0</v>
      </c>
      <c r="E947" s="1">
        <v>1799</v>
      </c>
      <c r="F947" s="3">
        <v>2000000</v>
      </c>
      <c r="G947" s="2">
        <f t="shared" si="28"/>
        <v>1111.7287381878821</v>
      </c>
      <c r="H947" s="2">
        <f t="shared" si="29"/>
        <v>2000000</v>
      </c>
      <c r="I947" t="s">
        <v>1212</v>
      </c>
      <c r="J947" t="s">
        <v>1213</v>
      </c>
      <c r="K947" t="s">
        <v>2215</v>
      </c>
      <c r="L947" t="s">
        <v>1214</v>
      </c>
      <c r="M947" t="s">
        <v>16</v>
      </c>
      <c r="N947" t="s">
        <v>688</v>
      </c>
    </row>
    <row r="948" spans="1:14" hidden="1" x14ac:dyDescent="0.35">
      <c r="A948" t="s">
        <v>1821</v>
      </c>
      <c r="B948" t="s">
        <v>1033</v>
      </c>
      <c r="C948">
        <v>0</v>
      </c>
      <c r="D948">
        <v>0</v>
      </c>
      <c r="E948" s="1">
        <v>777</v>
      </c>
      <c r="F948" s="3">
        <v>2000000</v>
      </c>
      <c r="G948" s="2">
        <f t="shared" si="28"/>
        <v>2574.002574002574</v>
      </c>
      <c r="H948" s="2">
        <f t="shared" si="29"/>
        <v>2000000</v>
      </c>
      <c r="I948" t="s">
        <v>1822</v>
      </c>
      <c r="J948" t="s">
        <v>16</v>
      </c>
      <c r="K948" t="s">
        <v>2216</v>
      </c>
      <c r="L948" t="s">
        <v>224</v>
      </c>
      <c r="M948" t="s">
        <v>16</v>
      </c>
      <c r="N948" t="s">
        <v>1823</v>
      </c>
    </row>
    <row r="949" spans="1:14" x14ac:dyDescent="0.35">
      <c r="A949" t="s">
        <v>1929</v>
      </c>
      <c r="B949" t="s">
        <v>18</v>
      </c>
      <c r="C949">
        <v>4</v>
      </c>
      <c r="D949">
        <v>5</v>
      </c>
      <c r="E949" s="1">
        <v>267</v>
      </c>
      <c r="F949" s="3">
        <v>2000000</v>
      </c>
      <c r="G949" s="2">
        <f t="shared" si="28"/>
        <v>7490.63670411985</v>
      </c>
      <c r="H949" s="2">
        <f t="shared" si="29"/>
        <v>2000000</v>
      </c>
      <c r="I949" t="s">
        <v>807</v>
      </c>
      <c r="J949" t="s">
        <v>169</v>
      </c>
      <c r="K949" t="s">
        <v>2217</v>
      </c>
      <c r="L949" t="s">
        <v>170</v>
      </c>
      <c r="M949" t="s">
        <v>16</v>
      </c>
      <c r="N949" t="s">
        <v>948</v>
      </c>
    </row>
    <row r="950" spans="1:14" hidden="1" x14ac:dyDescent="0.35">
      <c r="A950" t="s">
        <v>297</v>
      </c>
      <c r="B950" t="s">
        <v>1033</v>
      </c>
      <c r="C950">
        <v>0</v>
      </c>
      <c r="D950">
        <v>0</v>
      </c>
      <c r="E950" s="1">
        <v>800</v>
      </c>
      <c r="F950" s="3">
        <v>2050000</v>
      </c>
      <c r="G950" s="2">
        <f t="shared" si="28"/>
        <v>2562.5</v>
      </c>
      <c r="H950" s="2">
        <f t="shared" si="29"/>
        <v>2050000</v>
      </c>
      <c r="I950" t="s">
        <v>298</v>
      </c>
      <c r="J950" t="s">
        <v>58</v>
      </c>
      <c r="K950" t="s">
        <v>2216</v>
      </c>
      <c r="L950" t="s">
        <v>59</v>
      </c>
      <c r="M950" t="s">
        <v>16</v>
      </c>
      <c r="N950" t="s">
        <v>296</v>
      </c>
    </row>
    <row r="951" spans="1:14" hidden="1" x14ac:dyDescent="0.35">
      <c r="A951" t="s">
        <v>333</v>
      </c>
      <c r="B951" t="s">
        <v>66</v>
      </c>
      <c r="C951">
        <v>4</v>
      </c>
      <c r="D951">
        <v>4</v>
      </c>
      <c r="E951" s="1">
        <v>163</v>
      </c>
      <c r="F951" s="3">
        <v>2100000</v>
      </c>
      <c r="G951" s="2">
        <f t="shared" si="28"/>
        <v>12883.435582822085</v>
      </c>
      <c r="H951" s="2">
        <f t="shared" si="29"/>
        <v>2100000</v>
      </c>
      <c r="I951" t="s">
        <v>334</v>
      </c>
      <c r="J951" t="s">
        <v>255</v>
      </c>
      <c r="K951" t="s">
        <v>2216</v>
      </c>
      <c r="L951" t="s">
        <v>256</v>
      </c>
      <c r="M951" t="s">
        <v>16</v>
      </c>
      <c r="N951" t="s">
        <v>335</v>
      </c>
    </row>
    <row r="952" spans="1:14" x14ac:dyDescent="0.35">
      <c r="A952" t="s">
        <v>744</v>
      </c>
      <c r="B952" t="s">
        <v>18</v>
      </c>
      <c r="C952">
        <v>3</v>
      </c>
      <c r="D952">
        <v>5</v>
      </c>
      <c r="E952" s="1">
        <v>217</v>
      </c>
      <c r="F952" s="3">
        <v>2100000</v>
      </c>
      <c r="G952" s="2">
        <f t="shared" si="28"/>
        <v>9677.4193548387102</v>
      </c>
      <c r="H952" s="2">
        <f t="shared" si="29"/>
        <v>2100000</v>
      </c>
      <c r="I952" t="s">
        <v>2206</v>
      </c>
      <c r="J952" t="s">
        <v>745</v>
      </c>
      <c r="K952" t="s">
        <v>2216</v>
      </c>
      <c r="L952" t="s">
        <v>746</v>
      </c>
      <c r="M952" t="s">
        <v>16</v>
      </c>
      <c r="N952" t="s">
        <v>747</v>
      </c>
    </row>
    <row r="953" spans="1:14" x14ac:dyDescent="0.35">
      <c r="A953" t="s">
        <v>780</v>
      </c>
      <c r="B953" t="s">
        <v>18</v>
      </c>
      <c r="C953">
        <v>6</v>
      </c>
      <c r="D953">
        <v>4</v>
      </c>
      <c r="E953" s="1">
        <v>307</v>
      </c>
      <c r="F953" s="3">
        <v>2100000</v>
      </c>
      <c r="G953" s="2">
        <f t="shared" si="28"/>
        <v>6840.3908794788276</v>
      </c>
      <c r="H953" s="2">
        <f t="shared" si="29"/>
        <v>2100000</v>
      </c>
      <c r="I953" t="s">
        <v>781</v>
      </c>
      <c r="J953" t="s">
        <v>169</v>
      </c>
      <c r="K953" t="s">
        <v>2217</v>
      </c>
      <c r="L953" t="s">
        <v>170</v>
      </c>
      <c r="M953" t="s">
        <v>16</v>
      </c>
      <c r="N953" t="s">
        <v>230</v>
      </c>
    </row>
    <row r="954" spans="1:14" x14ac:dyDescent="0.35">
      <c r="A954" t="s">
        <v>1400</v>
      </c>
      <c r="B954" t="s">
        <v>18</v>
      </c>
      <c r="C954">
        <v>10</v>
      </c>
      <c r="D954">
        <v>10</v>
      </c>
      <c r="E954" s="1">
        <v>600</v>
      </c>
      <c r="F954" s="3">
        <v>2100000</v>
      </c>
      <c r="G954" s="2">
        <f t="shared" si="28"/>
        <v>3500</v>
      </c>
      <c r="H954" s="2">
        <f t="shared" si="29"/>
        <v>2100000</v>
      </c>
      <c r="I954" t="s">
        <v>1401</v>
      </c>
      <c r="J954" t="s">
        <v>675</v>
      </c>
      <c r="K954" t="s">
        <v>2217</v>
      </c>
      <c r="L954" t="s">
        <v>676</v>
      </c>
      <c r="M954" t="s">
        <v>16</v>
      </c>
      <c r="N954" t="s">
        <v>2242</v>
      </c>
    </row>
    <row r="955" spans="1:14" hidden="1" x14ac:dyDescent="0.35">
      <c r="A955" t="s">
        <v>2007</v>
      </c>
      <c r="B955" t="s">
        <v>12</v>
      </c>
      <c r="C955">
        <v>3</v>
      </c>
      <c r="D955">
        <v>4</v>
      </c>
      <c r="E955" s="1">
        <v>625</v>
      </c>
      <c r="F955" s="3">
        <v>2139000</v>
      </c>
      <c r="G955" s="2">
        <f t="shared" si="28"/>
        <v>3422.4</v>
      </c>
      <c r="H955" s="2">
        <f t="shared" si="29"/>
        <v>2139000</v>
      </c>
      <c r="I955" t="s">
        <v>2003</v>
      </c>
      <c r="J955" t="s">
        <v>233</v>
      </c>
      <c r="K955" t="s">
        <v>2216</v>
      </c>
      <c r="L955" t="s">
        <v>234</v>
      </c>
      <c r="M955" t="s">
        <v>16</v>
      </c>
      <c r="N955" t="s">
        <v>1074</v>
      </c>
    </row>
    <row r="956" spans="1:14" x14ac:dyDescent="0.35">
      <c r="A956" t="s">
        <v>361</v>
      </c>
      <c r="B956" t="s">
        <v>18</v>
      </c>
      <c r="C956">
        <v>4</v>
      </c>
      <c r="D956">
        <v>5</v>
      </c>
      <c r="E956" s="1">
        <v>400</v>
      </c>
      <c r="F956" s="3">
        <v>2150000</v>
      </c>
      <c r="G956" s="2">
        <f t="shared" si="28"/>
        <v>5375</v>
      </c>
      <c r="H956" s="2">
        <f t="shared" si="29"/>
        <v>2150000</v>
      </c>
      <c r="I956" t="s">
        <v>205</v>
      </c>
      <c r="J956" t="s">
        <v>164</v>
      </c>
      <c r="K956" t="s">
        <v>2218</v>
      </c>
      <c r="L956" t="s">
        <v>165</v>
      </c>
      <c r="M956" t="s">
        <v>16</v>
      </c>
      <c r="N956" t="s">
        <v>2242</v>
      </c>
    </row>
    <row r="957" spans="1:14" x14ac:dyDescent="0.35">
      <c r="A957" t="s">
        <v>1656</v>
      </c>
      <c r="B957" t="s">
        <v>18</v>
      </c>
      <c r="C957">
        <v>4</v>
      </c>
      <c r="D957">
        <v>7</v>
      </c>
      <c r="E957" s="1">
        <v>400</v>
      </c>
      <c r="F957" s="3">
        <v>2150000</v>
      </c>
      <c r="G957" s="2">
        <f t="shared" si="28"/>
        <v>5375</v>
      </c>
      <c r="H957" s="2">
        <f t="shared" si="29"/>
        <v>2150000</v>
      </c>
      <c r="I957" t="s">
        <v>1657</v>
      </c>
      <c r="J957" t="s">
        <v>164</v>
      </c>
      <c r="K957" t="s">
        <v>2218</v>
      </c>
      <c r="L957" t="s">
        <v>165</v>
      </c>
      <c r="M957" t="s">
        <v>16</v>
      </c>
      <c r="N957" t="s">
        <v>2242</v>
      </c>
    </row>
    <row r="958" spans="1:14" x14ac:dyDescent="0.35">
      <c r="A958" t="s">
        <v>1424</v>
      </c>
      <c r="B958" t="s">
        <v>18</v>
      </c>
      <c r="C958">
        <v>4</v>
      </c>
      <c r="D958">
        <v>4</v>
      </c>
      <c r="E958" s="1">
        <v>2480</v>
      </c>
      <c r="F958" s="3">
        <v>2199000</v>
      </c>
      <c r="G958" s="2">
        <f t="shared" si="28"/>
        <v>886.69354838709683</v>
      </c>
      <c r="H958" s="2">
        <f t="shared" si="29"/>
        <v>2199000</v>
      </c>
      <c r="I958" t="s">
        <v>1425</v>
      </c>
      <c r="J958" t="s">
        <v>666</v>
      </c>
      <c r="K958" t="s">
        <v>2217</v>
      </c>
      <c r="L958" t="s">
        <v>667</v>
      </c>
      <c r="M958" t="s">
        <v>16</v>
      </c>
      <c r="N958" t="s">
        <v>1074</v>
      </c>
    </row>
    <row r="959" spans="1:14" x14ac:dyDescent="0.35">
      <c r="A959" t="s">
        <v>600</v>
      </c>
      <c r="B959" t="s">
        <v>18</v>
      </c>
      <c r="C959">
        <v>4</v>
      </c>
      <c r="D959">
        <v>5</v>
      </c>
      <c r="E959" s="1">
        <v>370</v>
      </c>
      <c r="F959" s="3">
        <v>2200000</v>
      </c>
      <c r="G959" s="2">
        <f t="shared" si="28"/>
        <v>5945.9459459459458</v>
      </c>
      <c r="H959" s="2">
        <f t="shared" si="29"/>
        <v>2200000</v>
      </c>
      <c r="I959" t="s">
        <v>601</v>
      </c>
      <c r="J959" t="s">
        <v>164</v>
      </c>
      <c r="K959" t="s">
        <v>2218</v>
      </c>
      <c r="L959" t="s">
        <v>165</v>
      </c>
      <c r="M959" t="s">
        <v>16</v>
      </c>
      <c r="N959" t="s">
        <v>602</v>
      </c>
    </row>
    <row r="960" spans="1:14" x14ac:dyDescent="0.35">
      <c r="A960" t="s">
        <v>760</v>
      </c>
      <c r="B960" t="s">
        <v>18</v>
      </c>
      <c r="C960">
        <v>10</v>
      </c>
      <c r="D960">
        <v>6</v>
      </c>
      <c r="E960" s="1">
        <v>455</v>
      </c>
      <c r="F960" s="3">
        <v>2200000</v>
      </c>
      <c r="G960" s="2">
        <f t="shared" si="28"/>
        <v>4835.1648351648355</v>
      </c>
      <c r="H960" s="2">
        <f t="shared" si="29"/>
        <v>2200000</v>
      </c>
      <c r="I960" t="s">
        <v>761</v>
      </c>
      <c r="J960" t="s">
        <v>35</v>
      </c>
      <c r="K960" t="s">
        <v>2217</v>
      </c>
      <c r="L960" t="s">
        <v>36</v>
      </c>
      <c r="M960" t="s">
        <v>16</v>
      </c>
      <c r="N960" t="s">
        <v>512</v>
      </c>
    </row>
    <row r="961" spans="1:14" x14ac:dyDescent="0.35">
      <c r="A961" t="s">
        <v>847</v>
      </c>
      <c r="B961" t="s">
        <v>18</v>
      </c>
      <c r="C961">
        <v>7</v>
      </c>
      <c r="D961">
        <v>5</v>
      </c>
      <c r="E961" s="1">
        <v>625</v>
      </c>
      <c r="F961" s="3">
        <v>2200000</v>
      </c>
      <c r="G961" s="2">
        <f t="shared" si="28"/>
        <v>3520</v>
      </c>
      <c r="H961" s="2">
        <f t="shared" si="29"/>
        <v>2200000</v>
      </c>
      <c r="I961" t="s">
        <v>848</v>
      </c>
      <c r="J961" t="s">
        <v>849</v>
      </c>
      <c r="K961" t="s">
        <v>2218</v>
      </c>
      <c r="L961" t="s">
        <v>850</v>
      </c>
      <c r="M961" t="s">
        <v>16</v>
      </c>
      <c r="N961" t="s">
        <v>2242</v>
      </c>
    </row>
    <row r="962" spans="1:14" x14ac:dyDescent="0.35">
      <c r="A962" t="s">
        <v>905</v>
      </c>
      <c r="B962" t="s">
        <v>18</v>
      </c>
      <c r="C962">
        <v>5</v>
      </c>
      <c r="D962">
        <v>5</v>
      </c>
      <c r="E962" s="1">
        <v>370</v>
      </c>
      <c r="F962" s="3">
        <v>2200000</v>
      </c>
      <c r="G962" s="2">
        <f t="shared" si="28"/>
        <v>5945.9459459459458</v>
      </c>
      <c r="H962" s="2">
        <f t="shared" si="29"/>
        <v>2200000</v>
      </c>
      <c r="I962" t="s">
        <v>163</v>
      </c>
      <c r="J962" t="s">
        <v>164</v>
      </c>
      <c r="K962" t="s">
        <v>2218</v>
      </c>
      <c r="L962" t="s">
        <v>165</v>
      </c>
      <c r="M962" t="s">
        <v>16</v>
      </c>
      <c r="N962" t="s">
        <v>2242</v>
      </c>
    </row>
    <row r="963" spans="1:14" x14ac:dyDescent="0.35">
      <c r="A963" t="s">
        <v>1092</v>
      </c>
      <c r="B963" t="s">
        <v>18</v>
      </c>
      <c r="C963">
        <v>7</v>
      </c>
      <c r="D963">
        <v>5</v>
      </c>
      <c r="E963" s="1">
        <v>307</v>
      </c>
      <c r="F963" s="3">
        <v>2200000</v>
      </c>
      <c r="G963" s="2">
        <f t="shared" si="28"/>
        <v>7166.1237785016283</v>
      </c>
      <c r="H963" s="2">
        <f t="shared" si="29"/>
        <v>2200000</v>
      </c>
      <c r="I963" t="s">
        <v>1093</v>
      </c>
      <c r="J963" t="s">
        <v>264</v>
      </c>
      <c r="K963" t="s">
        <v>2217</v>
      </c>
      <c r="L963" t="s">
        <v>265</v>
      </c>
      <c r="M963" t="s">
        <v>16</v>
      </c>
      <c r="N963" t="s">
        <v>624</v>
      </c>
    </row>
    <row r="964" spans="1:14" x14ac:dyDescent="0.35">
      <c r="A964" t="s">
        <v>1221</v>
      </c>
      <c r="B964" t="s">
        <v>18</v>
      </c>
      <c r="C964">
        <v>6</v>
      </c>
      <c r="D964">
        <v>6</v>
      </c>
      <c r="E964" s="1">
        <v>300</v>
      </c>
      <c r="F964" s="3">
        <v>2200000</v>
      </c>
      <c r="G964" s="2">
        <f t="shared" si="28"/>
        <v>7333.333333333333</v>
      </c>
      <c r="H964" s="2">
        <f t="shared" si="29"/>
        <v>2200000</v>
      </c>
      <c r="I964" t="s">
        <v>1222</v>
      </c>
      <c r="J964" t="s">
        <v>405</v>
      </c>
      <c r="K964" t="s">
        <v>2217</v>
      </c>
      <c r="L964" t="s">
        <v>406</v>
      </c>
      <c r="M964" t="s">
        <v>16</v>
      </c>
      <c r="N964" t="s">
        <v>407</v>
      </c>
    </row>
    <row r="965" spans="1:14" hidden="1" x14ac:dyDescent="0.35">
      <c r="A965" t="s">
        <v>1371</v>
      </c>
      <c r="B965" t="s">
        <v>12</v>
      </c>
      <c r="C965">
        <v>4</v>
      </c>
      <c r="D965">
        <v>4</v>
      </c>
      <c r="E965" s="1">
        <v>245</v>
      </c>
      <c r="F965" s="3">
        <v>2200000</v>
      </c>
      <c r="G965" s="2">
        <f t="shared" ref="G965:G1028" si="30">IF(F965&lt;50000,F965,F965/E965)</f>
        <v>8979.5918367346931</v>
      </c>
      <c r="H965" s="2">
        <f t="shared" ref="H965:H1028" si="31">IF(F965&lt;50000,E965*F965,F965)</f>
        <v>2200000</v>
      </c>
      <c r="I965" t="s">
        <v>1372</v>
      </c>
      <c r="J965" t="s">
        <v>450</v>
      </c>
      <c r="K965" t="s">
        <v>2216</v>
      </c>
      <c r="L965" t="s">
        <v>451</v>
      </c>
      <c r="M965" t="s">
        <v>16</v>
      </c>
      <c r="N965" t="s">
        <v>2242</v>
      </c>
    </row>
    <row r="966" spans="1:14" x14ac:dyDescent="0.35">
      <c r="A966" t="s">
        <v>1900</v>
      </c>
      <c r="B966" t="s">
        <v>18</v>
      </c>
      <c r="C966">
        <v>6</v>
      </c>
      <c r="D966">
        <v>4</v>
      </c>
      <c r="E966" s="1">
        <v>450</v>
      </c>
      <c r="F966" s="3">
        <v>2200000</v>
      </c>
      <c r="G966" s="2">
        <f t="shared" si="30"/>
        <v>4888.8888888888887</v>
      </c>
      <c r="H966" s="2">
        <f t="shared" si="31"/>
        <v>2200000</v>
      </c>
      <c r="I966" t="s">
        <v>1901</v>
      </c>
      <c r="J966" t="s">
        <v>68</v>
      </c>
      <c r="K966" t="s">
        <v>2218</v>
      </c>
      <c r="L966" t="s">
        <v>69</v>
      </c>
      <c r="M966" t="s">
        <v>16</v>
      </c>
      <c r="N966" t="s">
        <v>1902</v>
      </c>
    </row>
    <row r="967" spans="1:14" x14ac:dyDescent="0.35">
      <c r="A967" t="s">
        <v>1754</v>
      </c>
      <c r="B967" t="s">
        <v>18</v>
      </c>
      <c r="C967">
        <v>8</v>
      </c>
      <c r="D967">
        <v>6</v>
      </c>
      <c r="E967" s="1">
        <v>400</v>
      </c>
      <c r="F967" s="3">
        <v>2250000</v>
      </c>
      <c r="G967" s="2">
        <f t="shared" si="30"/>
        <v>5625</v>
      </c>
      <c r="H967" s="2">
        <f t="shared" si="31"/>
        <v>2250000</v>
      </c>
      <c r="I967" t="s">
        <v>1503</v>
      </c>
      <c r="J967" t="s">
        <v>164</v>
      </c>
      <c r="K967" t="s">
        <v>2218</v>
      </c>
      <c r="L967" t="s">
        <v>165</v>
      </c>
      <c r="M967" t="s">
        <v>16</v>
      </c>
      <c r="N967" t="s">
        <v>624</v>
      </c>
    </row>
    <row r="968" spans="1:14" x14ac:dyDescent="0.35">
      <c r="A968" t="s">
        <v>1755</v>
      </c>
      <c r="B968" t="s">
        <v>18</v>
      </c>
      <c r="C968">
        <v>8</v>
      </c>
      <c r="D968">
        <v>6</v>
      </c>
      <c r="E968" s="1">
        <v>400</v>
      </c>
      <c r="F968" s="3">
        <v>2250000</v>
      </c>
      <c r="G968" s="2">
        <f t="shared" si="30"/>
        <v>5625</v>
      </c>
      <c r="H968" s="2">
        <f t="shared" si="31"/>
        <v>2250000</v>
      </c>
      <c r="I968" t="s">
        <v>1756</v>
      </c>
      <c r="J968" t="s">
        <v>164</v>
      </c>
      <c r="K968" t="s">
        <v>2218</v>
      </c>
      <c r="L968" t="s">
        <v>165</v>
      </c>
      <c r="M968" t="s">
        <v>16</v>
      </c>
      <c r="N968" t="s">
        <v>624</v>
      </c>
    </row>
    <row r="969" spans="1:14" x14ac:dyDescent="0.35">
      <c r="A969" t="s">
        <v>809</v>
      </c>
      <c r="B969" t="s">
        <v>18</v>
      </c>
      <c r="C969">
        <v>7</v>
      </c>
      <c r="D969">
        <v>5</v>
      </c>
      <c r="E969" s="1">
        <v>330</v>
      </c>
      <c r="F969" s="3">
        <v>2300000</v>
      </c>
      <c r="G969" s="2">
        <f t="shared" si="30"/>
        <v>6969.69696969697</v>
      </c>
      <c r="H969" s="2">
        <f t="shared" si="31"/>
        <v>2300000</v>
      </c>
      <c r="I969" t="s">
        <v>810</v>
      </c>
      <c r="J969" t="s">
        <v>570</v>
      </c>
      <c r="K969" t="s">
        <v>2217</v>
      </c>
      <c r="L969" t="s">
        <v>571</v>
      </c>
      <c r="M969" t="s">
        <v>16</v>
      </c>
      <c r="N969" t="s">
        <v>2242</v>
      </c>
    </row>
    <row r="970" spans="1:14" x14ac:dyDescent="0.35">
      <c r="A970" t="s">
        <v>990</v>
      </c>
      <c r="B970" t="s">
        <v>18</v>
      </c>
      <c r="C970">
        <v>4</v>
      </c>
      <c r="D970">
        <v>3</v>
      </c>
      <c r="E970" s="1">
        <v>455</v>
      </c>
      <c r="F970" s="3">
        <v>2300000</v>
      </c>
      <c r="G970" s="2">
        <f t="shared" si="30"/>
        <v>5054.9450549450548</v>
      </c>
      <c r="H970" s="2">
        <f t="shared" si="31"/>
        <v>2300000</v>
      </c>
      <c r="I970" t="s">
        <v>2212</v>
      </c>
      <c r="J970" t="s">
        <v>97</v>
      </c>
      <c r="K970" t="s">
        <v>2217</v>
      </c>
      <c r="L970" t="s">
        <v>98</v>
      </c>
      <c r="M970" t="s">
        <v>16</v>
      </c>
      <c r="N970" t="s">
        <v>2242</v>
      </c>
    </row>
    <row r="971" spans="1:14" x14ac:dyDescent="0.35">
      <c r="A971" t="s">
        <v>1287</v>
      </c>
      <c r="B971" t="s">
        <v>18</v>
      </c>
      <c r="C971">
        <v>6</v>
      </c>
      <c r="D971">
        <v>5</v>
      </c>
      <c r="E971" s="1">
        <v>225</v>
      </c>
      <c r="F971" s="3">
        <v>2300000</v>
      </c>
      <c r="G971" s="2">
        <f t="shared" si="30"/>
        <v>10222.222222222223</v>
      </c>
      <c r="H971" s="2">
        <f t="shared" si="31"/>
        <v>2300000</v>
      </c>
      <c r="I971" t="s">
        <v>1288</v>
      </c>
      <c r="J971" t="s">
        <v>164</v>
      </c>
      <c r="K971" t="s">
        <v>2218</v>
      </c>
      <c r="L971" t="s">
        <v>165</v>
      </c>
      <c r="M971" t="s">
        <v>16</v>
      </c>
      <c r="N971" t="s">
        <v>1289</v>
      </c>
    </row>
    <row r="972" spans="1:14" x14ac:dyDescent="0.35">
      <c r="A972" t="s">
        <v>1420</v>
      </c>
      <c r="B972" t="s">
        <v>18</v>
      </c>
      <c r="C972">
        <v>11</v>
      </c>
      <c r="D972">
        <v>11</v>
      </c>
      <c r="E972" s="1">
        <v>750</v>
      </c>
      <c r="F972" s="3">
        <v>2300000</v>
      </c>
      <c r="G972" s="2">
        <f t="shared" si="30"/>
        <v>3066.6666666666665</v>
      </c>
      <c r="H972" s="2">
        <f t="shared" si="31"/>
        <v>2300000</v>
      </c>
      <c r="I972" t="s">
        <v>391</v>
      </c>
      <c r="J972" t="s">
        <v>141</v>
      </c>
      <c r="K972" t="s">
        <v>2215</v>
      </c>
      <c r="L972" t="s">
        <v>142</v>
      </c>
      <c r="M972" t="s">
        <v>16</v>
      </c>
      <c r="N972" t="s">
        <v>1421</v>
      </c>
    </row>
    <row r="973" spans="1:14" x14ac:dyDescent="0.35">
      <c r="A973" t="s">
        <v>1502</v>
      </c>
      <c r="B973" t="s">
        <v>18</v>
      </c>
      <c r="C973">
        <v>6</v>
      </c>
      <c r="D973">
        <v>6</v>
      </c>
      <c r="E973" s="1">
        <v>400</v>
      </c>
      <c r="F973" s="3">
        <v>2300000</v>
      </c>
      <c r="G973" s="2">
        <f t="shared" si="30"/>
        <v>5750</v>
      </c>
      <c r="H973" s="2">
        <f t="shared" si="31"/>
        <v>2300000</v>
      </c>
      <c r="I973" t="s">
        <v>1503</v>
      </c>
      <c r="J973" t="s">
        <v>164</v>
      </c>
      <c r="K973" t="s">
        <v>2218</v>
      </c>
      <c r="L973" t="s">
        <v>165</v>
      </c>
      <c r="M973" t="s">
        <v>16</v>
      </c>
      <c r="N973" t="s">
        <v>624</v>
      </c>
    </row>
    <row r="974" spans="1:14" x14ac:dyDescent="0.35">
      <c r="A974" t="s">
        <v>1544</v>
      </c>
      <c r="B974" t="s">
        <v>18</v>
      </c>
      <c r="C974">
        <v>13</v>
      </c>
      <c r="D974">
        <v>6</v>
      </c>
      <c r="E974" s="1">
        <v>420</v>
      </c>
      <c r="F974" s="3">
        <v>2300000</v>
      </c>
      <c r="G974" s="2">
        <f t="shared" si="30"/>
        <v>5476.1904761904761</v>
      </c>
      <c r="H974" s="2">
        <f t="shared" si="31"/>
        <v>2300000</v>
      </c>
      <c r="I974" t="s">
        <v>1545</v>
      </c>
      <c r="J974" t="s">
        <v>169</v>
      </c>
      <c r="K974" t="s">
        <v>2217</v>
      </c>
      <c r="L974" t="s">
        <v>170</v>
      </c>
      <c r="M974" t="s">
        <v>16</v>
      </c>
      <c r="N974" t="s">
        <v>1546</v>
      </c>
    </row>
    <row r="975" spans="1:14" hidden="1" x14ac:dyDescent="0.35">
      <c r="A975" t="s">
        <v>2075</v>
      </c>
      <c r="B975" t="s">
        <v>1033</v>
      </c>
      <c r="C975">
        <v>0</v>
      </c>
      <c r="D975">
        <v>0</v>
      </c>
      <c r="E975" s="1">
        <v>312</v>
      </c>
      <c r="F975" s="3">
        <v>7500</v>
      </c>
      <c r="G975" s="2">
        <f t="shared" si="30"/>
        <v>7500</v>
      </c>
      <c r="H975" s="2">
        <f t="shared" si="31"/>
        <v>2340000</v>
      </c>
      <c r="I975" t="s">
        <v>2076</v>
      </c>
      <c r="J975" t="s">
        <v>173</v>
      </c>
      <c r="K975" t="s">
        <v>2216</v>
      </c>
      <c r="L975" t="s">
        <v>174</v>
      </c>
      <c r="M975" t="s">
        <v>16</v>
      </c>
      <c r="N975" t="s">
        <v>2242</v>
      </c>
    </row>
    <row r="976" spans="1:14" x14ac:dyDescent="0.35">
      <c r="A976" t="s">
        <v>156</v>
      </c>
      <c r="B976" t="s">
        <v>18</v>
      </c>
      <c r="C976">
        <v>6</v>
      </c>
      <c r="D976">
        <v>3</v>
      </c>
      <c r="E976" s="1">
        <v>450</v>
      </c>
      <c r="F976" s="3">
        <v>2350000</v>
      </c>
      <c r="G976" s="2">
        <f t="shared" si="30"/>
        <v>5222.2222222222226</v>
      </c>
      <c r="H976" s="2">
        <f t="shared" si="31"/>
        <v>2350000</v>
      </c>
      <c r="I976" t="s">
        <v>157</v>
      </c>
      <c r="J976" t="s">
        <v>68</v>
      </c>
      <c r="K976" t="s">
        <v>2218</v>
      </c>
      <c r="L976" t="s">
        <v>69</v>
      </c>
      <c r="M976" t="s">
        <v>16</v>
      </c>
      <c r="N976" t="s">
        <v>2242</v>
      </c>
    </row>
    <row r="977" spans="1:14" x14ac:dyDescent="0.35">
      <c r="A977" t="s">
        <v>714</v>
      </c>
      <c r="B977" t="s">
        <v>18</v>
      </c>
      <c r="C977">
        <v>4</v>
      </c>
      <c r="D977">
        <v>4</v>
      </c>
      <c r="E977" s="1">
        <v>240</v>
      </c>
      <c r="F977" s="3">
        <v>2350000</v>
      </c>
      <c r="G977" s="2">
        <f t="shared" si="30"/>
        <v>9791.6666666666661</v>
      </c>
      <c r="H977" s="2">
        <f t="shared" si="31"/>
        <v>2350000</v>
      </c>
      <c r="I977" t="s">
        <v>715</v>
      </c>
      <c r="J977" t="s">
        <v>716</v>
      </c>
      <c r="K977" t="s">
        <v>2216</v>
      </c>
      <c r="L977" t="s">
        <v>717</v>
      </c>
      <c r="M977" t="s">
        <v>16</v>
      </c>
      <c r="N977" t="s">
        <v>2242</v>
      </c>
    </row>
    <row r="978" spans="1:14" x14ac:dyDescent="0.35">
      <c r="A978" t="s">
        <v>1498</v>
      </c>
      <c r="B978" t="s">
        <v>18</v>
      </c>
      <c r="C978">
        <v>5</v>
      </c>
      <c r="D978">
        <v>7</v>
      </c>
      <c r="E978" s="1">
        <v>250</v>
      </c>
      <c r="F978" s="3">
        <v>2350000</v>
      </c>
      <c r="G978" s="2">
        <f t="shared" si="30"/>
        <v>9400</v>
      </c>
      <c r="H978" s="2">
        <f t="shared" si="31"/>
        <v>2350000</v>
      </c>
      <c r="I978" t="s">
        <v>1499</v>
      </c>
      <c r="J978" t="s">
        <v>125</v>
      </c>
      <c r="K978" t="s">
        <v>2217</v>
      </c>
      <c r="L978" t="s">
        <v>126</v>
      </c>
      <c r="M978" t="s">
        <v>16</v>
      </c>
      <c r="N978" t="s">
        <v>407</v>
      </c>
    </row>
    <row r="979" spans="1:14" x14ac:dyDescent="0.35">
      <c r="A979" t="s">
        <v>1610</v>
      </c>
      <c r="B979" t="s">
        <v>18</v>
      </c>
      <c r="C979">
        <v>5</v>
      </c>
      <c r="D979">
        <v>7</v>
      </c>
      <c r="E979" s="1">
        <v>250</v>
      </c>
      <c r="F979" s="3">
        <v>2350000</v>
      </c>
      <c r="G979" s="2">
        <f t="shared" si="30"/>
        <v>9400</v>
      </c>
      <c r="H979" s="2">
        <f t="shared" si="31"/>
        <v>2350000</v>
      </c>
      <c r="I979" t="s">
        <v>1611</v>
      </c>
      <c r="J979" t="s">
        <v>125</v>
      </c>
      <c r="K979" t="s">
        <v>2217</v>
      </c>
      <c r="L979" t="s">
        <v>126</v>
      </c>
      <c r="M979" t="s">
        <v>16</v>
      </c>
      <c r="N979" t="s">
        <v>407</v>
      </c>
    </row>
    <row r="980" spans="1:14" x14ac:dyDescent="0.35">
      <c r="A980" t="s">
        <v>162</v>
      </c>
      <c r="B980" t="s">
        <v>18</v>
      </c>
      <c r="C980">
        <v>5</v>
      </c>
      <c r="D980">
        <v>3</v>
      </c>
      <c r="E980" s="1">
        <v>359</v>
      </c>
      <c r="F980" s="3">
        <v>2400000</v>
      </c>
      <c r="G980" s="2">
        <f t="shared" si="30"/>
        <v>6685.2367688022287</v>
      </c>
      <c r="H980" s="2">
        <f t="shared" si="31"/>
        <v>2400000</v>
      </c>
      <c r="I980" t="s">
        <v>163</v>
      </c>
      <c r="J980" t="s">
        <v>164</v>
      </c>
      <c r="K980" t="s">
        <v>2218</v>
      </c>
      <c r="L980" t="s">
        <v>165</v>
      </c>
      <c r="M980" t="s">
        <v>16</v>
      </c>
      <c r="N980" t="s">
        <v>166</v>
      </c>
    </row>
    <row r="981" spans="1:14" x14ac:dyDescent="0.35">
      <c r="A981" t="s">
        <v>1244</v>
      </c>
      <c r="B981" t="s">
        <v>18</v>
      </c>
      <c r="C981">
        <v>6</v>
      </c>
      <c r="D981">
        <v>6</v>
      </c>
      <c r="E981" s="1">
        <v>250</v>
      </c>
      <c r="F981" s="3">
        <v>2400000</v>
      </c>
      <c r="G981" s="2">
        <f t="shared" si="30"/>
        <v>9600</v>
      </c>
      <c r="H981" s="2">
        <f t="shared" si="31"/>
        <v>2400000</v>
      </c>
      <c r="I981" t="s">
        <v>1245</v>
      </c>
      <c r="J981" t="s">
        <v>28</v>
      </c>
      <c r="K981" t="s">
        <v>2217</v>
      </c>
      <c r="L981" t="s">
        <v>29</v>
      </c>
      <c r="M981" t="s">
        <v>16</v>
      </c>
      <c r="N981" t="s">
        <v>407</v>
      </c>
    </row>
    <row r="982" spans="1:14" x14ac:dyDescent="0.35">
      <c r="A982" t="s">
        <v>1428</v>
      </c>
      <c r="B982" t="s">
        <v>18</v>
      </c>
      <c r="C982">
        <v>8</v>
      </c>
      <c r="D982">
        <v>5</v>
      </c>
      <c r="E982" s="1">
        <v>796</v>
      </c>
      <c r="F982" s="3">
        <v>2400000</v>
      </c>
      <c r="G982" s="2">
        <f t="shared" si="30"/>
        <v>3015.075376884422</v>
      </c>
      <c r="H982" s="2">
        <f t="shared" si="31"/>
        <v>2400000</v>
      </c>
      <c r="I982" t="s">
        <v>1429</v>
      </c>
      <c r="J982" t="s">
        <v>154</v>
      </c>
      <c r="K982" t="s">
        <v>2218</v>
      </c>
      <c r="L982" t="s">
        <v>155</v>
      </c>
      <c r="M982" t="s">
        <v>16</v>
      </c>
      <c r="N982" t="s">
        <v>1430</v>
      </c>
    </row>
    <row r="983" spans="1:14" x14ac:dyDescent="0.35">
      <c r="A983" t="s">
        <v>1698</v>
      </c>
      <c r="B983" t="s">
        <v>18</v>
      </c>
      <c r="C983">
        <v>6</v>
      </c>
      <c r="D983">
        <v>4</v>
      </c>
      <c r="E983" s="1">
        <v>260</v>
      </c>
      <c r="F983" s="3">
        <v>2400000</v>
      </c>
      <c r="G983" s="2">
        <f t="shared" si="30"/>
        <v>9230.7692307692305</v>
      </c>
      <c r="H983" s="2">
        <f t="shared" si="31"/>
        <v>2400000</v>
      </c>
      <c r="I983" t="s">
        <v>1245</v>
      </c>
      <c r="J983" t="s">
        <v>28</v>
      </c>
      <c r="K983" t="s">
        <v>2217</v>
      </c>
      <c r="L983" t="s">
        <v>29</v>
      </c>
      <c r="M983" t="s">
        <v>16</v>
      </c>
      <c r="N983" t="s">
        <v>2242</v>
      </c>
    </row>
    <row r="984" spans="1:14" hidden="1" x14ac:dyDescent="0.35">
      <c r="A984" t="s">
        <v>2002</v>
      </c>
      <c r="B984" t="s">
        <v>12</v>
      </c>
      <c r="C984">
        <v>3</v>
      </c>
      <c r="D984">
        <v>3</v>
      </c>
      <c r="E984" s="1">
        <v>625</v>
      </c>
      <c r="F984" s="3">
        <v>2400000</v>
      </c>
      <c r="G984" s="2">
        <f t="shared" si="30"/>
        <v>3840</v>
      </c>
      <c r="H984" s="2">
        <f t="shared" si="31"/>
        <v>2400000</v>
      </c>
      <c r="I984" t="s">
        <v>2003</v>
      </c>
      <c r="J984" t="s">
        <v>233</v>
      </c>
      <c r="K984" t="s">
        <v>2216</v>
      </c>
      <c r="L984" t="s">
        <v>234</v>
      </c>
      <c r="M984" t="s">
        <v>16</v>
      </c>
      <c r="N984" t="s">
        <v>1074</v>
      </c>
    </row>
    <row r="985" spans="1:14" x14ac:dyDescent="0.35">
      <c r="A985" t="s">
        <v>2085</v>
      </c>
      <c r="B985" t="s">
        <v>18</v>
      </c>
      <c r="C985">
        <v>4</v>
      </c>
      <c r="D985">
        <v>4</v>
      </c>
      <c r="E985" s="1">
        <v>250</v>
      </c>
      <c r="F985" s="3">
        <v>2400000</v>
      </c>
      <c r="G985" s="2">
        <f t="shared" si="30"/>
        <v>9600</v>
      </c>
      <c r="H985" s="2">
        <f t="shared" si="31"/>
        <v>2400000</v>
      </c>
      <c r="I985" t="s">
        <v>2086</v>
      </c>
      <c r="J985" t="s">
        <v>125</v>
      </c>
      <c r="K985" t="s">
        <v>2217</v>
      </c>
      <c r="L985" t="s">
        <v>126</v>
      </c>
      <c r="M985" t="s">
        <v>16</v>
      </c>
      <c r="N985" t="s">
        <v>407</v>
      </c>
    </row>
    <row r="986" spans="1:14" x14ac:dyDescent="0.35">
      <c r="A986" t="s">
        <v>2087</v>
      </c>
      <c r="B986" t="s">
        <v>18</v>
      </c>
      <c r="C986">
        <v>5</v>
      </c>
      <c r="D986">
        <v>5</v>
      </c>
      <c r="E986" s="1">
        <v>250</v>
      </c>
      <c r="F986" s="3">
        <v>2400000</v>
      </c>
      <c r="G986" s="2">
        <f t="shared" si="30"/>
        <v>9600</v>
      </c>
      <c r="H986" s="2">
        <f t="shared" si="31"/>
        <v>2400000</v>
      </c>
      <c r="I986" t="s">
        <v>2088</v>
      </c>
      <c r="J986" t="s">
        <v>125</v>
      </c>
      <c r="K986" t="s">
        <v>2217</v>
      </c>
      <c r="L986" t="s">
        <v>126</v>
      </c>
      <c r="M986" t="s">
        <v>16</v>
      </c>
      <c r="N986" t="s">
        <v>407</v>
      </c>
    </row>
    <row r="987" spans="1:14" hidden="1" x14ac:dyDescent="0.35">
      <c r="A987" t="s">
        <v>2154</v>
      </c>
      <c r="B987" t="s">
        <v>12</v>
      </c>
      <c r="C987">
        <v>3</v>
      </c>
      <c r="D987">
        <v>4</v>
      </c>
      <c r="E987" s="1">
        <v>625</v>
      </c>
      <c r="F987" s="3">
        <v>2400000</v>
      </c>
      <c r="G987" s="2">
        <f t="shared" si="30"/>
        <v>3840</v>
      </c>
      <c r="H987" s="2">
        <f t="shared" si="31"/>
        <v>2400000</v>
      </c>
      <c r="I987" t="s">
        <v>2003</v>
      </c>
      <c r="J987" t="s">
        <v>233</v>
      </c>
      <c r="K987" t="s">
        <v>2216</v>
      </c>
      <c r="L987" t="s">
        <v>234</v>
      </c>
      <c r="M987" t="s">
        <v>16</v>
      </c>
      <c r="N987" t="s">
        <v>1074</v>
      </c>
    </row>
    <row r="988" spans="1:14" hidden="1" x14ac:dyDescent="0.35">
      <c r="A988" t="s">
        <v>1283</v>
      </c>
      <c r="B988" t="s">
        <v>66</v>
      </c>
      <c r="C988">
        <v>1</v>
      </c>
      <c r="D988">
        <v>1</v>
      </c>
      <c r="E988" s="1">
        <v>91</v>
      </c>
      <c r="F988" s="3">
        <v>2425150</v>
      </c>
      <c r="G988" s="2">
        <f t="shared" si="30"/>
        <v>26650</v>
      </c>
      <c r="H988" s="2">
        <f t="shared" si="31"/>
        <v>2425150</v>
      </c>
      <c r="I988" t="s">
        <v>1284</v>
      </c>
      <c r="J988" t="s">
        <v>387</v>
      </c>
      <c r="K988" t="s">
        <v>2216</v>
      </c>
      <c r="L988" t="s">
        <v>388</v>
      </c>
      <c r="M988" t="s">
        <v>16</v>
      </c>
      <c r="N988" t="s">
        <v>1258</v>
      </c>
    </row>
    <row r="989" spans="1:14" x14ac:dyDescent="0.35">
      <c r="A989" t="s">
        <v>1445</v>
      </c>
      <c r="B989" t="s">
        <v>18</v>
      </c>
      <c r="C989">
        <v>8</v>
      </c>
      <c r="D989">
        <v>7</v>
      </c>
      <c r="E989" s="1">
        <v>250</v>
      </c>
      <c r="F989" s="3">
        <v>2500000</v>
      </c>
      <c r="G989" s="2">
        <f t="shared" si="30"/>
        <v>10000</v>
      </c>
      <c r="H989" s="2">
        <f t="shared" si="31"/>
        <v>2500000</v>
      </c>
      <c r="I989" t="s">
        <v>1446</v>
      </c>
      <c r="J989" t="s">
        <v>145</v>
      </c>
      <c r="K989" t="s">
        <v>2216</v>
      </c>
      <c r="L989" t="s">
        <v>146</v>
      </c>
      <c r="M989" t="s">
        <v>16</v>
      </c>
      <c r="N989" t="s">
        <v>2242</v>
      </c>
    </row>
    <row r="990" spans="1:14" x14ac:dyDescent="0.35">
      <c r="A990" t="s">
        <v>1710</v>
      </c>
      <c r="B990" t="s">
        <v>18</v>
      </c>
      <c r="C990">
        <v>5</v>
      </c>
      <c r="D990">
        <v>5</v>
      </c>
      <c r="E990" s="1">
        <v>300</v>
      </c>
      <c r="F990" s="3">
        <v>2500000</v>
      </c>
      <c r="G990" s="2">
        <f t="shared" si="30"/>
        <v>8333.3333333333339</v>
      </c>
      <c r="H990" s="2">
        <f t="shared" si="31"/>
        <v>2500000</v>
      </c>
      <c r="I990" t="s">
        <v>1245</v>
      </c>
      <c r="J990" t="s">
        <v>28</v>
      </c>
      <c r="K990" t="s">
        <v>2217</v>
      </c>
      <c r="L990" t="s">
        <v>29</v>
      </c>
      <c r="M990" t="s">
        <v>16</v>
      </c>
      <c r="N990" t="s">
        <v>2242</v>
      </c>
    </row>
    <row r="991" spans="1:14" x14ac:dyDescent="0.35">
      <c r="A991" t="s">
        <v>2092</v>
      </c>
      <c r="B991" t="s">
        <v>18</v>
      </c>
      <c r="C991">
        <v>5</v>
      </c>
      <c r="D991">
        <v>5</v>
      </c>
      <c r="E991" s="1">
        <v>256</v>
      </c>
      <c r="F991" s="3">
        <v>2500000</v>
      </c>
      <c r="G991" s="2">
        <f t="shared" si="30"/>
        <v>9765.625</v>
      </c>
      <c r="H991" s="2">
        <f t="shared" si="31"/>
        <v>2500000</v>
      </c>
      <c r="I991" t="s">
        <v>2093</v>
      </c>
      <c r="J991" t="s">
        <v>382</v>
      </c>
      <c r="K991" t="s">
        <v>2217</v>
      </c>
      <c r="L991" t="s">
        <v>383</v>
      </c>
      <c r="M991" t="s">
        <v>16</v>
      </c>
      <c r="N991" t="s">
        <v>2242</v>
      </c>
    </row>
    <row r="992" spans="1:14" x14ac:dyDescent="0.35">
      <c r="A992" t="s">
        <v>605</v>
      </c>
      <c r="B992" t="s">
        <v>18</v>
      </c>
      <c r="C992">
        <v>5</v>
      </c>
      <c r="D992">
        <v>8</v>
      </c>
      <c r="E992" s="1">
        <v>280</v>
      </c>
      <c r="F992" s="3">
        <v>2600000</v>
      </c>
      <c r="G992" s="2">
        <f t="shared" si="30"/>
        <v>9285.7142857142862</v>
      </c>
      <c r="H992" s="2">
        <f t="shared" si="31"/>
        <v>2600000</v>
      </c>
      <c r="I992" t="s">
        <v>606</v>
      </c>
      <c r="J992" t="s">
        <v>173</v>
      </c>
      <c r="K992" t="s">
        <v>2216</v>
      </c>
      <c r="L992" t="s">
        <v>174</v>
      </c>
      <c r="M992" t="s">
        <v>16</v>
      </c>
      <c r="N992" t="s">
        <v>2242</v>
      </c>
    </row>
    <row r="993" spans="1:14" x14ac:dyDescent="0.35">
      <c r="A993" t="s">
        <v>1479</v>
      </c>
      <c r="B993" t="s">
        <v>18</v>
      </c>
      <c r="C993">
        <v>7</v>
      </c>
      <c r="D993">
        <v>5</v>
      </c>
      <c r="E993" s="1">
        <v>600</v>
      </c>
      <c r="F993" s="3">
        <v>2600000</v>
      </c>
      <c r="G993" s="2">
        <f t="shared" si="30"/>
        <v>4333.333333333333</v>
      </c>
      <c r="H993" s="2">
        <f t="shared" si="31"/>
        <v>2600000</v>
      </c>
      <c r="I993" t="s">
        <v>1480</v>
      </c>
      <c r="J993" t="s">
        <v>154</v>
      </c>
      <c r="K993" t="s">
        <v>2218</v>
      </c>
      <c r="L993" t="s">
        <v>155</v>
      </c>
      <c r="M993" t="s">
        <v>16</v>
      </c>
      <c r="N993" t="s">
        <v>948</v>
      </c>
    </row>
    <row r="994" spans="1:14" x14ac:dyDescent="0.35">
      <c r="A994" t="s">
        <v>1565</v>
      </c>
      <c r="B994" t="s">
        <v>18</v>
      </c>
      <c r="C994">
        <v>4</v>
      </c>
      <c r="D994">
        <v>4</v>
      </c>
      <c r="E994" s="1">
        <v>343</v>
      </c>
      <c r="F994" s="3">
        <v>2600000</v>
      </c>
      <c r="G994" s="2">
        <f t="shared" si="30"/>
        <v>7580.1749271137023</v>
      </c>
      <c r="H994" s="2">
        <f t="shared" si="31"/>
        <v>2600000</v>
      </c>
      <c r="I994" t="s">
        <v>1566</v>
      </c>
      <c r="J994" t="s">
        <v>923</v>
      </c>
      <c r="K994" t="s">
        <v>2217</v>
      </c>
      <c r="L994" t="s">
        <v>924</v>
      </c>
      <c r="M994" t="s">
        <v>16</v>
      </c>
      <c r="N994" t="s">
        <v>2242</v>
      </c>
    </row>
    <row r="995" spans="1:14" x14ac:dyDescent="0.35">
      <c r="A995" t="s">
        <v>1595</v>
      </c>
      <c r="B995" t="s">
        <v>18</v>
      </c>
      <c r="C995">
        <v>9</v>
      </c>
      <c r="D995">
        <v>6</v>
      </c>
      <c r="E995" s="1">
        <v>420</v>
      </c>
      <c r="F995" s="3">
        <v>2600000</v>
      </c>
      <c r="G995" s="2">
        <f t="shared" si="30"/>
        <v>6190.4761904761908</v>
      </c>
      <c r="H995" s="2">
        <f t="shared" si="31"/>
        <v>2600000</v>
      </c>
      <c r="I995" t="s">
        <v>1596</v>
      </c>
      <c r="J995" t="s">
        <v>218</v>
      </c>
      <c r="K995" t="s">
        <v>2215</v>
      </c>
      <c r="L995" t="s">
        <v>219</v>
      </c>
      <c r="M995" t="s">
        <v>16</v>
      </c>
      <c r="N995" t="s">
        <v>1597</v>
      </c>
    </row>
    <row r="996" spans="1:14" x14ac:dyDescent="0.35">
      <c r="A996" t="s">
        <v>1797</v>
      </c>
      <c r="B996" t="s">
        <v>18</v>
      </c>
      <c r="C996">
        <v>8</v>
      </c>
      <c r="D996">
        <v>7</v>
      </c>
      <c r="E996" s="1">
        <v>260</v>
      </c>
      <c r="F996" s="3">
        <v>2600000</v>
      </c>
      <c r="G996" s="2">
        <f t="shared" si="30"/>
        <v>10000</v>
      </c>
      <c r="H996" s="2">
        <f t="shared" si="31"/>
        <v>2600000</v>
      </c>
      <c r="I996" t="s">
        <v>1798</v>
      </c>
      <c r="J996" t="s">
        <v>28</v>
      </c>
      <c r="K996" t="s">
        <v>2217</v>
      </c>
      <c r="L996" t="s">
        <v>29</v>
      </c>
      <c r="M996" t="s">
        <v>16</v>
      </c>
      <c r="N996" t="s">
        <v>624</v>
      </c>
    </row>
    <row r="997" spans="1:14" x14ac:dyDescent="0.35">
      <c r="A997" t="s">
        <v>1835</v>
      </c>
      <c r="B997" t="s">
        <v>18</v>
      </c>
      <c r="C997">
        <v>5</v>
      </c>
      <c r="D997">
        <v>4</v>
      </c>
      <c r="E997" s="1">
        <v>352</v>
      </c>
      <c r="F997" s="3">
        <v>2600000</v>
      </c>
      <c r="G997" s="2">
        <f t="shared" si="30"/>
        <v>7386.363636363636</v>
      </c>
      <c r="H997" s="2">
        <f t="shared" si="31"/>
        <v>2600000</v>
      </c>
      <c r="I997" t="s">
        <v>807</v>
      </c>
      <c r="J997" t="s">
        <v>169</v>
      </c>
      <c r="K997" t="s">
        <v>2217</v>
      </c>
      <c r="L997" t="s">
        <v>170</v>
      </c>
      <c r="M997" t="s">
        <v>16</v>
      </c>
      <c r="N997" t="s">
        <v>2242</v>
      </c>
    </row>
    <row r="998" spans="1:14" x14ac:dyDescent="0.35">
      <c r="A998" t="s">
        <v>1713</v>
      </c>
      <c r="B998" t="s">
        <v>18</v>
      </c>
      <c r="C998">
        <v>5</v>
      </c>
      <c r="D998">
        <v>6</v>
      </c>
      <c r="E998" s="1">
        <v>525</v>
      </c>
      <c r="F998" s="3">
        <v>2625000</v>
      </c>
      <c r="G998" s="2">
        <f t="shared" si="30"/>
        <v>5000</v>
      </c>
      <c r="H998" s="2">
        <f t="shared" si="31"/>
        <v>2625000</v>
      </c>
      <c r="I998" t="s">
        <v>1714</v>
      </c>
      <c r="J998" t="s">
        <v>35</v>
      </c>
      <c r="K998" t="s">
        <v>2217</v>
      </c>
      <c r="L998" t="s">
        <v>36</v>
      </c>
      <c r="M998" t="s">
        <v>16</v>
      </c>
      <c r="N998" t="s">
        <v>1573</v>
      </c>
    </row>
    <row r="999" spans="1:14" hidden="1" x14ac:dyDescent="0.35">
      <c r="A999" t="s">
        <v>1252</v>
      </c>
      <c r="B999" t="s">
        <v>1033</v>
      </c>
      <c r="C999">
        <v>0</v>
      </c>
      <c r="D999">
        <v>0</v>
      </c>
      <c r="E999" s="1">
        <v>377</v>
      </c>
      <c r="F999" s="3">
        <v>2639000</v>
      </c>
      <c r="G999" s="2">
        <f t="shared" si="30"/>
        <v>7000</v>
      </c>
      <c r="H999" s="2">
        <f t="shared" si="31"/>
        <v>2639000</v>
      </c>
      <c r="I999" t="s">
        <v>227</v>
      </c>
      <c r="J999" t="s">
        <v>145</v>
      </c>
      <c r="K999" t="s">
        <v>2216</v>
      </c>
      <c r="L999" t="s">
        <v>146</v>
      </c>
      <c r="M999" t="s">
        <v>16</v>
      </c>
      <c r="N999" t="s">
        <v>1253</v>
      </c>
    </row>
    <row r="1000" spans="1:14" x14ac:dyDescent="0.35">
      <c r="A1000" t="s">
        <v>1708</v>
      </c>
      <c r="B1000" t="s">
        <v>18</v>
      </c>
      <c r="C1000">
        <v>4</v>
      </c>
      <c r="D1000">
        <v>5</v>
      </c>
      <c r="E1000" s="1">
        <v>324</v>
      </c>
      <c r="F1000" s="3">
        <v>2650000</v>
      </c>
      <c r="G1000" s="2">
        <f t="shared" si="30"/>
        <v>8179.0123456790125</v>
      </c>
      <c r="H1000" s="2">
        <f t="shared" si="31"/>
        <v>2650000</v>
      </c>
      <c r="I1000" t="s">
        <v>1709</v>
      </c>
      <c r="J1000" t="s">
        <v>28</v>
      </c>
      <c r="K1000" t="s">
        <v>2217</v>
      </c>
      <c r="L1000" t="s">
        <v>29</v>
      </c>
      <c r="M1000" t="s">
        <v>16</v>
      </c>
      <c r="N1000" t="s">
        <v>77</v>
      </c>
    </row>
    <row r="1001" spans="1:14" hidden="1" x14ac:dyDescent="0.35">
      <c r="A1001" t="s">
        <v>1295</v>
      </c>
      <c r="B1001" t="s">
        <v>1033</v>
      </c>
      <c r="C1001">
        <v>0</v>
      </c>
      <c r="D1001">
        <v>0</v>
      </c>
      <c r="E1001" s="1">
        <v>442</v>
      </c>
      <c r="F1001" s="3">
        <v>6000</v>
      </c>
      <c r="G1001" s="2">
        <f t="shared" si="30"/>
        <v>6000</v>
      </c>
      <c r="H1001" s="2">
        <f t="shared" si="31"/>
        <v>2652000</v>
      </c>
      <c r="I1001" t="s">
        <v>200</v>
      </c>
      <c r="J1001" t="s">
        <v>145</v>
      </c>
      <c r="K1001" t="s">
        <v>2216</v>
      </c>
      <c r="L1001" t="s">
        <v>146</v>
      </c>
      <c r="M1001" t="s">
        <v>16</v>
      </c>
      <c r="N1001" t="s">
        <v>948</v>
      </c>
    </row>
    <row r="1002" spans="1:14" hidden="1" x14ac:dyDescent="0.35">
      <c r="A1002" t="s">
        <v>199</v>
      </c>
      <c r="B1002" t="s">
        <v>1033</v>
      </c>
      <c r="C1002">
        <v>0</v>
      </c>
      <c r="D1002">
        <v>0</v>
      </c>
      <c r="E1002" s="1">
        <v>450</v>
      </c>
      <c r="F1002" s="3">
        <v>2700000</v>
      </c>
      <c r="G1002" s="2">
        <f t="shared" si="30"/>
        <v>6000</v>
      </c>
      <c r="H1002" s="2">
        <f t="shared" si="31"/>
        <v>2700000</v>
      </c>
      <c r="I1002" t="s">
        <v>200</v>
      </c>
      <c r="J1002" t="s">
        <v>145</v>
      </c>
      <c r="K1002" t="s">
        <v>2216</v>
      </c>
      <c r="L1002" t="s">
        <v>146</v>
      </c>
      <c r="M1002" t="s">
        <v>16</v>
      </c>
      <c r="N1002" t="s">
        <v>2242</v>
      </c>
    </row>
    <row r="1003" spans="1:14" x14ac:dyDescent="0.35">
      <c r="A1003" t="s">
        <v>1880</v>
      </c>
      <c r="B1003" t="s">
        <v>18</v>
      </c>
      <c r="C1003">
        <v>4</v>
      </c>
      <c r="D1003">
        <v>4</v>
      </c>
      <c r="E1003" s="1">
        <v>216</v>
      </c>
      <c r="F1003" s="3">
        <v>2700000</v>
      </c>
      <c r="G1003" s="2">
        <f t="shared" si="30"/>
        <v>12500</v>
      </c>
      <c r="H1003" s="2">
        <f t="shared" si="31"/>
        <v>2700000</v>
      </c>
      <c r="I1003" t="s">
        <v>259</v>
      </c>
      <c r="J1003" t="s">
        <v>173</v>
      </c>
      <c r="K1003" t="s">
        <v>2216</v>
      </c>
      <c r="L1003" t="s">
        <v>174</v>
      </c>
      <c r="M1003" t="s">
        <v>16</v>
      </c>
      <c r="N1003" t="s">
        <v>1079</v>
      </c>
    </row>
    <row r="1004" spans="1:14" hidden="1" x14ac:dyDescent="0.35">
      <c r="A1004" t="s">
        <v>1898</v>
      </c>
      <c r="B1004" t="s">
        <v>66</v>
      </c>
      <c r="C1004">
        <v>2</v>
      </c>
      <c r="D1004">
        <v>2</v>
      </c>
      <c r="E1004" s="1">
        <v>141</v>
      </c>
      <c r="F1004" s="3">
        <v>2700000</v>
      </c>
      <c r="G1004" s="2">
        <f t="shared" si="30"/>
        <v>19148.936170212764</v>
      </c>
      <c r="H1004" s="2">
        <f t="shared" si="31"/>
        <v>2700000</v>
      </c>
      <c r="I1004" t="s">
        <v>1899</v>
      </c>
      <c r="J1004" t="s">
        <v>387</v>
      </c>
      <c r="K1004" t="s">
        <v>2216</v>
      </c>
      <c r="L1004" t="s">
        <v>388</v>
      </c>
      <c r="M1004" t="s">
        <v>16</v>
      </c>
      <c r="N1004" t="s">
        <v>55</v>
      </c>
    </row>
    <row r="1005" spans="1:14" x14ac:dyDescent="0.35">
      <c r="A1005" t="s">
        <v>648</v>
      </c>
      <c r="B1005" t="s">
        <v>18</v>
      </c>
      <c r="C1005">
        <v>4</v>
      </c>
      <c r="D1005">
        <v>5</v>
      </c>
      <c r="E1005" s="1">
        <v>3960</v>
      </c>
      <c r="F1005" s="3">
        <v>2799000</v>
      </c>
      <c r="G1005" s="2">
        <f t="shared" si="30"/>
        <v>706.81818181818187</v>
      </c>
      <c r="H1005" s="2">
        <f t="shared" si="31"/>
        <v>2799000</v>
      </c>
      <c r="I1005" t="s">
        <v>649</v>
      </c>
      <c r="J1005" t="s">
        <v>494</v>
      </c>
      <c r="K1005" t="s">
        <v>2217</v>
      </c>
      <c r="L1005" t="s">
        <v>495</v>
      </c>
      <c r="M1005" t="s">
        <v>16</v>
      </c>
      <c r="N1005" t="s">
        <v>650</v>
      </c>
    </row>
    <row r="1006" spans="1:14" x14ac:dyDescent="0.35">
      <c r="A1006" t="s">
        <v>182</v>
      </c>
      <c r="B1006" t="s">
        <v>18</v>
      </c>
      <c r="C1006">
        <v>9</v>
      </c>
      <c r="D1006">
        <v>7</v>
      </c>
      <c r="E1006" s="1">
        <v>450</v>
      </c>
      <c r="F1006" s="3">
        <v>2800000</v>
      </c>
      <c r="G1006" s="2">
        <f t="shared" si="30"/>
        <v>6222.2222222222226</v>
      </c>
      <c r="H1006" s="2">
        <f t="shared" si="31"/>
        <v>2800000</v>
      </c>
      <c r="I1006" t="s">
        <v>183</v>
      </c>
      <c r="J1006" t="s">
        <v>68</v>
      </c>
      <c r="K1006" t="s">
        <v>2218</v>
      </c>
      <c r="L1006" t="s">
        <v>69</v>
      </c>
      <c r="M1006" t="s">
        <v>16</v>
      </c>
      <c r="N1006" t="s">
        <v>2242</v>
      </c>
    </row>
    <row r="1007" spans="1:14" x14ac:dyDescent="0.35">
      <c r="A1007" t="s">
        <v>510</v>
      </c>
      <c r="B1007" t="s">
        <v>18</v>
      </c>
      <c r="C1007">
        <v>10</v>
      </c>
      <c r="D1007">
        <v>5</v>
      </c>
      <c r="E1007" s="1">
        <v>268</v>
      </c>
      <c r="F1007" s="3">
        <v>2800000</v>
      </c>
      <c r="G1007" s="2">
        <f t="shared" si="30"/>
        <v>10447.76119402985</v>
      </c>
      <c r="H1007" s="2">
        <f t="shared" si="31"/>
        <v>2800000</v>
      </c>
      <c r="I1007" t="s">
        <v>511</v>
      </c>
      <c r="J1007" t="s">
        <v>173</v>
      </c>
      <c r="K1007" t="s">
        <v>2216</v>
      </c>
      <c r="L1007" t="s">
        <v>174</v>
      </c>
      <c r="M1007" t="s">
        <v>16</v>
      </c>
      <c r="N1007" t="s">
        <v>512</v>
      </c>
    </row>
    <row r="1008" spans="1:14" x14ac:dyDescent="0.35">
      <c r="A1008" t="s">
        <v>646</v>
      </c>
      <c r="B1008" t="s">
        <v>18</v>
      </c>
      <c r="C1008">
        <v>4</v>
      </c>
      <c r="D1008">
        <v>3</v>
      </c>
      <c r="E1008" s="1">
        <v>323</v>
      </c>
      <c r="F1008" s="3">
        <v>2800000</v>
      </c>
      <c r="G1008" s="2">
        <f t="shared" si="30"/>
        <v>8668.7306501547992</v>
      </c>
      <c r="H1008" s="2">
        <f t="shared" si="31"/>
        <v>2800000</v>
      </c>
      <c r="I1008" t="s">
        <v>647</v>
      </c>
      <c r="J1008" t="s">
        <v>145</v>
      </c>
      <c r="K1008" t="s">
        <v>2216</v>
      </c>
      <c r="L1008" t="s">
        <v>146</v>
      </c>
      <c r="M1008" t="s">
        <v>16</v>
      </c>
      <c r="N1008" t="s">
        <v>2242</v>
      </c>
    </row>
    <row r="1009" spans="1:14" x14ac:dyDescent="0.35">
      <c r="A1009" t="s">
        <v>1552</v>
      </c>
      <c r="B1009" t="s">
        <v>18</v>
      </c>
      <c r="C1009">
        <v>6</v>
      </c>
      <c r="D1009">
        <v>4</v>
      </c>
      <c r="E1009" s="1">
        <v>230</v>
      </c>
      <c r="F1009" s="3">
        <v>2800000</v>
      </c>
      <c r="G1009" s="2">
        <f t="shared" si="30"/>
        <v>12173.91304347826</v>
      </c>
      <c r="H1009" s="2">
        <f t="shared" si="31"/>
        <v>2800000</v>
      </c>
      <c r="I1009" t="s">
        <v>1553</v>
      </c>
      <c r="J1009" t="s">
        <v>145</v>
      </c>
      <c r="K1009" t="s">
        <v>2216</v>
      </c>
      <c r="L1009" t="s">
        <v>146</v>
      </c>
      <c r="M1009" t="s">
        <v>16</v>
      </c>
      <c r="N1009" t="s">
        <v>948</v>
      </c>
    </row>
    <row r="1010" spans="1:14" x14ac:dyDescent="0.35">
      <c r="A1010" t="s">
        <v>1569</v>
      </c>
      <c r="B1010" t="s">
        <v>18</v>
      </c>
      <c r="C1010">
        <v>5</v>
      </c>
      <c r="D1010">
        <v>7</v>
      </c>
      <c r="E1010" s="1">
        <v>400</v>
      </c>
      <c r="F1010" s="3">
        <v>2800000</v>
      </c>
      <c r="G1010" s="2">
        <f t="shared" si="30"/>
        <v>7000</v>
      </c>
      <c r="H1010" s="2">
        <f t="shared" si="31"/>
        <v>2800000</v>
      </c>
      <c r="I1010" t="s">
        <v>1570</v>
      </c>
      <c r="J1010" t="s">
        <v>1571</v>
      </c>
      <c r="K1010" t="s">
        <v>2217</v>
      </c>
      <c r="L1010" t="s">
        <v>1572</v>
      </c>
      <c r="M1010" t="s">
        <v>16</v>
      </c>
      <c r="N1010" t="s">
        <v>1573</v>
      </c>
    </row>
    <row r="1011" spans="1:14" x14ac:dyDescent="0.35">
      <c r="A1011" t="s">
        <v>1718</v>
      </c>
      <c r="B1011" t="s">
        <v>18</v>
      </c>
      <c r="C1011">
        <v>6</v>
      </c>
      <c r="D1011">
        <v>6</v>
      </c>
      <c r="E1011" s="1">
        <v>324</v>
      </c>
      <c r="F1011" s="3">
        <v>2800000</v>
      </c>
      <c r="G1011" s="2">
        <f t="shared" si="30"/>
        <v>8641.9753086419751</v>
      </c>
      <c r="H1011" s="2">
        <f t="shared" si="31"/>
        <v>2800000</v>
      </c>
      <c r="I1011" t="s">
        <v>647</v>
      </c>
      <c r="J1011" t="s">
        <v>145</v>
      </c>
      <c r="K1011" t="s">
        <v>2216</v>
      </c>
      <c r="L1011" t="s">
        <v>146</v>
      </c>
      <c r="M1011" t="s">
        <v>16</v>
      </c>
      <c r="N1011" t="s">
        <v>1719</v>
      </c>
    </row>
    <row r="1012" spans="1:14" x14ac:dyDescent="0.35">
      <c r="A1012" t="s">
        <v>2019</v>
      </c>
      <c r="B1012" t="s">
        <v>18</v>
      </c>
      <c r="C1012">
        <v>5</v>
      </c>
      <c r="D1012">
        <v>5</v>
      </c>
      <c r="E1012" s="1">
        <v>270</v>
      </c>
      <c r="F1012" s="3">
        <v>2800000</v>
      </c>
      <c r="G1012" s="2">
        <f t="shared" si="30"/>
        <v>10370.37037037037</v>
      </c>
      <c r="H1012" s="2">
        <f t="shared" si="31"/>
        <v>2800000</v>
      </c>
      <c r="I1012" t="s">
        <v>594</v>
      </c>
      <c r="J1012" t="s">
        <v>173</v>
      </c>
      <c r="K1012" t="s">
        <v>2216</v>
      </c>
      <c r="L1012" t="s">
        <v>174</v>
      </c>
      <c r="M1012" t="s">
        <v>16</v>
      </c>
      <c r="N1012" t="s">
        <v>1546</v>
      </c>
    </row>
    <row r="1013" spans="1:14" x14ac:dyDescent="0.35">
      <c r="A1013" t="s">
        <v>2028</v>
      </c>
      <c r="B1013" t="s">
        <v>18</v>
      </c>
      <c r="C1013">
        <v>5</v>
      </c>
      <c r="D1013">
        <v>5</v>
      </c>
      <c r="E1013" s="1">
        <v>240</v>
      </c>
      <c r="F1013" s="3">
        <v>2800000</v>
      </c>
      <c r="G1013" s="2">
        <f t="shared" si="30"/>
        <v>11666.666666666666</v>
      </c>
      <c r="H1013" s="2">
        <f t="shared" si="31"/>
        <v>2800000</v>
      </c>
      <c r="I1013" t="s">
        <v>573</v>
      </c>
      <c r="J1013" t="s">
        <v>145</v>
      </c>
      <c r="K1013" t="s">
        <v>2216</v>
      </c>
      <c r="L1013" t="s">
        <v>146</v>
      </c>
      <c r="M1013" t="s">
        <v>16</v>
      </c>
      <c r="N1013" t="s">
        <v>1999</v>
      </c>
    </row>
    <row r="1014" spans="1:14" x14ac:dyDescent="0.35">
      <c r="A1014" t="s">
        <v>2191</v>
      </c>
      <c r="B1014" t="s">
        <v>18</v>
      </c>
      <c r="C1014">
        <v>8</v>
      </c>
      <c r="D1014">
        <v>6</v>
      </c>
      <c r="E1014" s="1">
        <v>437</v>
      </c>
      <c r="F1014" s="3">
        <v>2800000</v>
      </c>
      <c r="G1014" s="2">
        <f t="shared" si="30"/>
        <v>6407.322654462243</v>
      </c>
      <c r="H1014" s="2">
        <f t="shared" si="31"/>
        <v>2800000</v>
      </c>
      <c r="I1014" t="s">
        <v>2192</v>
      </c>
      <c r="J1014" t="s">
        <v>28</v>
      </c>
      <c r="K1014" t="s">
        <v>2217</v>
      </c>
      <c r="L1014" t="s">
        <v>29</v>
      </c>
      <c r="M1014" t="s">
        <v>16</v>
      </c>
      <c r="N1014" t="s">
        <v>2193</v>
      </c>
    </row>
    <row r="1015" spans="1:14" x14ac:dyDescent="0.35">
      <c r="A1015" t="s">
        <v>1385</v>
      </c>
      <c r="B1015" t="s">
        <v>18</v>
      </c>
      <c r="C1015">
        <v>5</v>
      </c>
      <c r="D1015">
        <v>3</v>
      </c>
      <c r="E1015" s="1">
        <v>300</v>
      </c>
      <c r="F1015" s="3">
        <v>2850000</v>
      </c>
      <c r="G1015" s="2">
        <f t="shared" si="30"/>
        <v>9500</v>
      </c>
      <c r="H1015" s="2">
        <f t="shared" si="31"/>
        <v>2850000</v>
      </c>
      <c r="I1015" t="s">
        <v>1386</v>
      </c>
      <c r="J1015" t="s">
        <v>173</v>
      </c>
      <c r="K1015" t="s">
        <v>2216</v>
      </c>
      <c r="L1015" t="s">
        <v>174</v>
      </c>
      <c r="M1015" t="s">
        <v>16</v>
      </c>
      <c r="N1015" t="s">
        <v>624</v>
      </c>
    </row>
    <row r="1016" spans="1:14" x14ac:dyDescent="0.35">
      <c r="A1016" t="s">
        <v>1746</v>
      </c>
      <c r="B1016" t="s">
        <v>18</v>
      </c>
      <c r="C1016">
        <v>5</v>
      </c>
      <c r="D1016">
        <v>5</v>
      </c>
      <c r="E1016" s="1">
        <v>400</v>
      </c>
      <c r="F1016" s="3">
        <v>2850000</v>
      </c>
      <c r="G1016" s="2">
        <f t="shared" si="30"/>
        <v>7125</v>
      </c>
      <c r="H1016" s="2">
        <f t="shared" si="31"/>
        <v>2850000</v>
      </c>
      <c r="I1016" t="s">
        <v>1747</v>
      </c>
      <c r="J1016" t="s">
        <v>28</v>
      </c>
      <c r="K1016" t="s">
        <v>2217</v>
      </c>
      <c r="L1016" t="s">
        <v>29</v>
      </c>
      <c r="M1016" t="s">
        <v>16</v>
      </c>
      <c r="N1016" t="s">
        <v>1602</v>
      </c>
    </row>
    <row r="1017" spans="1:14" x14ac:dyDescent="0.35">
      <c r="A1017" t="s">
        <v>1021</v>
      </c>
      <c r="B1017" t="s">
        <v>18</v>
      </c>
      <c r="C1017">
        <v>5</v>
      </c>
      <c r="D1017">
        <v>6</v>
      </c>
      <c r="E1017" s="1">
        <v>250</v>
      </c>
      <c r="F1017" s="3">
        <v>2875000</v>
      </c>
      <c r="G1017" s="2">
        <f t="shared" si="30"/>
        <v>11500</v>
      </c>
      <c r="H1017" s="2">
        <f t="shared" si="31"/>
        <v>2875000</v>
      </c>
      <c r="I1017" t="s">
        <v>1022</v>
      </c>
      <c r="J1017" t="s">
        <v>125</v>
      </c>
      <c r="K1017" t="s">
        <v>2217</v>
      </c>
      <c r="L1017" t="s">
        <v>126</v>
      </c>
      <c r="M1017" t="s">
        <v>16</v>
      </c>
      <c r="N1017" t="s">
        <v>407</v>
      </c>
    </row>
    <row r="1018" spans="1:14" x14ac:dyDescent="0.35">
      <c r="A1018" t="s">
        <v>677</v>
      </c>
      <c r="B1018" t="s">
        <v>18</v>
      </c>
      <c r="C1018">
        <v>3</v>
      </c>
      <c r="D1018">
        <v>5</v>
      </c>
      <c r="E1018" s="1">
        <v>250</v>
      </c>
      <c r="F1018" s="3">
        <v>2900000</v>
      </c>
      <c r="G1018" s="2">
        <f t="shared" si="30"/>
        <v>11600</v>
      </c>
      <c r="H1018" s="2">
        <f t="shared" si="31"/>
        <v>2900000</v>
      </c>
      <c r="I1018" t="s">
        <v>678</v>
      </c>
      <c r="J1018" t="s">
        <v>233</v>
      </c>
      <c r="K1018" t="s">
        <v>2216</v>
      </c>
      <c r="L1018" t="s">
        <v>234</v>
      </c>
      <c r="M1018" t="s">
        <v>16</v>
      </c>
      <c r="N1018" t="s">
        <v>2242</v>
      </c>
    </row>
    <row r="1019" spans="1:14" hidden="1" x14ac:dyDescent="0.35">
      <c r="A1019" t="s">
        <v>1256</v>
      </c>
      <c r="B1019" t="s">
        <v>66</v>
      </c>
      <c r="C1019">
        <v>4</v>
      </c>
      <c r="D1019">
        <v>3</v>
      </c>
      <c r="E1019" s="1">
        <v>141</v>
      </c>
      <c r="F1019" s="3">
        <v>2912000</v>
      </c>
      <c r="G1019" s="2">
        <f t="shared" si="30"/>
        <v>20652.482269503547</v>
      </c>
      <c r="H1019" s="2">
        <f t="shared" si="31"/>
        <v>2912000</v>
      </c>
      <c r="I1019" t="s">
        <v>1257</v>
      </c>
      <c r="J1019" t="s">
        <v>387</v>
      </c>
      <c r="K1019" t="s">
        <v>2216</v>
      </c>
      <c r="L1019" t="s">
        <v>388</v>
      </c>
      <c r="M1019" t="s">
        <v>16</v>
      </c>
      <c r="N1019" t="s">
        <v>1258</v>
      </c>
    </row>
    <row r="1020" spans="1:14" x14ac:dyDescent="0.35">
      <c r="A1020" t="s">
        <v>1462</v>
      </c>
      <c r="B1020" t="s">
        <v>18</v>
      </c>
      <c r="C1020">
        <v>5</v>
      </c>
      <c r="D1020">
        <v>6</v>
      </c>
      <c r="E1020" s="1">
        <v>780</v>
      </c>
      <c r="F1020" s="3">
        <v>2964000</v>
      </c>
      <c r="G1020" s="2">
        <f t="shared" si="30"/>
        <v>3800</v>
      </c>
      <c r="H1020" s="2">
        <f t="shared" si="31"/>
        <v>2964000</v>
      </c>
      <c r="I1020" t="s">
        <v>1463</v>
      </c>
      <c r="J1020" t="s">
        <v>1464</v>
      </c>
      <c r="K1020" t="s">
        <v>2217</v>
      </c>
      <c r="L1020" t="s">
        <v>1465</v>
      </c>
      <c r="M1020" t="s">
        <v>16</v>
      </c>
      <c r="N1020" t="s">
        <v>1466</v>
      </c>
    </row>
    <row r="1021" spans="1:14" x14ac:dyDescent="0.35">
      <c r="A1021" t="s">
        <v>1629</v>
      </c>
      <c r="B1021" t="s">
        <v>18</v>
      </c>
      <c r="C1021">
        <v>8</v>
      </c>
      <c r="D1021">
        <v>6</v>
      </c>
      <c r="E1021" s="1">
        <v>309</v>
      </c>
      <c r="F1021" s="3">
        <v>2999986</v>
      </c>
      <c r="G1021" s="2">
        <f t="shared" si="30"/>
        <v>9708.6925566343034</v>
      </c>
      <c r="H1021" s="2">
        <f t="shared" si="31"/>
        <v>2999986</v>
      </c>
      <c r="I1021" t="s">
        <v>1245</v>
      </c>
      <c r="J1021" t="s">
        <v>28</v>
      </c>
      <c r="K1021" t="s">
        <v>2217</v>
      </c>
      <c r="L1021" t="s">
        <v>29</v>
      </c>
      <c r="M1021" t="s">
        <v>16</v>
      </c>
      <c r="N1021" t="s">
        <v>384</v>
      </c>
    </row>
    <row r="1022" spans="1:14" x14ac:dyDescent="0.35">
      <c r="A1022" t="s">
        <v>568</v>
      </c>
      <c r="B1022" t="s">
        <v>18</v>
      </c>
      <c r="C1022">
        <v>5</v>
      </c>
      <c r="D1022">
        <v>7</v>
      </c>
      <c r="E1022" s="1">
        <v>595</v>
      </c>
      <c r="F1022" s="3">
        <v>3000000</v>
      </c>
      <c r="G1022" s="2">
        <f t="shared" si="30"/>
        <v>5042.0168067226887</v>
      </c>
      <c r="H1022" s="2">
        <f t="shared" si="31"/>
        <v>3000000</v>
      </c>
      <c r="I1022" t="s">
        <v>569</v>
      </c>
      <c r="J1022" t="s">
        <v>570</v>
      </c>
      <c r="K1022" t="s">
        <v>2217</v>
      </c>
      <c r="L1022" t="s">
        <v>571</v>
      </c>
      <c r="M1022" t="s">
        <v>16</v>
      </c>
      <c r="N1022" t="s">
        <v>230</v>
      </c>
    </row>
    <row r="1023" spans="1:14" x14ac:dyDescent="0.35">
      <c r="A1023" t="s">
        <v>890</v>
      </c>
      <c r="B1023" t="s">
        <v>18</v>
      </c>
      <c r="C1023">
        <v>5</v>
      </c>
      <c r="D1023">
        <v>4</v>
      </c>
      <c r="E1023" s="1">
        <v>400</v>
      </c>
      <c r="F1023" s="3">
        <v>3000000</v>
      </c>
      <c r="G1023" s="2">
        <f t="shared" si="30"/>
        <v>7500</v>
      </c>
      <c r="H1023" s="2">
        <f t="shared" si="31"/>
        <v>3000000</v>
      </c>
      <c r="I1023" t="s">
        <v>891</v>
      </c>
      <c r="J1023" t="s">
        <v>164</v>
      </c>
      <c r="K1023" t="s">
        <v>2218</v>
      </c>
      <c r="L1023" t="s">
        <v>165</v>
      </c>
      <c r="M1023" t="s">
        <v>16</v>
      </c>
      <c r="N1023" t="s">
        <v>892</v>
      </c>
    </row>
    <row r="1024" spans="1:14" x14ac:dyDescent="0.35">
      <c r="A1024" t="s">
        <v>1106</v>
      </c>
      <c r="B1024" t="s">
        <v>18</v>
      </c>
      <c r="C1024">
        <v>3</v>
      </c>
      <c r="D1024">
        <v>2</v>
      </c>
      <c r="E1024" s="1">
        <v>500</v>
      </c>
      <c r="F1024" s="3">
        <v>3000000</v>
      </c>
      <c r="G1024" s="2">
        <f t="shared" si="30"/>
        <v>6000</v>
      </c>
      <c r="H1024" s="2">
        <f t="shared" si="31"/>
        <v>3000000</v>
      </c>
      <c r="I1024" t="s">
        <v>1107</v>
      </c>
      <c r="J1024" t="s">
        <v>291</v>
      </c>
      <c r="K1024" t="s">
        <v>2217</v>
      </c>
      <c r="L1024" t="s">
        <v>292</v>
      </c>
      <c r="M1024" t="s">
        <v>16</v>
      </c>
      <c r="N1024" t="s">
        <v>2242</v>
      </c>
    </row>
    <row r="1025" spans="1:14" x14ac:dyDescent="0.35">
      <c r="A1025" t="s">
        <v>1274</v>
      </c>
      <c r="B1025" t="s">
        <v>18</v>
      </c>
      <c r="C1025">
        <v>6</v>
      </c>
      <c r="D1025">
        <v>5</v>
      </c>
      <c r="E1025" s="1">
        <v>336</v>
      </c>
      <c r="F1025" s="3">
        <v>3000000</v>
      </c>
      <c r="G1025" s="2">
        <f t="shared" si="30"/>
        <v>8928.5714285714294</v>
      </c>
      <c r="H1025" s="2">
        <f t="shared" si="31"/>
        <v>3000000</v>
      </c>
      <c r="I1025" t="s">
        <v>1275</v>
      </c>
      <c r="J1025" t="s">
        <v>145</v>
      </c>
      <c r="K1025" t="s">
        <v>2216</v>
      </c>
      <c r="L1025" t="s">
        <v>146</v>
      </c>
      <c r="M1025" t="s">
        <v>16</v>
      </c>
      <c r="N1025" t="s">
        <v>1276</v>
      </c>
    </row>
    <row r="1026" spans="1:14" x14ac:dyDescent="0.35">
      <c r="A1026" t="s">
        <v>1449</v>
      </c>
      <c r="B1026" t="s">
        <v>18</v>
      </c>
      <c r="C1026">
        <v>7</v>
      </c>
      <c r="D1026">
        <v>5</v>
      </c>
      <c r="E1026" s="1">
        <v>600</v>
      </c>
      <c r="F1026" s="3">
        <v>3000000</v>
      </c>
      <c r="G1026" s="2">
        <f t="shared" si="30"/>
        <v>5000</v>
      </c>
      <c r="H1026" s="2">
        <f t="shared" si="31"/>
        <v>3000000</v>
      </c>
      <c r="I1026" t="s">
        <v>640</v>
      </c>
      <c r="J1026" t="s">
        <v>373</v>
      </c>
      <c r="K1026" t="s">
        <v>2218</v>
      </c>
      <c r="L1026" t="s">
        <v>374</v>
      </c>
      <c r="M1026" t="s">
        <v>16</v>
      </c>
      <c r="N1026" t="s">
        <v>948</v>
      </c>
    </row>
    <row r="1027" spans="1:14" x14ac:dyDescent="0.35">
      <c r="A1027" t="s">
        <v>1935</v>
      </c>
      <c r="B1027" t="s">
        <v>18</v>
      </c>
      <c r="C1027">
        <v>5</v>
      </c>
      <c r="D1027">
        <v>5</v>
      </c>
      <c r="E1027" s="1">
        <v>810</v>
      </c>
      <c r="F1027" s="3">
        <v>3000000</v>
      </c>
      <c r="G1027" s="2">
        <f t="shared" si="30"/>
        <v>3703.7037037037039</v>
      </c>
      <c r="H1027" s="2">
        <f t="shared" si="31"/>
        <v>3000000</v>
      </c>
      <c r="I1027" t="s">
        <v>1463</v>
      </c>
      <c r="J1027" t="s">
        <v>1464</v>
      </c>
      <c r="K1027" t="s">
        <v>2217</v>
      </c>
      <c r="L1027" t="s">
        <v>1465</v>
      </c>
      <c r="M1027" t="s">
        <v>16</v>
      </c>
      <c r="N1027" t="s">
        <v>948</v>
      </c>
    </row>
    <row r="1028" spans="1:14" x14ac:dyDescent="0.35">
      <c r="A1028" t="s">
        <v>2020</v>
      </c>
      <c r="B1028" t="s">
        <v>18</v>
      </c>
      <c r="C1028">
        <v>11</v>
      </c>
      <c r="D1028">
        <v>6</v>
      </c>
      <c r="E1028" s="1">
        <v>306</v>
      </c>
      <c r="F1028" s="3">
        <v>3000000</v>
      </c>
      <c r="G1028" s="2">
        <f t="shared" si="30"/>
        <v>9803.9215686274511</v>
      </c>
      <c r="H1028" s="2">
        <f t="shared" si="31"/>
        <v>3000000</v>
      </c>
      <c r="I1028" t="s">
        <v>2021</v>
      </c>
      <c r="J1028" t="s">
        <v>2022</v>
      </c>
      <c r="K1028" t="s">
        <v>2216</v>
      </c>
      <c r="L1028" t="s">
        <v>2023</v>
      </c>
      <c r="M1028" t="s">
        <v>16</v>
      </c>
      <c r="N1028" t="s">
        <v>55</v>
      </c>
    </row>
    <row r="1029" spans="1:14" x14ac:dyDescent="0.35">
      <c r="A1029" t="s">
        <v>2123</v>
      </c>
      <c r="B1029" t="s">
        <v>18</v>
      </c>
      <c r="C1029">
        <v>5</v>
      </c>
      <c r="D1029">
        <v>3</v>
      </c>
      <c r="E1029" s="1">
        <v>300</v>
      </c>
      <c r="F1029" s="3">
        <v>3000000</v>
      </c>
      <c r="G1029" s="2">
        <f t="shared" ref="G1029:G1092" si="32">IF(F1029&lt;50000,F1029,F1029/E1029)</f>
        <v>10000</v>
      </c>
      <c r="H1029" s="2">
        <f t="shared" ref="H1029:H1092" si="33">IF(F1029&lt;50000,E1029*F1029,F1029)</f>
        <v>3000000</v>
      </c>
      <c r="I1029" t="s">
        <v>2124</v>
      </c>
      <c r="J1029" t="s">
        <v>28</v>
      </c>
      <c r="K1029" t="s">
        <v>2217</v>
      </c>
      <c r="L1029" t="s">
        <v>29</v>
      </c>
      <c r="M1029" t="s">
        <v>16</v>
      </c>
      <c r="N1029" t="s">
        <v>2242</v>
      </c>
    </row>
    <row r="1030" spans="1:14" hidden="1" x14ac:dyDescent="0.35">
      <c r="A1030" t="s">
        <v>191</v>
      </c>
      <c r="B1030" t="s">
        <v>1033</v>
      </c>
      <c r="C1030">
        <v>0</v>
      </c>
      <c r="D1030">
        <v>0</v>
      </c>
      <c r="E1030" s="1">
        <v>432</v>
      </c>
      <c r="F1030" s="3">
        <v>7000</v>
      </c>
      <c r="G1030" s="2">
        <f t="shared" si="32"/>
        <v>7000</v>
      </c>
      <c r="H1030" s="2">
        <f t="shared" si="33"/>
        <v>3024000</v>
      </c>
      <c r="I1030" t="s">
        <v>2238</v>
      </c>
      <c r="J1030" t="s">
        <v>145</v>
      </c>
      <c r="K1030" t="s">
        <v>2216</v>
      </c>
      <c r="L1030" t="s">
        <v>146</v>
      </c>
      <c r="M1030" t="s">
        <v>16</v>
      </c>
      <c r="N1030" t="s">
        <v>2242</v>
      </c>
    </row>
    <row r="1031" spans="1:14" hidden="1" x14ac:dyDescent="0.35">
      <c r="A1031" t="s">
        <v>2096</v>
      </c>
      <c r="B1031" t="s">
        <v>1033</v>
      </c>
      <c r="C1031">
        <v>0</v>
      </c>
      <c r="D1031">
        <v>0</v>
      </c>
      <c r="E1031" s="1">
        <v>608</v>
      </c>
      <c r="F1031" s="3">
        <v>3040000</v>
      </c>
      <c r="G1031" s="2">
        <f t="shared" si="32"/>
        <v>5000</v>
      </c>
      <c r="H1031" s="2">
        <f t="shared" si="33"/>
        <v>3040000</v>
      </c>
      <c r="I1031" t="s">
        <v>2097</v>
      </c>
      <c r="J1031" t="s">
        <v>145</v>
      </c>
      <c r="K1031" t="s">
        <v>2216</v>
      </c>
      <c r="L1031" t="s">
        <v>146</v>
      </c>
      <c r="M1031" t="s">
        <v>16</v>
      </c>
      <c r="N1031" t="s">
        <v>2098</v>
      </c>
    </row>
    <row r="1032" spans="1:14" x14ac:dyDescent="0.35">
      <c r="A1032" t="s">
        <v>829</v>
      </c>
      <c r="B1032" t="s">
        <v>18</v>
      </c>
      <c r="C1032">
        <v>4</v>
      </c>
      <c r="D1032">
        <v>6</v>
      </c>
      <c r="E1032" s="1">
        <v>206</v>
      </c>
      <c r="F1032" s="3">
        <v>3100000</v>
      </c>
      <c r="G1032" s="2">
        <f t="shared" si="32"/>
        <v>15048.543689320388</v>
      </c>
      <c r="H1032" s="2">
        <f t="shared" si="33"/>
        <v>3100000</v>
      </c>
      <c r="I1032" t="s">
        <v>830</v>
      </c>
      <c r="J1032" t="s">
        <v>145</v>
      </c>
      <c r="K1032" t="s">
        <v>2216</v>
      </c>
      <c r="L1032" t="s">
        <v>146</v>
      </c>
      <c r="M1032" t="s">
        <v>16</v>
      </c>
      <c r="N1032" t="s">
        <v>2242</v>
      </c>
    </row>
    <row r="1033" spans="1:14" x14ac:dyDescent="0.35">
      <c r="A1033" t="s">
        <v>1998</v>
      </c>
      <c r="B1033" t="s">
        <v>18</v>
      </c>
      <c r="C1033">
        <v>5</v>
      </c>
      <c r="D1033">
        <v>5</v>
      </c>
      <c r="E1033" s="1">
        <v>312</v>
      </c>
      <c r="F1033" s="3">
        <v>3100000</v>
      </c>
      <c r="G1033" s="2">
        <f t="shared" si="32"/>
        <v>9935.8974358974356</v>
      </c>
      <c r="H1033" s="2">
        <f t="shared" si="33"/>
        <v>3100000</v>
      </c>
      <c r="I1033" t="s">
        <v>573</v>
      </c>
      <c r="J1033" t="s">
        <v>145</v>
      </c>
      <c r="K1033" t="s">
        <v>2216</v>
      </c>
      <c r="L1033" t="s">
        <v>146</v>
      </c>
      <c r="M1033" t="s">
        <v>16</v>
      </c>
      <c r="N1033" t="s">
        <v>1999</v>
      </c>
    </row>
    <row r="1034" spans="1:14" hidden="1" x14ac:dyDescent="0.35">
      <c r="A1034" t="s">
        <v>226</v>
      </c>
      <c r="B1034" t="s">
        <v>1033</v>
      </c>
      <c r="C1034">
        <v>0</v>
      </c>
      <c r="D1034">
        <v>0</v>
      </c>
      <c r="E1034" s="1">
        <v>523</v>
      </c>
      <c r="F1034" s="3">
        <v>6000</v>
      </c>
      <c r="G1034" s="2">
        <f t="shared" si="32"/>
        <v>6000</v>
      </c>
      <c r="H1034" s="2">
        <f t="shared" si="33"/>
        <v>3138000</v>
      </c>
      <c r="I1034" t="s">
        <v>227</v>
      </c>
      <c r="J1034" t="s">
        <v>145</v>
      </c>
      <c r="K1034" t="s">
        <v>2216</v>
      </c>
      <c r="L1034" t="s">
        <v>146</v>
      </c>
      <c r="M1034" t="s">
        <v>16</v>
      </c>
      <c r="N1034" t="s">
        <v>225</v>
      </c>
    </row>
    <row r="1035" spans="1:14" x14ac:dyDescent="0.35">
      <c r="A1035" t="s">
        <v>654</v>
      </c>
      <c r="B1035" t="s">
        <v>18</v>
      </c>
      <c r="C1035">
        <v>8</v>
      </c>
      <c r="D1035">
        <v>4</v>
      </c>
      <c r="E1035" s="1">
        <v>250</v>
      </c>
      <c r="F1035" s="3">
        <v>3150000</v>
      </c>
      <c r="G1035" s="2">
        <f t="shared" si="32"/>
        <v>12600</v>
      </c>
      <c r="H1035" s="2">
        <f t="shared" si="33"/>
        <v>3150000</v>
      </c>
      <c r="I1035" t="s">
        <v>221</v>
      </c>
      <c r="J1035" t="s">
        <v>173</v>
      </c>
      <c r="K1035" t="s">
        <v>2216</v>
      </c>
      <c r="L1035" t="s">
        <v>174</v>
      </c>
      <c r="M1035" t="s">
        <v>16</v>
      </c>
      <c r="N1035" t="s">
        <v>2242</v>
      </c>
    </row>
    <row r="1036" spans="1:14" x14ac:dyDescent="0.35">
      <c r="A1036" t="s">
        <v>1647</v>
      </c>
      <c r="B1036" t="s">
        <v>18</v>
      </c>
      <c r="C1036">
        <v>8</v>
      </c>
      <c r="D1036">
        <v>7</v>
      </c>
      <c r="E1036" s="1">
        <v>312</v>
      </c>
      <c r="F1036" s="3">
        <v>3200000</v>
      </c>
      <c r="G1036" s="2">
        <f t="shared" si="32"/>
        <v>10256.410256410256</v>
      </c>
      <c r="H1036" s="2">
        <f t="shared" si="33"/>
        <v>3200000</v>
      </c>
      <c r="I1036" t="s">
        <v>1648</v>
      </c>
      <c r="J1036" t="s">
        <v>145</v>
      </c>
      <c r="K1036" t="s">
        <v>2216</v>
      </c>
      <c r="L1036" t="s">
        <v>146</v>
      </c>
      <c r="M1036" t="s">
        <v>16</v>
      </c>
      <c r="N1036" t="s">
        <v>1579</v>
      </c>
    </row>
    <row r="1037" spans="1:14" x14ac:dyDescent="0.35">
      <c r="A1037" t="s">
        <v>1660</v>
      </c>
      <c r="B1037" t="s">
        <v>18</v>
      </c>
      <c r="C1037">
        <v>6</v>
      </c>
      <c r="D1037">
        <v>5</v>
      </c>
      <c r="E1037" s="1">
        <v>375</v>
      </c>
      <c r="F1037" s="3">
        <v>3200000</v>
      </c>
      <c r="G1037" s="2">
        <f t="shared" si="32"/>
        <v>8533.3333333333339</v>
      </c>
      <c r="H1037" s="2">
        <f t="shared" si="33"/>
        <v>3200000</v>
      </c>
      <c r="I1037" t="s">
        <v>1661</v>
      </c>
      <c r="J1037" t="s">
        <v>145</v>
      </c>
      <c r="K1037" t="s">
        <v>2216</v>
      </c>
      <c r="L1037" t="s">
        <v>146</v>
      </c>
      <c r="M1037" t="s">
        <v>16</v>
      </c>
      <c r="N1037" t="s">
        <v>2242</v>
      </c>
    </row>
    <row r="1038" spans="1:14" x14ac:dyDescent="0.35">
      <c r="A1038" t="s">
        <v>1816</v>
      </c>
      <c r="B1038" t="s">
        <v>18</v>
      </c>
      <c r="C1038">
        <v>10</v>
      </c>
      <c r="D1038">
        <v>8</v>
      </c>
      <c r="E1038" s="1">
        <v>450</v>
      </c>
      <c r="F1038" s="3">
        <v>3200000</v>
      </c>
      <c r="G1038" s="2">
        <f t="shared" si="32"/>
        <v>7111.1111111111113</v>
      </c>
      <c r="H1038" s="2">
        <f t="shared" si="33"/>
        <v>3200000</v>
      </c>
      <c r="I1038" t="s">
        <v>1817</v>
      </c>
      <c r="J1038" t="s">
        <v>164</v>
      </c>
      <c r="K1038" t="s">
        <v>2218</v>
      </c>
      <c r="L1038" t="s">
        <v>165</v>
      </c>
      <c r="M1038" t="s">
        <v>16</v>
      </c>
      <c r="N1038" t="s">
        <v>2242</v>
      </c>
    </row>
    <row r="1039" spans="1:14" hidden="1" x14ac:dyDescent="0.35">
      <c r="A1039" t="s">
        <v>1467</v>
      </c>
      <c r="B1039" t="s">
        <v>251</v>
      </c>
      <c r="C1039">
        <v>8</v>
      </c>
      <c r="D1039">
        <v>4</v>
      </c>
      <c r="E1039" s="1">
        <v>405</v>
      </c>
      <c r="F1039" s="3">
        <v>3240000</v>
      </c>
      <c r="G1039" s="2">
        <f t="shared" si="32"/>
        <v>8000</v>
      </c>
      <c r="H1039" s="2">
        <f t="shared" si="33"/>
        <v>3240000</v>
      </c>
      <c r="I1039" t="s">
        <v>1468</v>
      </c>
      <c r="J1039" t="s">
        <v>145</v>
      </c>
      <c r="K1039" t="s">
        <v>2216</v>
      </c>
      <c r="L1039" t="s">
        <v>146</v>
      </c>
      <c r="M1039" t="s">
        <v>16</v>
      </c>
      <c r="N1039" t="s">
        <v>948</v>
      </c>
    </row>
    <row r="1040" spans="1:14" x14ac:dyDescent="0.35">
      <c r="A1040" t="s">
        <v>1142</v>
      </c>
      <c r="B1040" t="s">
        <v>18</v>
      </c>
      <c r="C1040">
        <v>9</v>
      </c>
      <c r="D1040">
        <v>5</v>
      </c>
      <c r="E1040" s="1">
        <v>450</v>
      </c>
      <c r="F1040" s="3">
        <v>3250000</v>
      </c>
      <c r="G1040" s="2">
        <f t="shared" si="32"/>
        <v>7222.2222222222226</v>
      </c>
      <c r="H1040" s="2">
        <f t="shared" si="33"/>
        <v>3250000</v>
      </c>
      <c r="I1040" t="s">
        <v>891</v>
      </c>
      <c r="J1040" t="s">
        <v>164</v>
      </c>
      <c r="K1040" t="s">
        <v>2218</v>
      </c>
      <c r="L1040" t="s">
        <v>165</v>
      </c>
      <c r="M1040" t="s">
        <v>16</v>
      </c>
      <c r="N1040" t="s">
        <v>2242</v>
      </c>
    </row>
    <row r="1041" spans="1:14" x14ac:dyDescent="0.35">
      <c r="A1041" t="s">
        <v>1750</v>
      </c>
      <c r="B1041" t="s">
        <v>18</v>
      </c>
      <c r="C1041">
        <v>5</v>
      </c>
      <c r="D1041">
        <v>5</v>
      </c>
      <c r="E1041" s="1">
        <v>450</v>
      </c>
      <c r="F1041" s="3">
        <v>3250000</v>
      </c>
      <c r="G1041" s="2">
        <f t="shared" si="32"/>
        <v>7222.2222222222226</v>
      </c>
      <c r="H1041" s="2">
        <f t="shared" si="33"/>
        <v>3250000</v>
      </c>
      <c r="I1041" t="s">
        <v>1751</v>
      </c>
      <c r="J1041" t="s">
        <v>164</v>
      </c>
      <c r="K1041" t="s">
        <v>2218</v>
      </c>
      <c r="L1041" t="s">
        <v>165</v>
      </c>
      <c r="M1041" t="s">
        <v>16</v>
      </c>
      <c r="N1041" t="s">
        <v>892</v>
      </c>
    </row>
    <row r="1042" spans="1:14" x14ac:dyDescent="0.35">
      <c r="A1042" t="s">
        <v>306</v>
      </c>
      <c r="B1042" t="s">
        <v>18</v>
      </c>
      <c r="C1042">
        <v>3</v>
      </c>
      <c r="D1042">
        <v>5</v>
      </c>
      <c r="E1042" s="1">
        <v>250</v>
      </c>
      <c r="F1042" s="3">
        <v>3300000</v>
      </c>
      <c r="G1042" s="2">
        <f t="shared" si="32"/>
        <v>13200</v>
      </c>
      <c r="H1042" s="2">
        <f t="shared" si="33"/>
        <v>3300000</v>
      </c>
      <c r="I1042" t="s">
        <v>307</v>
      </c>
      <c r="J1042" t="s">
        <v>233</v>
      </c>
      <c r="K1042" t="s">
        <v>2216</v>
      </c>
      <c r="L1042" t="s">
        <v>234</v>
      </c>
      <c r="M1042" t="s">
        <v>16</v>
      </c>
      <c r="N1042" t="s">
        <v>2242</v>
      </c>
    </row>
    <row r="1043" spans="1:14" x14ac:dyDescent="0.35">
      <c r="A1043" t="s">
        <v>851</v>
      </c>
      <c r="B1043" t="s">
        <v>18</v>
      </c>
      <c r="C1043">
        <v>10</v>
      </c>
      <c r="D1043">
        <v>10</v>
      </c>
      <c r="E1043" s="1">
        <v>385</v>
      </c>
      <c r="F1043" s="3">
        <v>3300000</v>
      </c>
      <c r="G1043" s="2">
        <f t="shared" si="32"/>
        <v>8571.4285714285706</v>
      </c>
      <c r="H1043" s="2">
        <f t="shared" si="33"/>
        <v>3300000</v>
      </c>
      <c r="I1043" t="s">
        <v>852</v>
      </c>
      <c r="J1043" t="s">
        <v>382</v>
      </c>
      <c r="K1043" t="s">
        <v>2217</v>
      </c>
      <c r="L1043" t="s">
        <v>383</v>
      </c>
      <c r="M1043" t="s">
        <v>16</v>
      </c>
      <c r="N1043" t="s">
        <v>2242</v>
      </c>
    </row>
    <row r="1044" spans="1:14" x14ac:dyDescent="0.35">
      <c r="A1044" t="s">
        <v>1167</v>
      </c>
      <c r="B1044" t="s">
        <v>18</v>
      </c>
      <c r="C1044">
        <v>6</v>
      </c>
      <c r="D1044">
        <v>5</v>
      </c>
      <c r="E1044" s="1">
        <v>288</v>
      </c>
      <c r="F1044" s="3">
        <v>3300000</v>
      </c>
      <c r="G1044" s="2">
        <f t="shared" si="32"/>
        <v>11458.333333333334</v>
      </c>
      <c r="H1044" s="2">
        <f t="shared" si="33"/>
        <v>3300000</v>
      </c>
      <c r="I1044" t="s">
        <v>1168</v>
      </c>
      <c r="J1044" t="s">
        <v>173</v>
      </c>
      <c r="K1044" t="s">
        <v>2216</v>
      </c>
      <c r="L1044" t="s">
        <v>174</v>
      </c>
      <c r="M1044" t="s">
        <v>16</v>
      </c>
      <c r="N1044" t="s">
        <v>1169</v>
      </c>
    </row>
    <row r="1045" spans="1:14" x14ac:dyDescent="0.35">
      <c r="A1045" t="s">
        <v>1815</v>
      </c>
      <c r="B1045" t="s">
        <v>18</v>
      </c>
      <c r="C1045">
        <v>10</v>
      </c>
      <c r="D1045">
        <v>9</v>
      </c>
      <c r="E1045" s="1">
        <v>432</v>
      </c>
      <c r="F1045" s="3">
        <v>3300000</v>
      </c>
      <c r="G1045" s="2">
        <f t="shared" si="32"/>
        <v>7638.8888888888887</v>
      </c>
      <c r="H1045" s="2">
        <f t="shared" si="33"/>
        <v>3300000</v>
      </c>
      <c r="I1045" t="s">
        <v>891</v>
      </c>
      <c r="J1045" t="s">
        <v>164</v>
      </c>
      <c r="K1045" t="s">
        <v>2218</v>
      </c>
      <c r="L1045" t="s">
        <v>165</v>
      </c>
      <c r="M1045" t="s">
        <v>16</v>
      </c>
      <c r="N1045" t="s">
        <v>2242</v>
      </c>
    </row>
    <row r="1046" spans="1:14" x14ac:dyDescent="0.35">
      <c r="A1046" t="s">
        <v>827</v>
      </c>
      <c r="B1046" t="s">
        <v>18</v>
      </c>
      <c r="C1046">
        <v>4</v>
      </c>
      <c r="D1046">
        <v>4</v>
      </c>
      <c r="E1046" s="1">
        <v>270</v>
      </c>
      <c r="F1046" s="3">
        <v>3350000</v>
      </c>
      <c r="G1046" s="2">
        <f t="shared" si="32"/>
        <v>12407.407407407407</v>
      </c>
      <c r="H1046" s="2">
        <f t="shared" si="33"/>
        <v>3350000</v>
      </c>
      <c r="I1046" t="s">
        <v>828</v>
      </c>
      <c r="J1046" t="s">
        <v>346</v>
      </c>
      <c r="K1046" t="s">
        <v>2216</v>
      </c>
      <c r="L1046" t="s">
        <v>347</v>
      </c>
      <c r="M1046" t="s">
        <v>16</v>
      </c>
      <c r="N1046" t="s">
        <v>2242</v>
      </c>
    </row>
    <row r="1047" spans="1:14" x14ac:dyDescent="0.35">
      <c r="A1047" t="s">
        <v>1073</v>
      </c>
      <c r="B1047" t="s">
        <v>18</v>
      </c>
      <c r="C1047">
        <v>5</v>
      </c>
      <c r="D1047">
        <v>3</v>
      </c>
      <c r="E1047" s="1">
        <v>300</v>
      </c>
      <c r="F1047" s="3">
        <v>3357000</v>
      </c>
      <c r="G1047" s="2">
        <f t="shared" si="32"/>
        <v>11190</v>
      </c>
      <c r="H1047" s="2">
        <f t="shared" si="33"/>
        <v>3357000</v>
      </c>
      <c r="I1047" t="s">
        <v>259</v>
      </c>
      <c r="J1047" t="s">
        <v>173</v>
      </c>
      <c r="K1047" t="s">
        <v>2216</v>
      </c>
      <c r="L1047" t="s">
        <v>174</v>
      </c>
      <c r="M1047" t="s">
        <v>16</v>
      </c>
      <c r="N1047" t="s">
        <v>1074</v>
      </c>
    </row>
    <row r="1048" spans="1:14" x14ac:dyDescent="0.35">
      <c r="A1048" t="s">
        <v>1376</v>
      </c>
      <c r="B1048" t="s">
        <v>18</v>
      </c>
      <c r="C1048">
        <v>4</v>
      </c>
      <c r="D1048">
        <v>3</v>
      </c>
      <c r="E1048" s="1">
        <v>300</v>
      </c>
      <c r="F1048" s="3">
        <v>3357000</v>
      </c>
      <c r="G1048" s="2">
        <f t="shared" si="32"/>
        <v>11190</v>
      </c>
      <c r="H1048" s="2">
        <f t="shared" si="33"/>
        <v>3357000</v>
      </c>
      <c r="I1048" t="s">
        <v>1377</v>
      </c>
      <c r="J1048" t="s">
        <v>173</v>
      </c>
      <c r="K1048" t="s">
        <v>2216</v>
      </c>
      <c r="L1048" t="s">
        <v>174</v>
      </c>
      <c r="M1048" t="s">
        <v>16</v>
      </c>
      <c r="N1048" t="s">
        <v>2242</v>
      </c>
    </row>
    <row r="1049" spans="1:14" x14ac:dyDescent="0.35">
      <c r="A1049" t="s">
        <v>305</v>
      </c>
      <c r="B1049" t="s">
        <v>18</v>
      </c>
      <c r="C1049">
        <v>3</v>
      </c>
      <c r="D1049">
        <v>5</v>
      </c>
      <c r="E1049" s="1">
        <v>250</v>
      </c>
      <c r="F1049" s="3">
        <v>3400000</v>
      </c>
      <c r="G1049" s="2">
        <f t="shared" si="32"/>
        <v>13600</v>
      </c>
      <c r="H1049" s="2">
        <f t="shared" si="33"/>
        <v>3400000</v>
      </c>
      <c r="I1049" t="s">
        <v>232</v>
      </c>
      <c r="J1049" t="s">
        <v>233</v>
      </c>
      <c r="K1049" t="s">
        <v>2216</v>
      </c>
      <c r="L1049" t="s">
        <v>234</v>
      </c>
      <c r="M1049" t="s">
        <v>16</v>
      </c>
      <c r="N1049" t="s">
        <v>2242</v>
      </c>
    </row>
    <row r="1050" spans="1:14" x14ac:dyDescent="0.35">
      <c r="A1050" t="s">
        <v>1238</v>
      </c>
      <c r="B1050" t="s">
        <v>18</v>
      </c>
      <c r="C1050">
        <v>3</v>
      </c>
      <c r="D1050">
        <v>5</v>
      </c>
      <c r="E1050" s="1">
        <v>200</v>
      </c>
      <c r="F1050" s="3">
        <v>3400000</v>
      </c>
      <c r="G1050" s="2">
        <f t="shared" si="32"/>
        <v>17000</v>
      </c>
      <c r="H1050" s="2">
        <f t="shared" si="33"/>
        <v>3400000</v>
      </c>
      <c r="I1050" t="s">
        <v>1239</v>
      </c>
      <c r="J1050" t="s">
        <v>173</v>
      </c>
      <c r="K1050" t="s">
        <v>2216</v>
      </c>
      <c r="L1050" t="s">
        <v>174</v>
      </c>
      <c r="M1050" t="s">
        <v>16</v>
      </c>
      <c r="N1050" t="s">
        <v>2242</v>
      </c>
    </row>
    <row r="1051" spans="1:14" x14ac:dyDescent="0.35">
      <c r="A1051" t="s">
        <v>1327</v>
      </c>
      <c r="B1051" t="s">
        <v>18</v>
      </c>
      <c r="C1051">
        <v>10</v>
      </c>
      <c r="D1051">
        <v>7</v>
      </c>
      <c r="E1051" s="1">
        <v>434</v>
      </c>
      <c r="F1051" s="3">
        <v>3400000</v>
      </c>
      <c r="G1051" s="2">
        <f t="shared" si="32"/>
        <v>7834.1013824884794</v>
      </c>
      <c r="H1051" s="2">
        <f t="shared" si="33"/>
        <v>3400000</v>
      </c>
      <c r="I1051" t="s">
        <v>647</v>
      </c>
      <c r="J1051" t="s">
        <v>145</v>
      </c>
      <c r="K1051" t="s">
        <v>2216</v>
      </c>
      <c r="L1051" t="s">
        <v>146</v>
      </c>
      <c r="M1051" t="s">
        <v>16</v>
      </c>
      <c r="N1051" t="s">
        <v>1294</v>
      </c>
    </row>
    <row r="1052" spans="1:14" x14ac:dyDescent="0.35">
      <c r="A1052" t="s">
        <v>1341</v>
      </c>
      <c r="B1052" t="s">
        <v>18</v>
      </c>
      <c r="C1052">
        <v>5</v>
      </c>
      <c r="D1052">
        <v>5</v>
      </c>
      <c r="E1052" s="1">
        <v>300</v>
      </c>
      <c r="F1052" s="3">
        <v>3400000</v>
      </c>
      <c r="G1052" s="2">
        <f t="shared" si="32"/>
        <v>11333.333333333334</v>
      </c>
      <c r="H1052" s="2">
        <f t="shared" si="33"/>
        <v>3400000</v>
      </c>
      <c r="I1052" t="s">
        <v>1342</v>
      </c>
      <c r="J1052" t="s">
        <v>346</v>
      </c>
      <c r="K1052" t="s">
        <v>2216</v>
      </c>
      <c r="L1052" t="s">
        <v>347</v>
      </c>
      <c r="M1052" t="s">
        <v>16</v>
      </c>
      <c r="N1052" t="s">
        <v>2242</v>
      </c>
    </row>
    <row r="1053" spans="1:14" x14ac:dyDescent="0.35">
      <c r="A1053" t="s">
        <v>1344</v>
      </c>
      <c r="B1053" t="s">
        <v>18</v>
      </c>
      <c r="C1053">
        <v>5</v>
      </c>
      <c r="D1053">
        <v>5</v>
      </c>
      <c r="E1053" s="1">
        <v>300</v>
      </c>
      <c r="F1053" s="3">
        <v>3400000</v>
      </c>
      <c r="G1053" s="2">
        <f t="shared" si="32"/>
        <v>11333.333333333334</v>
      </c>
      <c r="H1053" s="2">
        <f t="shared" si="33"/>
        <v>3400000</v>
      </c>
      <c r="I1053" t="s">
        <v>1342</v>
      </c>
      <c r="J1053" t="s">
        <v>346</v>
      </c>
      <c r="K1053" t="s">
        <v>2216</v>
      </c>
      <c r="L1053" t="s">
        <v>347</v>
      </c>
      <c r="M1053" t="s">
        <v>16</v>
      </c>
      <c r="N1053" t="s">
        <v>1074</v>
      </c>
    </row>
    <row r="1054" spans="1:14" x14ac:dyDescent="0.35">
      <c r="A1054" t="s">
        <v>1651</v>
      </c>
      <c r="B1054" t="s">
        <v>18</v>
      </c>
      <c r="C1054">
        <v>5</v>
      </c>
      <c r="D1054">
        <v>6</v>
      </c>
      <c r="E1054" s="1">
        <v>252</v>
      </c>
      <c r="F1054" s="3">
        <v>3400000</v>
      </c>
      <c r="G1054" s="2">
        <f t="shared" si="32"/>
        <v>13492.063492063493</v>
      </c>
      <c r="H1054" s="2">
        <f t="shared" si="33"/>
        <v>3400000</v>
      </c>
      <c r="I1054" t="s">
        <v>1652</v>
      </c>
      <c r="J1054" t="s">
        <v>173</v>
      </c>
      <c r="K1054" t="s">
        <v>2216</v>
      </c>
      <c r="L1054" t="s">
        <v>174</v>
      </c>
      <c r="M1054" t="s">
        <v>16</v>
      </c>
      <c r="N1054" t="s">
        <v>2242</v>
      </c>
    </row>
    <row r="1055" spans="1:14" x14ac:dyDescent="0.35">
      <c r="A1055" t="s">
        <v>1760</v>
      </c>
      <c r="B1055" t="s">
        <v>18</v>
      </c>
      <c r="C1055">
        <v>9</v>
      </c>
      <c r="D1055">
        <v>6</v>
      </c>
      <c r="E1055" s="1">
        <v>375</v>
      </c>
      <c r="F1055" s="3">
        <v>3400000</v>
      </c>
      <c r="G1055" s="2">
        <f t="shared" si="32"/>
        <v>9066.6666666666661</v>
      </c>
      <c r="H1055" s="2">
        <f t="shared" si="33"/>
        <v>3400000</v>
      </c>
      <c r="I1055" t="s">
        <v>1022</v>
      </c>
      <c r="J1055" t="s">
        <v>125</v>
      </c>
      <c r="K1055" t="s">
        <v>2217</v>
      </c>
      <c r="L1055" t="s">
        <v>126</v>
      </c>
      <c r="M1055" t="s">
        <v>16</v>
      </c>
      <c r="N1055" t="s">
        <v>624</v>
      </c>
    </row>
    <row r="1056" spans="1:14" x14ac:dyDescent="0.35">
      <c r="A1056" t="s">
        <v>1761</v>
      </c>
      <c r="B1056" t="s">
        <v>18</v>
      </c>
      <c r="C1056">
        <v>4</v>
      </c>
      <c r="D1056">
        <v>3</v>
      </c>
      <c r="E1056" s="1">
        <v>375</v>
      </c>
      <c r="F1056" s="3">
        <v>3400000</v>
      </c>
      <c r="G1056" s="2">
        <f t="shared" si="32"/>
        <v>9066.6666666666661</v>
      </c>
      <c r="H1056" s="2">
        <f t="shared" si="33"/>
        <v>3400000</v>
      </c>
      <c r="I1056" t="s">
        <v>1022</v>
      </c>
      <c r="J1056" t="s">
        <v>125</v>
      </c>
      <c r="K1056" t="s">
        <v>2217</v>
      </c>
      <c r="L1056" t="s">
        <v>126</v>
      </c>
      <c r="M1056" t="s">
        <v>16</v>
      </c>
      <c r="N1056" t="s">
        <v>624</v>
      </c>
    </row>
    <row r="1057" spans="1:14" x14ac:dyDescent="0.35">
      <c r="A1057" t="s">
        <v>1762</v>
      </c>
      <c r="B1057" t="s">
        <v>18</v>
      </c>
      <c r="C1057">
        <v>9</v>
      </c>
      <c r="D1057">
        <v>6</v>
      </c>
      <c r="E1057" s="1">
        <v>375</v>
      </c>
      <c r="F1057" s="3">
        <v>3400000</v>
      </c>
      <c r="G1057" s="2">
        <f t="shared" si="32"/>
        <v>9066.6666666666661</v>
      </c>
      <c r="H1057" s="2">
        <f t="shared" si="33"/>
        <v>3400000</v>
      </c>
      <c r="I1057" t="s">
        <v>1022</v>
      </c>
      <c r="J1057" t="s">
        <v>125</v>
      </c>
      <c r="K1057" t="s">
        <v>2217</v>
      </c>
      <c r="L1057" t="s">
        <v>126</v>
      </c>
      <c r="M1057" t="s">
        <v>16</v>
      </c>
      <c r="N1057" t="s">
        <v>624</v>
      </c>
    </row>
    <row r="1058" spans="1:14" x14ac:dyDescent="0.35">
      <c r="A1058" t="s">
        <v>1763</v>
      </c>
      <c r="B1058" t="s">
        <v>18</v>
      </c>
      <c r="C1058">
        <v>9</v>
      </c>
      <c r="D1058">
        <v>6</v>
      </c>
      <c r="E1058" s="1">
        <v>375</v>
      </c>
      <c r="F1058" s="3">
        <v>3400000</v>
      </c>
      <c r="G1058" s="2">
        <f t="shared" si="32"/>
        <v>9066.6666666666661</v>
      </c>
      <c r="H1058" s="2">
        <f t="shared" si="33"/>
        <v>3400000</v>
      </c>
      <c r="I1058" t="s">
        <v>1022</v>
      </c>
      <c r="J1058" t="s">
        <v>125</v>
      </c>
      <c r="K1058" t="s">
        <v>2217</v>
      </c>
      <c r="L1058" t="s">
        <v>126</v>
      </c>
      <c r="M1058" t="s">
        <v>16</v>
      </c>
      <c r="N1058" t="s">
        <v>624</v>
      </c>
    </row>
    <row r="1059" spans="1:14" x14ac:dyDescent="0.35">
      <c r="A1059" t="s">
        <v>2183</v>
      </c>
      <c r="B1059" t="s">
        <v>18</v>
      </c>
      <c r="C1059">
        <v>5</v>
      </c>
      <c r="D1059">
        <v>5</v>
      </c>
      <c r="E1059" s="1">
        <v>300</v>
      </c>
      <c r="F1059" s="3">
        <v>3400000</v>
      </c>
      <c r="G1059" s="2">
        <f t="shared" si="32"/>
        <v>11333.333333333334</v>
      </c>
      <c r="H1059" s="2">
        <f t="shared" si="33"/>
        <v>3400000</v>
      </c>
      <c r="I1059" t="s">
        <v>1342</v>
      </c>
      <c r="J1059" t="s">
        <v>346</v>
      </c>
      <c r="K1059" t="s">
        <v>2216</v>
      </c>
      <c r="L1059" t="s">
        <v>347</v>
      </c>
      <c r="M1059" t="s">
        <v>16</v>
      </c>
      <c r="N1059" t="s">
        <v>1074</v>
      </c>
    </row>
    <row r="1060" spans="1:14" x14ac:dyDescent="0.35">
      <c r="A1060" t="s">
        <v>2137</v>
      </c>
      <c r="B1060" t="s">
        <v>18</v>
      </c>
      <c r="C1060">
        <v>4</v>
      </c>
      <c r="D1060">
        <v>3</v>
      </c>
      <c r="E1060" s="1">
        <v>600</v>
      </c>
      <c r="F1060" s="3">
        <v>3450000</v>
      </c>
      <c r="G1060" s="2">
        <f t="shared" si="32"/>
        <v>5750</v>
      </c>
      <c r="H1060" s="2">
        <f t="shared" si="33"/>
        <v>3450000</v>
      </c>
      <c r="I1060" t="s">
        <v>901</v>
      </c>
      <c r="J1060" t="s">
        <v>382</v>
      </c>
      <c r="K1060" t="s">
        <v>2217</v>
      </c>
      <c r="L1060" t="s">
        <v>383</v>
      </c>
      <c r="M1060" t="s">
        <v>16</v>
      </c>
      <c r="N1060" t="s">
        <v>77</v>
      </c>
    </row>
    <row r="1061" spans="1:14" x14ac:dyDescent="0.35">
      <c r="A1061" t="s">
        <v>2140</v>
      </c>
      <c r="B1061" t="s">
        <v>18</v>
      </c>
      <c r="C1061">
        <v>5</v>
      </c>
      <c r="D1061">
        <v>7</v>
      </c>
      <c r="E1061" s="1">
        <v>600</v>
      </c>
      <c r="F1061" s="3">
        <v>3450000</v>
      </c>
      <c r="G1061" s="2">
        <f t="shared" si="32"/>
        <v>5750</v>
      </c>
      <c r="H1061" s="2">
        <f t="shared" si="33"/>
        <v>3450000</v>
      </c>
      <c r="I1061" t="s">
        <v>852</v>
      </c>
      <c r="J1061" t="s">
        <v>382</v>
      </c>
      <c r="K1061" t="s">
        <v>2217</v>
      </c>
      <c r="L1061" t="s">
        <v>383</v>
      </c>
      <c r="M1061" t="s">
        <v>16</v>
      </c>
      <c r="N1061" t="s">
        <v>77</v>
      </c>
    </row>
    <row r="1062" spans="1:14" x14ac:dyDescent="0.35">
      <c r="A1062" t="s">
        <v>790</v>
      </c>
      <c r="B1062" t="s">
        <v>18</v>
      </c>
      <c r="C1062">
        <v>5</v>
      </c>
      <c r="D1062">
        <v>5</v>
      </c>
      <c r="E1062" s="1">
        <v>260</v>
      </c>
      <c r="F1062" s="3">
        <v>3464500</v>
      </c>
      <c r="G1062" s="2">
        <f t="shared" si="32"/>
        <v>13325</v>
      </c>
      <c r="H1062" s="2">
        <f t="shared" si="33"/>
        <v>3464500</v>
      </c>
      <c r="I1062" t="s">
        <v>221</v>
      </c>
      <c r="J1062" t="s">
        <v>173</v>
      </c>
      <c r="K1062" t="s">
        <v>2216</v>
      </c>
      <c r="L1062" t="s">
        <v>174</v>
      </c>
      <c r="M1062" t="s">
        <v>16</v>
      </c>
      <c r="N1062" t="s">
        <v>2242</v>
      </c>
    </row>
    <row r="1063" spans="1:14" x14ac:dyDescent="0.35">
      <c r="A1063" t="s">
        <v>2018</v>
      </c>
      <c r="B1063" t="s">
        <v>18</v>
      </c>
      <c r="C1063">
        <v>5</v>
      </c>
      <c r="D1063">
        <v>5</v>
      </c>
      <c r="E1063" s="1">
        <v>260</v>
      </c>
      <c r="F1063" s="3">
        <v>3464500</v>
      </c>
      <c r="G1063" s="2">
        <f t="shared" si="32"/>
        <v>13325</v>
      </c>
      <c r="H1063" s="2">
        <f t="shared" si="33"/>
        <v>3464500</v>
      </c>
      <c r="I1063" t="s">
        <v>259</v>
      </c>
      <c r="J1063" t="s">
        <v>173</v>
      </c>
      <c r="K1063" t="s">
        <v>2216</v>
      </c>
      <c r="L1063" t="s">
        <v>174</v>
      </c>
      <c r="M1063" t="s">
        <v>16</v>
      </c>
      <c r="N1063" t="s">
        <v>1074</v>
      </c>
    </row>
    <row r="1064" spans="1:14" x14ac:dyDescent="0.35">
      <c r="A1064" t="s">
        <v>395</v>
      </c>
      <c r="B1064" t="s">
        <v>18</v>
      </c>
      <c r="C1064">
        <v>4</v>
      </c>
      <c r="D1064">
        <v>4</v>
      </c>
      <c r="E1064" s="1">
        <v>425</v>
      </c>
      <c r="F1064" s="3">
        <v>3485000</v>
      </c>
      <c r="G1064" s="2">
        <f t="shared" si="32"/>
        <v>8200</v>
      </c>
      <c r="H1064" s="2">
        <f t="shared" si="33"/>
        <v>3485000</v>
      </c>
      <c r="I1064" t="s">
        <v>396</v>
      </c>
      <c r="J1064" t="s">
        <v>145</v>
      </c>
      <c r="K1064" t="s">
        <v>2216</v>
      </c>
      <c r="L1064" t="s">
        <v>146</v>
      </c>
      <c r="M1064" t="s">
        <v>16</v>
      </c>
      <c r="N1064" t="s">
        <v>2242</v>
      </c>
    </row>
    <row r="1065" spans="1:14" x14ac:dyDescent="0.35">
      <c r="A1065" t="s">
        <v>51</v>
      </c>
      <c r="B1065" t="s">
        <v>18</v>
      </c>
      <c r="C1065">
        <v>5</v>
      </c>
      <c r="D1065">
        <v>5</v>
      </c>
      <c r="E1065" s="1">
        <v>500</v>
      </c>
      <c r="F1065" s="3">
        <v>3500000</v>
      </c>
      <c r="G1065" s="2">
        <f t="shared" si="32"/>
        <v>7000</v>
      </c>
      <c r="H1065" s="2">
        <f t="shared" si="33"/>
        <v>3500000</v>
      </c>
      <c r="I1065" t="s">
        <v>52</v>
      </c>
      <c r="J1065" t="s">
        <v>53</v>
      </c>
      <c r="K1065" t="s">
        <v>2217</v>
      </c>
      <c r="L1065" t="s">
        <v>54</v>
      </c>
      <c r="M1065" t="s">
        <v>16</v>
      </c>
      <c r="N1065" t="s">
        <v>55</v>
      </c>
    </row>
    <row r="1066" spans="1:14" x14ac:dyDescent="0.35">
      <c r="A1066" t="s">
        <v>204</v>
      </c>
      <c r="B1066" t="s">
        <v>18</v>
      </c>
      <c r="C1066">
        <v>5</v>
      </c>
      <c r="D1066">
        <v>4</v>
      </c>
      <c r="E1066" s="1">
        <v>400</v>
      </c>
      <c r="F1066" s="3">
        <v>3500000</v>
      </c>
      <c r="G1066" s="2">
        <f t="shared" si="32"/>
        <v>8750</v>
      </c>
      <c r="H1066" s="2">
        <f t="shared" si="33"/>
        <v>3500000</v>
      </c>
      <c r="I1066" t="s">
        <v>205</v>
      </c>
      <c r="J1066" t="s">
        <v>164</v>
      </c>
      <c r="K1066" t="s">
        <v>2218</v>
      </c>
      <c r="L1066" t="s">
        <v>165</v>
      </c>
      <c r="M1066" t="s">
        <v>16</v>
      </c>
      <c r="N1066" t="s">
        <v>206</v>
      </c>
    </row>
    <row r="1067" spans="1:14" x14ac:dyDescent="0.35">
      <c r="A1067" t="s">
        <v>258</v>
      </c>
      <c r="B1067" t="s">
        <v>18</v>
      </c>
      <c r="C1067">
        <v>5</v>
      </c>
      <c r="D1067">
        <v>4</v>
      </c>
      <c r="E1067" s="1">
        <v>360</v>
      </c>
      <c r="F1067" s="3">
        <v>3500000</v>
      </c>
      <c r="G1067" s="2">
        <f t="shared" si="32"/>
        <v>9722.2222222222226</v>
      </c>
      <c r="H1067" s="2">
        <f t="shared" si="33"/>
        <v>3500000</v>
      </c>
      <c r="I1067" t="s">
        <v>259</v>
      </c>
      <c r="J1067" t="s">
        <v>173</v>
      </c>
      <c r="K1067" t="s">
        <v>2216</v>
      </c>
      <c r="L1067" t="s">
        <v>174</v>
      </c>
      <c r="M1067" t="s">
        <v>16</v>
      </c>
      <c r="N1067" t="s">
        <v>2242</v>
      </c>
    </row>
    <row r="1068" spans="1:14" ht="16" x14ac:dyDescent="0.45">
      <c r="A1068" t="s">
        <v>379</v>
      </c>
      <c r="B1068" t="s">
        <v>18</v>
      </c>
      <c r="C1068">
        <v>3</v>
      </c>
      <c r="D1068">
        <v>3</v>
      </c>
      <c r="E1068" s="1">
        <v>245</v>
      </c>
      <c r="F1068" s="3">
        <v>3500000</v>
      </c>
      <c r="G1068" s="2">
        <f t="shared" si="32"/>
        <v>14285.714285714286</v>
      </c>
      <c r="H1068" s="2">
        <f t="shared" si="33"/>
        <v>3500000</v>
      </c>
      <c r="I1068" s="4" t="s">
        <v>2221</v>
      </c>
      <c r="J1068" t="s">
        <v>40</v>
      </c>
      <c r="K1068" t="s">
        <v>2217</v>
      </c>
      <c r="L1068" t="s">
        <v>41</v>
      </c>
      <c r="M1068" t="s">
        <v>16</v>
      </c>
      <c r="N1068" t="s">
        <v>2242</v>
      </c>
    </row>
    <row r="1069" spans="1:14" x14ac:dyDescent="0.35">
      <c r="A1069" t="s">
        <v>566</v>
      </c>
      <c r="B1069" t="s">
        <v>18</v>
      </c>
      <c r="C1069">
        <v>7</v>
      </c>
      <c r="D1069">
        <v>6</v>
      </c>
      <c r="E1069" s="1">
        <v>449</v>
      </c>
      <c r="F1069" s="3">
        <v>3500000</v>
      </c>
      <c r="G1069" s="2">
        <f t="shared" si="32"/>
        <v>7795.1002227171493</v>
      </c>
      <c r="H1069" s="2">
        <f t="shared" si="33"/>
        <v>3500000</v>
      </c>
      <c r="I1069" t="s">
        <v>163</v>
      </c>
      <c r="J1069" t="s">
        <v>164</v>
      </c>
      <c r="K1069" t="s">
        <v>2218</v>
      </c>
      <c r="L1069" t="s">
        <v>165</v>
      </c>
      <c r="M1069" t="s">
        <v>16</v>
      </c>
      <c r="N1069" t="s">
        <v>567</v>
      </c>
    </row>
    <row r="1070" spans="1:14" x14ac:dyDescent="0.35">
      <c r="A1070" t="s">
        <v>607</v>
      </c>
      <c r="B1070" t="s">
        <v>18</v>
      </c>
      <c r="C1070">
        <v>7</v>
      </c>
      <c r="D1070">
        <v>5</v>
      </c>
      <c r="E1070" s="1">
        <v>238</v>
      </c>
      <c r="F1070" s="3">
        <v>3500000</v>
      </c>
      <c r="G1070" s="2">
        <f t="shared" si="32"/>
        <v>14705.882352941177</v>
      </c>
      <c r="H1070" s="2">
        <f t="shared" si="33"/>
        <v>3500000</v>
      </c>
      <c r="I1070" t="s">
        <v>608</v>
      </c>
      <c r="J1070" t="s">
        <v>494</v>
      </c>
      <c r="K1070" t="s">
        <v>2217</v>
      </c>
      <c r="L1070" t="s">
        <v>495</v>
      </c>
      <c r="M1070" t="s">
        <v>16</v>
      </c>
      <c r="N1070" t="s">
        <v>609</v>
      </c>
    </row>
    <row r="1071" spans="1:14" hidden="1" x14ac:dyDescent="0.35">
      <c r="A1071" t="s">
        <v>701</v>
      </c>
      <c r="B1071" t="s">
        <v>1033</v>
      </c>
      <c r="C1071">
        <v>0</v>
      </c>
      <c r="D1071">
        <v>0</v>
      </c>
      <c r="E1071" s="1">
        <v>853</v>
      </c>
      <c r="F1071" s="3">
        <v>3500000</v>
      </c>
      <c r="G1071" s="2">
        <f t="shared" si="32"/>
        <v>4103.1652989449003</v>
      </c>
      <c r="H1071" s="2">
        <f t="shared" si="33"/>
        <v>3500000</v>
      </c>
      <c r="I1071" t="s">
        <v>702</v>
      </c>
      <c r="J1071" t="s">
        <v>125</v>
      </c>
      <c r="K1071" t="s">
        <v>2217</v>
      </c>
      <c r="L1071" t="s">
        <v>126</v>
      </c>
      <c r="M1071" t="s">
        <v>16</v>
      </c>
      <c r="N1071" t="s">
        <v>2242</v>
      </c>
    </row>
    <row r="1072" spans="1:14" x14ac:dyDescent="0.35">
      <c r="A1072" t="s">
        <v>703</v>
      </c>
      <c r="B1072" t="s">
        <v>18</v>
      </c>
      <c r="C1072">
        <v>5</v>
      </c>
      <c r="D1072">
        <v>5</v>
      </c>
      <c r="E1072" s="1">
        <v>800</v>
      </c>
      <c r="F1072" s="3">
        <v>3500000</v>
      </c>
      <c r="G1072" s="2">
        <f t="shared" si="32"/>
        <v>4375</v>
      </c>
      <c r="H1072" s="2">
        <f t="shared" si="33"/>
        <v>3500000</v>
      </c>
      <c r="I1072" t="s">
        <v>704</v>
      </c>
      <c r="J1072" t="s">
        <v>58</v>
      </c>
      <c r="K1072" t="s">
        <v>2216</v>
      </c>
      <c r="L1072" t="s">
        <v>59</v>
      </c>
      <c r="M1072" t="s">
        <v>16</v>
      </c>
      <c r="N1072" t="s">
        <v>705</v>
      </c>
    </row>
    <row r="1073" spans="1:14" x14ac:dyDescent="0.35">
      <c r="A1073" t="s">
        <v>1248</v>
      </c>
      <c r="B1073" t="s">
        <v>18</v>
      </c>
      <c r="C1073">
        <v>5</v>
      </c>
      <c r="D1073">
        <v>7</v>
      </c>
      <c r="E1073" s="1">
        <v>600</v>
      </c>
      <c r="F1073" s="3">
        <v>3500000</v>
      </c>
      <c r="G1073" s="2">
        <f t="shared" si="32"/>
        <v>5833.333333333333</v>
      </c>
      <c r="H1073" s="2">
        <f t="shared" si="33"/>
        <v>3500000</v>
      </c>
      <c r="I1073" t="s">
        <v>1249</v>
      </c>
      <c r="J1073" t="s">
        <v>382</v>
      </c>
      <c r="K1073" t="s">
        <v>2217</v>
      </c>
      <c r="L1073" t="s">
        <v>383</v>
      </c>
      <c r="M1073" t="s">
        <v>16</v>
      </c>
      <c r="N1073" t="s">
        <v>407</v>
      </c>
    </row>
    <row r="1074" spans="1:14" x14ac:dyDescent="0.35">
      <c r="A1074" t="s">
        <v>1300</v>
      </c>
      <c r="B1074" t="s">
        <v>18</v>
      </c>
      <c r="C1074">
        <v>3</v>
      </c>
      <c r="D1074">
        <v>3</v>
      </c>
      <c r="E1074" s="1">
        <v>418</v>
      </c>
      <c r="F1074" s="3">
        <v>3500000</v>
      </c>
      <c r="G1074" s="2">
        <f t="shared" si="32"/>
        <v>8373.2057416267944</v>
      </c>
      <c r="H1074" s="2">
        <f t="shared" si="33"/>
        <v>3500000</v>
      </c>
      <c r="I1074" t="s">
        <v>1288</v>
      </c>
      <c r="J1074" t="s">
        <v>164</v>
      </c>
      <c r="K1074" t="s">
        <v>2218</v>
      </c>
      <c r="L1074" t="s">
        <v>165</v>
      </c>
      <c r="M1074" t="s">
        <v>16</v>
      </c>
      <c r="N1074" t="s">
        <v>166</v>
      </c>
    </row>
    <row r="1075" spans="1:14" x14ac:dyDescent="0.35">
      <c r="A1075" t="s">
        <v>1440</v>
      </c>
      <c r="B1075" t="s">
        <v>18</v>
      </c>
      <c r="C1075">
        <v>8</v>
      </c>
      <c r="D1075">
        <v>6</v>
      </c>
      <c r="E1075" s="1">
        <v>600</v>
      </c>
      <c r="F1075" s="3">
        <v>3500000</v>
      </c>
      <c r="G1075" s="2">
        <f t="shared" si="32"/>
        <v>5833.333333333333</v>
      </c>
      <c r="H1075" s="2">
        <f t="shared" si="33"/>
        <v>3500000</v>
      </c>
      <c r="I1075" t="s">
        <v>1441</v>
      </c>
      <c r="J1075" t="s">
        <v>68</v>
      </c>
      <c r="K1075" t="s">
        <v>2218</v>
      </c>
      <c r="L1075" t="s">
        <v>69</v>
      </c>
      <c r="M1075" t="s">
        <v>16</v>
      </c>
      <c r="N1075" t="s">
        <v>1430</v>
      </c>
    </row>
    <row r="1076" spans="1:14" x14ac:dyDescent="0.35">
      <c r="A1076" t="s">
        <v>1606</v>
      </c>
      <c r="B1076" t="s">
        <v>18</v>
      </c>
      <c r="C1076">
        <v>7</v>
      </c>
      <c r="D1076">
        <v>5</v>
      </c>
      <c r="E1076" s="1">
        <v>309</v>
      </c>
      <c r="F1076" s="3">
        <v>3500000</v>
      </c>
      <c r="G1076" s="2">
        <f t="shared" si="32"/>
        <v>11326.860841423948</v>
      </c>
      <c r="H1076" s="2">
        <f t="shared" si="33"/>
        <v>3500000</v>
      </c>
      <c r="I1076" t="s">
        <v>1245</v>
      </c>
      <c r="J1076" t="s">
        <v>28</v>
      </c>
      <c r="K1076" t="s">
        <v>2217</v>
      </c>
      <c r="L1076" t="s">
        <v>29</v>
      </c>
      <c r="M1076" t="s">
        <v>16</v>
      </c>
      <c r="N1076" t="s">
        <v>2242</v>
      </c>
    </row>
    <row r="1077" spans="1:14" x14ac:dyDescent="0.35">
      <c r="A1077" t="s">
        <v>1641</v>
      </c>
      <c r="B1077" t="s">
        <v>18</v>
      </c>
      <c r="C1077">
        <v>11</v>
      </c>
      <c r="D1077">
        <v>7</v>
      </c>
      <c r="E1077" s="1">
        <v>315</v>
      </c>
      <c r="F1077" s="3">
        <v>3500000</v>
      </c>
      <c r="G1077" s="2">
        <f t="shared" si="32"/>
        <v>11111.111111111111</v>
      </c>
      <c r="H1077" s="2">
        <f t="shared" si="33"/>
        <v>3500000</v>
      </c>
      <c r="I1077" t="s">
        <v>1642</v>
      </c>
      <c r="J1077" t="s">
        <v>145</v>
      </c>
      <c r="K1077" t="s">
        <v>2216</v>
      </c>
      <c r="L1077" t="s">
        <v>146</v>
      </c>
      <c r="M1077" t="s">
        <v>16</v>
      </c>
      <c r="N1077" t="s">
        <v>1579</v>
      </c>
    </row>
    <row r="1078" spans="1:14" x14ac:dyDescent="0.35">
      <c r="A1078" t="s">
        <v>1907</v>
      </c>
      <c r="B1078" t="s">
        <v>18</v>
      </c>
      <c r="C1078">
        <v>8</v>
      </c>
      <c r="D1078">
        <v>5</v>
      </c>
      <c r="E1078" s="1">
        <v>625</v>
      </c>
      <c r="F1078" s="3">
        <v>3500000</v>
      </c>
      <c r="G1078" s="2">
        <f t="shared" si="32"/>
        <v>5600</v>
      </c>
      <c r="H1078" s="2">
        <f t="shared" si="33"/>
        <v>3500000</v>
      </c>
      <c r="I1078" t="s">
        <v>1908</v>
      </c>
      <c r="J1078" t="s">
        <v>923</v>
      </c>
      <c r="K1078" t="s">
        <v>2217</v>
      </c>
      <c r="L1078" t="s">
        <v>924</v>
      </c>
      <c r="M1078" t="s">
        <v>16</v>
      </c>
      <c r="N1078" t="s">
        <v>1905</v>
      </c>
    </row>
    <row r="1079" spans="1:14" x14ac:dyDescent="0.35">
      <c r="A1079" t="s">
        <v>1942</v>
      </c>
      <c r="B1079" t="s">
        <v>18</v>
      </c>
      <c r="C1079">
        <v>9</v>
      </c>
      <c r="D1079">
        <v>7</v>
      </c>
      <c r="E1079" s="1">
        <v>400</v>
      </c>
      <c r="F1079" s="3">
        <v>3500000</v>
      </c>
      <c r="G1079" s="2">
        <f t="shared" si="32"/>
        <v>8750</v>
      </c>
      <c r="H1079" s="2">
        <f t="shared" si="33"/>
        <v>3500000</v>
      </c>
      <c r="I1079" t="s">
        <v>1943</v>
      </c>
      <c r="J1079" t="s">
        <v>450</v>
      </c>
      <c r="K1079" t="s">
        <v>2216</v>
      </c>
      <c r="L1079" t="s">
        <v>451</v>
      </c>
      <c r="M1079" t="s">
        <v>16</v>
      </c>
      <c r="N1079" t="s">
        <v>2242</v>
      </c>
    </row>
    <row r="1080" spans="1:14" x14ac:dyDescent="0.35">
      <c r="A1080" t="s">
        <v>2128</v>
      </c>
      <c r="B1080" t="s">
        <v>18</v>
      </c>
      <c r="C1080">
        <v>5</v>
      </c>
      <c r="D1080">
        <v>8</v>
      </c>
      <c r="E1080" s="1">
        <v>300</v>
      </c>
      <c r="F1080" s="3">
        <v>3500000</v>
      </c>
      <c r="G1080" s="2">
        <f t="shared" si="32"/>
        <v>11666.666666666666</v>
      </c>
      <c r="H1080" s="2">
        <f t="shared" si="33"/>
        <v>3500000</v>
      </c>
      <c r="I1080" t="s">
        <v>647</v>
      </c>
      <c r="J1080" t="s">
        <v>145</v>
      </c>
      <c r="K1080" t="s">
        <v>2216</v>
      </c>
      <c r="L1080" t="s">
        <v>146</v>
      </c>
      <c r="M1080" t="s">
        <v>16</v>
      </c>
      <c r="N1080" t="s">
        <v>2242</v>
      </c>
    </row>
    <row r="1081" spans="1:14" x14ac:dyDescent="0.35">
      <c r="A1081" t="s">
        <v>2152</v>
      </c>
      <c r="B1081" t="s">
        <v>18</v>
      </c>
      <c r="C1081">
        <v>3</v>
      </c>
      <c r="D1081">
        <v>4</v>
      </c>
      <c r="E1081" s="1">
        <v>172</v>
      </c>
      <c r="F1081" s="3">
        <v>3500000</v>
      </c>
      <c r="G1081" s="2">
        <f t="shared" si="32"/>
        <v>20348.837209302324</v>
      </c>
      <c r="H1081" s="2">
        <f t="shared" si="33"/>
        <v>3500000</v>
      </c>
      <c r="I1081" t="s">
        <v>1596</v>
      </c>
      <c r="J1081" t="s">
        <v>218</v>
      </c>
      <c r="K1081" t="s">
        <v>2215</v>
      </c>
      <c r="L1081" t="s">
        <v>219</v>
      </c>
      <c r="M1081" t="s">
        <v>16</v>
      </c>
      <c r="N1081" t="s">
        <v>2153</v>
      </c>
    </row>
    <row r="1082" spans="1:14" x14ac:dyDescent="0.35">
      <c r="A1082" t="s">
        <v>2168</v>
      </c>
      <c r="B1082" t="s">
        <v>18</v>
      </c>
      <c r="C1082">
        <v>9</v>
      </c>
      <c r="D1082">
        <v>6</v>
      </c>
      <c r="E1082" s="1">
        <v>420</v>
      </c>
      <c r="F1082" s="3">
        <v>3500000</v>
      </c>
      <c r="G1082" s="2">
        <f t="shared" si="32"/>
        <v>8333.3333333333339</v>
      </c>
      <c r="H1082" s="2">
        <f t="shared" si="33"/>
        <v>3500000</v>
      </c>
      <c r="I1082" t="s">
        <v>2169</v>
      </c>
      <c r="J1082" t="s">
        <v>145</v>
      </c>
      <c r="K1082" t="s">
        <v>2216</v>
      </c>
      <c r="L1082" t="s">
        <v>146</v>
      </c>
      <c r="M1082" t="s">
        <v>16</v>
      </c>
      <c r="N1082" t="s">
        <v>2170</v>
      </c>
    </row>
    <row r="1083" spans="1:14" x14ac:dyDescent="0.35">
      <c r="A1083" t="s">
        <v>802</v>
      </c>
      <c r="B1083" t="s">
        <v>18</v>
      </c>
      <c r="C1083">
        <v>5</v>
      </c>
      <c r="D1083">
        <v>7</v>
      </c>
      <c r="E1083" s="1">
        <v>241</v>
      </c>
      <c r="F1083" s="3">
        <v>3600000</v>
      </c>
      <c r="G1083" s="2">
        <f t="shared" si="32"/>
        <v>14937.759336099585</v>
      </c>
      <c r="H1083" s="2">
        <f t="shared" si="33"/>
        <v>3600000</v>
      </c>
      <c r="I1083" t="s">
        <v>803</v>
      </c>
      <c r="J1083" t="s">
        <v>169</v>
      </c>
      <c r="K1083" t="s">
        <v>2217</v>
      </c>
      <c r="L1083" t="s">
        <v>170</v>
      </c>
      <c r="M1083" t="s">
        <v>16</v>
      </c>
      <c r="N1083" t="s">
        <v>2242</v>
      </c>
    </row>
    <row r="1084" spans="1:14" x14ac:dyDescent="0.35">
      <c r="A1084" t="s">
        <v>2164</v>
      </c>
      <c r="B1084" t="s">
        <v>18</v>
      </c>
      <c r="C1084">
        <v>6</v>
      </c>
      <c r="D1084">
        <v>6</v>
      </c>
      <c r="E1084" s="1">
        <v>312</v>
      </c>
      <c r="F1084" s="3">
        <v>3600000</v>
      </c>
      <c r="G1084" s="2">
        <f t="shared" si="32"/>
        <v>11538.461538461539</v>
      </c>
      <c r="H1084" s="2">
        <f t="shared" si="33"/>
        <v>3600000</v>
      </c>
      <c r="I1084" t="s">
        <v>2165</v>
      </c>
      <c r="J1084" t="s">
        <v>118</v>
      </c>
      <c r="K1084" t="s">
        <v>2216</v>
      </c>
      <c r="L1084" t="s">
        <v>119</v>
      </c>
      <c r="M1084" t="s">
        <v>16</v>
      </c>
      <c r="N1084" t="s">
        <v>1597</v>
      </c>
    </row>
    <row r="1085" spans="1:14" hidden="1" x14ac:dyDescent="0.35">
      <c r="A1085" t="s">
        <v>310</v>
      </c>
      <c r="B1085" t="s">
        <v>189</v>
      </c>
      <c r="C1085">
        <v>0</v>
      </c>
      <c r="D1085">
        <v>0</v>
      </c>
      <c r="E1085" s="1">
        <v>312</v>
      </c>
      <c r="F1085" s="3">
        <v>3700000</v>
      </c>
      <c r="G1085" s="2">
        <f t="shared" si="32"/>
        <v>11858.974358974359</v>
      </c>
      <c r="H1085" s="2">
        <f t="shared" si="33"/>
        <v>3700000</v>
      </c>
      <c r="I1085" t="s">
        <v>311</v>
      </c>
      <c r="J1085" t="s">
        <v>312</v>
      </c>
      <c r="K1085" t="s">
        <v>2219</v>
      </c>
      <c r="L1085" t="s">
        <v>313</v>
      </c>
      <c r="M1085" t="s">
        <v>16</v>
      </c>
      <c r="N1085" t="s">
        <v>2242</v>
      </c>
    </row>
    <row r="1086" spans="1:14" x14ac:dyDescent="0.35">
      <c r="A1086" t="s">
        <v>861</v>
      </c>
      <c r="B1086" t="s">
        <v>18</v>
      </c>
      <c r="C1086">
        <v>3</v>
      </c>
      <c r="D1086">
        <v>4</v>
      </c>
      <c r="E1086" s="1">
        <v>371</v>
      </c>
      <c r="F1086" s="3">
        <v>3700000</v>
      </c>
      <c r="G1086" s="2">
        <f t="shared" si="32"/>
        <v>9973.0458221024255</v>
      </c>
      <c r="H1086" s="2">
        <f t="shared" si="33"/>
        <v>3700000</v>
      </c>
      <c r="I1086" t="s">
        <v>307</v>
      </c>
      <c r="J1086" t="s">
        <v>233</v>
      </c>
      <c r="K1086" t="s">
        <v>2216</v>
      </c>
      <c r="L1086" t="s">
        <v>234</v>
      </c>
      <c r="M1086" t="s">
        <v>16</v>
      </c>
      <c r="N1086" t="s">
        <v>415</v>
      </c>
    </row>
    <row r="1087" spans="1:14" x14ac:dyDescent="0.35">
      <c r="A1087" t="s">
        <v>911</v>
      </c>
      <c r="B1087" t="s">
        <v>18</v>
      </c>
      <c r="C1087">
        <v>6</v>
      </c>
      <c r="D1087">
        <v>6</v>
      </c>
      <c r="E1087" s="1">
        <v>300</v>
      </c>
      <c r="F1087" s="3">
        <v>3700000</v>
      </c>
      <c r="G1087" s="2">
        <f t="shared" si="32"/>
        <v>12333.333333333334</v>
      </c>
      <c r="H1087" s="2">
        <f t="shared" si="33"/>
        <v>3700000</v>
      </c>
      <c r="I1087" t="s">
        <v>852</v>
      </c>
      <c r="J1087" t="s">
        <v>382</v>
      </c>
      <c r="K1087" t="s">
        <v>2217</v>
      </c>
      <c r="L1087" t="s">
        <v>383</v>
      </c>
      <c r="M1087" t="s">
        <v>16</v>
      </c>
      <c r="N1087" t="s">
        <v>2242</v>
      </c>
    </row>
    <row r="1088" spans="1:14" x14ac:dyDescent="0.35">
      <c r="A1088" t="s">
        <v>1653</v>
      </c>
      <c r="B1088" t="s">
        <v>18</v>
      </c>
      <c r="C1088">
        <v>5</v>
      </c>
      <c r="D1088">
        <v>6</v>
      </c>
      <c r="E1088" s="1">
        <v>288</v>
      </c>
      <c r="F1088" s="3">
        <v>3750000</v>
      </c>
      <c r="G1088" s="2">
        <f t="shared" si="32"/>
        <v>13020.833333333334</v>
      </c>
      <c r="H1088" s="2">
        <f t="shared" si="33"/>
        <v>3750000</v>
      </c>
      <c r="I1088" t="s">
        <v>1654</v>
      </c>
      <c r="J1088" t="s">
        <v>173</v>
      </c>
      <c r="K1088" t="s">
        <v>2216</v>
      </c>
      <c r="L1088" t="s">
        <v>174</v>
      </c>
      <c r="M1088" t="s">
        <v>16</v>
      </c>
      <c r="N1088" t="s">
        <v>2242</v>
      </c>
    </row>
    <row r="1089" spans="1:14" x14ac:dyDescent="0.35">
      <c r="A1089" t="s">
        <v>2034</v>
      </c>
      <c r="B1089" t="s">
        <v>18</v>
      </c>
      <c r="C1089">
        <v>3</v>
      </c>
      <c r="D1089">
        <v>3</v>
      </c>
      <c r="E1089" s="1">
        <v>3283</v>
      </c>
      <c r="F1089" s="3">
        <v>3750000</v>
      </c>
      <c r="G1089" s="2">
        <f t="shared" si="32"/>
        <v>1142.247943953701</v>
      </c>
      <c r="H1089" s="2">
        <f t="shared" si="33"/>
        <v>3750000</v>
      </c>
      <c r="I1089" t="s">
        <v>2035</v>
      </c>
      <c r="J1089" t="s">
        <v>1623</v>
      </c>
      <c r="K1089" t="s">
        <v>2217</v>
      </c>
      <c r="L1089" t="s">
        <v>1624</v>
      </c>
      <c r="M1089" t="s">
        <v>16</v>
      </c>
      <c r="N1089" t="s">
        <v>1074</v>
      </c>
    </row>
    <row r="1090" spans="1:14" x14ac:dyDescent="0.35">
      <c r="A1090" t="s">
        <v>123</v>
      </c>
      <c r="B1090" t="s">
        <v>18</v>
      </c>
      <c r="C1090">
        <v>5</v>
      </c>
      <c r="D1090">
        <v>9</v>
      </c>
      <c r="E1090" s="1">
        <v>450</v>
      </c>
      <c r="F1090" s="3">
        <v>3800000</v>
      </c>
      <c r="G1090" s="2">
        <f t="shared" si="32"/>
        <v>8444.4444444444453</v>
      </c>
      <c r="H1090" s="2">
        <f t="shared" si="33"/>
        <v>3800000</v>
      </c>
      <c r="I1090" t="s">
        <v>124</v>
      </c>
      <c r="J1090" t="s">
        <v>125</v>
      </c>
      <c r="K1090" t="s">
        <v>2217</v>
      </c>
      <c r="L1090" t="s">
        <v>126</v>
      </c>
      <c r="M1090" t="s">
        <v>16</v>
      </c>
      <c r="N1090" t="s">
        <v>2242</v>
      </c>
    </row>
    <row r="1091" spans="1:14" x14ac:dyDescent="0.35">
      <c r="A1091" t="s">
        <v>572</v>
      </c>
      <c r="B1091" t="s">
        <v>18</v>
      </c>
      <c r="C1091">
        <v>4</v>
      </c>
      <c r="D1091">
        <v>5</v>
      </c>
      <c r="E1091" s="1">
        <v>432</v>
      </c>
      <c r="F1091" s="3">
        <v>3800000</v>
      </c>
      <c r="G1091" s="2">
        <f t="shared" si="32"/>
        <v>8796.2962962962956</v>
      </c>
      <c r="H1091" s="2">
        <f t="shared" si="33"/>
        <v>3800000</v>
      </c>
      <c r="I1091" t="s">
        <v>573</v>
      </c>
      <c r="J1091" t="s">
        <v>145</v>
      </c>
      <c r="K1091" t="s">
        <v>2216</v>
      </c>
      <c r="L1091" t="s">
        <v>146</v>
      </c>
      <c r="M1091" t="s">
        <v>16</v>
      </c>
      <c r="N1091" t="s">
        <v>574</v>
      </c>
    </row>
    <row r="1092" spans="1:14" x14ac:dyDescent="0.35">
      <c r="A1092" t="s">
        <v>593</v>
      </c>
      <c r="B1092" t="s">
        <v>18</v>
      </c>
      <c r="C1092">
        <v>8</v>
      </c>
      <c r="D1092">
        <v>7</v>
      </c>
      <c r="E1092" s="1">
        <v>300</v>
      </c>
      <c r="F1092" s="3">
        <v>3800000</v>
      </c>
      <c r="G1092" s="2">
        <f t="shared" si="32"/>
        <v>12666.666666666666</v>
      </c>
      <c r="H1092" s="2">
        <f t="shared" si="33"/>
        <v>3800000</v>
      </c>
      <c r="I1092" t="s">
        <v>594</v>
      </c>
      <c r="J1092" t="s">
        <v>173</v>
      </c>
      <c r="K1092" t="s">
        <v>2216</v>
      </c>
      <c r="L1092" t="s">
        <v>174</v>
      </c>
      <c r="M1092" t="s">
        <v>16</v>
      </c>
      <c r="N1092" t="s">
        <v>2242</v>
      </c>
    </row>
    <row r="1093" spans="1:14" x14ac:dyDescent="0.35">
      <c r="A1093" t="s">
        <v>1494</v>
      </c>
      <c r="B1093" t="s">
        <v>18</v>
      </c>
      <c r="C1093">
        <v>5</v>
      </c>
      <c r="D1093">
        <v>4</v>
      </c>
      <c r="E1093" s="1">
        <v>400</v>
      </c>
      <c r="F1093" s="3">
        <v>3800000</v>
      </c>
      <c r="G1093" s="2">
        <f t="shared" ref="G1093:G1156" si="34">IF(F1093&lt;50000,F1093,F1093/E1093)</f>
        <v>9500</v>
      </c>
      <c r="H1093" s="2">
        <f t="shared" ref="H1093:H1156" si="35">IF(F1093&lt;50000,E1093*F1093,F1093)</f>
        <v>3800000</v>
      </c>
      <c r="I1093" t="s">
        <v>163</v>
      </c>
      <c r="J1093" t="s">
        <v>164</v>
      </c>
      <c r="K1093" t="s">
        <v>2218</v>
      </c>
      <c r="L1093" t="s">
        <v>165</v>
      </c>
      <c r="M1093" t="s">
        <v>16</v>
      </c>
      <c r="N1093" t="s">
        <v>2242</v>
      </c>
    </row>
    <row r="1094" spans="1:14" x14ac:dyDescent="0.35">
      <c r="A1094" t="s">
        <v>1616</v>
      </c>
      <c r="B1094" t="s">
        <v>18</v>
      </c>
      <c r="C1094">
        <v>5</v>
      </c>
      <c r="D1094">
        <v>5</v>
      </c>
      <c r="E1094" s="1">
        <v>403</v>
      </c>
      <c r="F1094" s="3">
        <v>3800000</v>
      </c>
      <c r="G1094" s="2">
        <f t="shared" si="34"/>
        <v>9429.2803970223322</v>
      </c>
      <c r="H1094" s="2">
        <f t="shared" si="35"/>
        <v>3800000</v>
      </c>
      <c r="I1094" t="s">
        <v>1617</v>
      </c>
      <c r="J1094" t="s">
        <v>346</v>
      </c>
      <c r="K1094" t="s">
        <v>2216</v>
      </c>
      <c r="L1094" t="s">
        <v>347</v>
      </c>
      <c r="M1094" t="s">
        <v>16</v>
      </c>
      <c r="N1094" t="s">
        <v>2242</v>
      </c>
    </row>
    <row r="1095" spans="1:14" x14ac:dyDescent="0.35">
      <c r="A1095" t="s">
        <v>2041</v>
      </c>
      <c r="B1095" t="s">
        <v>18</v>
      </c>
      <c r="C1095">
        <v>5</v>
      </c>
      <c r="D1095">
        <v>5</v>
      </c>
      <c r="E1095" s="1">
        <v>312</v>
      </c>
      <c r="F1095" s="3">
        <v>3800000</v>
      </c>
      <c r="G1095" s="2">
        <f t="shared" si="34"/>
        <v>12179.48717948718</v>
      </c>
      <c r="H1095" s="2">
        <f t="shared" si="35"/>
        <v>3800000</v>
      </c>
      <c r="I1095" t="s">
        <v>2030</v>
      </c>
      <c r="J1095" t="s">
        <v>118</v>
      </c>
      <c r="K1095" t="s">
        <v>2216</v>
      </c>
      <c r="L1095" t="s">
        <v>119</v>
      </c>
      <c r="M1095" t="s">
        <v>16</v>
      </c>
      <c r="N1095" t="s">
        <v>1999</v>
      </c>
    </row>
    <row r="1096" spans="1:14" x14ac:dyDescent="0.35">
      <c r="A1096" t="s">
        <v>231</v>
      </c>
      <c r="B1096" t="s">
        <v>18</v>
      </c>
      <c r="C1096">
        <v>7</v>
      </c>
      <c r="D1096">
        <v>5</v>
      </c>
      <c r="E1096" s="1">
        <v>300</v>
      </c>
      <c r="F1096" s="3">
        <v>4000000</v>
      </c>
      <c r="G1096" s="2">
        <f t="shared" si="34"/>
        <v>13333.333333333334</v>
      </c>
      <c r="H1096" s="2">
        <f t="shared" si="35"/>
        <v>4000000</v>
      </c>
      <c r="I1096" t="s">
        <v>232</v>
      </c>
      <c r="J1096" t="s">
        <v>233</v>
      </c>
      <c r="K1096" t="s">
        <v>2216</v>
      </c>
      <c r="L1096" t="s">
        <v>234</v>
      </c>
      <c r="M1096" t="s">
        <v>16</v>
      </c>
      <c r="N1096" t="s">
        <v>2242</v>
      </c>
    </row>
    <row r="1097" spans="1:14" x14ac:dyDescent="0.35">
      <c r="A1097" t="s">
        <v>617</v>
      </c>
      <c r="B1097" t="s">
        <v>18</v>
      </c>
      <c r="C1097">
        <v>7</v>
      </c>
      <c r="D1097">
        <v>7</v>
      </c>
      <c r="E1097" s="1">
        <v>360</v>
      </c>
      <c r="F1097" s="3">
        <v>4000000</v>
      </c>
      <c r="G1097" s="2">
        <f t="shared" si="34"/>
        <v>11111.111111111111</v>
      </c>
      <c r="H1097" s="2">
        <f t="shared" si="35"/>
        <v>4000000</v>
      </c>
      <c r="I1097" t="s">
        <v>618</v>
      </c>
      <c r="J1097" t="s">
        <v>164</v>
      </c>
      <c r="K1097" t="s">
        <v>2218</v>
      </c>
      <c r="L1097" t="s">
        <v>165</v>
      </c>
      <c r="M1097" t="s">
        <v>16</v>
      </c>
      <c r="N1097" t="s">
        <v>2242</v>
      </c>
    </row>
    <row r="1098" spans="1:14" x14ac:dyDescent="0.35">
      <c r="A1098" t="s">
        <v>821</v>
      </c>
      <c r="B1098" t="s">
        <v>18</v>
      </c>
      <c r="C1098">
        <v>5</v>
      </c>
      <c r="D1098">
        <v>5</v>
      </c>
      <c r="E1098" s="1">
        <v>1066</v>
      </c>
      <c r="F1098" s="3">
        <v>4000000</v>
      </c>
      <c r="G1098" s="2">
        <f t="shared" si="34"/>
        <v>3752.3452157598499</v>
      </c>
      <c r="H1098" s="2">
        <f t="shared" si="35"/>
        <v>4000000</v>
      </c>
      <c r="I1098" t="s">
        <v>561</v>
      </c>
      <c r="J1098" t="s">
        <v>154</v>
      </c>
      <c r="K1098" t="s">
        <v>2218</v>
      </c>
      <c r="L1098" t="s">
        <v>155</v>
      </c>
      <c r="M1098" t="s">
        <v>16</v>
      </c>
      <c r="N1098" t="s">
        <v>2242</v>
      </c>
    </row>
    <row r="1099" spans="1:14" x14ac:dyDescent="0.35">
      <c r="A1099" t="s">
        <v>1205</v>
      </c>
      <c r="B1099" t="s">
        <v>18</v>
      </c>
      <c r="C1099">
        <v>7</v>
      </c>
      <c r="D1099">
        <v>4</v>
      </c>
      <c r="E1099" s="1">
        <v>200</v>
      </c>
      <c r="F1099" s="3">
        <v>4000000</v>
      </c>
      <c r="G1099" s="2">
        <f t="shared" si="34"/>
        <v>20000</v>
      </c>
      <c r="H1099" s="2">
        <f t="shared" si="35"/>
        <v>4000000</v>
      </c>
      <c r="I1099" t="s">
        <v>1206</v>
      </c>
      <c r="J1099" t="s">
        <v>1207</v>
      </c>
      <c r="K1099" t="s">
        <v>2216</v>
      </c>
      <c r="L1099" t="s">
        <v>1208</v>
      </c>
      <c r="M1099" t="s">
        <v>16</v>
      </c>
      <c r="N1099" t="s">
        <v>948</v>
      </c>
    </row>
    <row r="1100" spans="1:14" x14ac:dyDescent="0.35">
      <c r="A1100" t="s">
        <v>1691</v>
      </c>
      <c r="B1100" t="s">
        <v>18</v>
      </c>
      <c r="C1100">
        <v>4</v>
      </c>
      <c r="D1100">
        <v>5</v>
      </c>
      <c r="E1100" s="1">
        <v>400</v>
      </c>
      <c r="F1100" s="3">
        <v>4000000</v>
      </c>
      <c r="G1100" s="2">
        <f t="shared" si="34"/>
        <v>10000</v>
      </c>
      <c r="H1100" s="2">
        <f t="shared" si="35"/>
        <v>4000000</v>
      </c>
      <c r="I1100" t="s">
        <v>1692</v>
      </c>
      <c r="J1100" t="s">
        <v>164</v>
      </c>
      <c r="K1100" t="s">
        <v>2218</v>
      </c>
      <c r="L1100" t="s">
        <v>165</v>
      </c>
      <c r="M1100" t="s">
        <v>16</v>
      </c>
      <c r="N1100" t="s">
        <v>2242</v>
      </c>
    </row>
    <row r="1101" spans="1:14" x14ac:dyDescent="0.35">
      <c r="A1101" t="s">
        <v>1720</v>
      </c>
      <c r="B1101" t="s">
        <v>18</v>
      </c>
      <c r="C1101">
        <v>6</v>
      </c>
      <c r="D1101">
        <v>6</v>
      </c>
      <c r="E1101" s="1">
        <v>400</v>
      </c>
      <c r="F1101" s="3">
        <v>4000000</v>
      </c>
      <c r="G1101" s="2">
        <f t="shared" si="34"/>
        <v>10000</v>
      </c>
      <c r="H1101" s="2">
        <f t="shared" si="35"/>
        <v>4000000</v>
      </c>
      <c r="I1101" t="s">
        <v>1721</v>
      </c>
      <c r="J1101" t="s">
        <v>164</v>
      </c>
      <c r="K1101" t="s">
        <v>2218</v>
      </c>
      <c r="L1101" t="s">
        <v>165</v>
      </c>
      <c r="M1101" t="s">
        <v>16</v>
      </c>
      <c r="N1101" t="s">
        <v>2242</v>
      </c>
    </row>
    <row r="1102" spans="1:14" x14ac:dyDescent="0.35">
      <c r="A1102" t="s">
        <v>1723</v>
      </c>
      <c r="B1102" t="s">
        <v>18</v>
      </c>
      <c r="C1102">
        <v>5</v>
      </c>
      <c r="D1102">
        <v>5</v>
      </c>
      <c r="E1102" s="1">
        <v>735</v>
      </c>
      <c r="F1102" s="3">
        <v>4000000</v>
      </c>
      <c r="G1102" s="2">
        <f t="shared" si="34"/>
        <v>5442.1768707482997</v>
      </c>
      <c r="H1102" s="2">
        <f t="shared" si="35"/>
        <v>4000000</v>
      </c>
      <c r="I1102" t="s">
        <v>1709</v>
      </c>
      <c r="J1102" t="s">
        <v>28</v>
      </c>
      <c r="K1102" t="s">
        <v>2217</v>
      </c>
      <c r="L1102" t="s">
        <v>29</v>
      </c>
      <c r="M1102" t="s">
        <v>16</v>
      </c>
      <c r="N1102" t="s">
        <v>2242</v>
      </c>
    </row>
    <row r="1103" spans="1:14" x14ac:dyDescent="0.35">
      <c r="A1103" t="s">
        <v>1887</v>
      </c>
      <c r="B1103" t="s">
        <v>18</v>
      </c>
      <c r="C1103">
        <v>5</v>
      </c>
      <c r="D1103">
        <v>5</v>
      </c>
      <c r="E1103" s="1">
        <v>324</v>
      </c>
      <c r="F1103" s="3">
        <v>4000000</v>
      </c>
      <c r="G1103" s="2">
        <f t="shared" si="34"/>
        <v>12345.679012345679</v>
      </c>
      <c r="H1103" s="2">
        <f t="shared" si="35"/>
        <v>4000000</v>
      </c>
      <c r="I1103" t="s">
        <v>259</v>
      </c>
      <c r="J1103" t="s">
        <v>173</v>
      </c>
      <c r="K1103" t="s">
        <v>2216</v>
      </c>
      <c r="L1103" t="s">
        <v>174</v>
      </c>
      <c r="M1103" t="s">
        <v>16</v>
      </c>
      <c r="N1103" t="s">
        <v>1079</v>
      </c>
    </row>
    <row r="1104" spans="1:14" x14ac:dyDescent="0.35">
      <c r="A1104" t="s">
        <v>1936</v>
      </c>
      <c r="B1104" t="s">
        <v>18</v>
      </c>
      <c r="C1104">
        <v>7</v>
      </c>
      <c r="D1104">
        <v>5</v>
      </c>
      <c r="E1104" s="1">
        <v>400</v>
      </c>
      <c r="F1104" s="3">
        <v>4000000</v>
      </c>
      <c r="G1104" s="2">
        <f t="shared" si="34"/>
        <v>10000</v>
      </c>
      <c r="H1104" s="2">
        <f t="shared" si="35"/>
        <v>4000000</v>
      </c>
      <c r="I1104" t="s">
        <v>1937</v>
      </c>
      <c r="J1104" t="s">
        <v>233</v>
      </c>
      <c r="K1104" t="s">
        <v>2216</v>
      </c>
      <c r="L1104" t="s">
        <v>234</v>
      </c>
      <c r="M1104" t="s">
        <v>16</v>
      </c>
      <c r="N1104" t="s">
        <v>948</v>
      </c>
    </row>
    <row r="1105" spans="1:14" x14ac:dyDescent="0.35">
      <c r="A1105" t="s">
        <v>1965</v>
      </c>
      <c r="B1105" t="s">
        <v>18</v>
      </c>
      <c r="C1105">
        <v>7</v>
      </c>
      <c r="D1105">
        <v>4</v>
      </c>
      <c r="E1105" s="1">
        <v>200</v>
      </c>
      <c r="F1105" s="3">
        <v>4000000</v>
      </c>
      <c r="G1105" s="2">
        <f t="shared" si="34"/>
        <v>20000</v>
      </c>
      <c r="H1105" s="2">
        <f t="shared" si="35"/>
        <v>4000000</v>
      </c>
      <c r="I1105" t="s">
        <v>1206</v>
      </c>
      <c r="J1105" t="s">
        <v>1207</v>
      </c>
      <c r="K1105" t="s">
        <v>2216</v>
      </c>
      <c r="L1105" t="s">
        <v>1208</v>
      </c>
      <c r="M1105" t="s">
        <v>16</v>
      </c>
      <c r="N1105" t="s">
        <v>948</v>
      </c>
    </row>
    <row r="1106" spans="1:14" x14ac:dyDescent="0.35">
      <c r="A1106" t="s">
        <v>2158</v>
      </c>
      <c r="B1106" t="s">
        <v>18</v>
      </c>
      <c r="C1106">
        <v>7</v>
      </c>
      <c r="D1106">
        <v>5</v>
      </c>
      <c r="E1106" s="1">
        <v>450</v>
      </c>
      <c r="F1106" s="3">
        <v>4000000</v>
      </c>
      <c r="G1106" s="2">
        <f t="shared" si="34"/>
        <v>8888.8888888888887</v>
      </c>
      <c r="H1106" s="2">
        <f t="shared" si="35"/>
        <v>4000000</v>
      </c>
      <c r="I1106" t="s">
        <v>2159</v>
      </c>
      <c r="J1106" t="s">
        <v>164</v>
      </c>
      <c r="K1106" t="s">
        <v>2218</v>
      </c>
      <c r="L1106" t="s">
        <v>165</v>
      </c>
      <c r="M1106" t="s">
        <v>16</v>
      </c>
      <c r="N1106" t="s">
        <v>2160</v>
      </c>
    </row>
    <row r="1107" spans="1:14" x14ac:dyDescent="0.35">
      <c r="A1107" t="s">
        <v>304</v>
      </c>
      <c r="B1107" t="s">
        <v>18</v>
      </c>
      <c r="C1107">
        <v>5</v>
      </c>
      <c r="D1107">
        <v>5</v>
      </c>
      <c r="E1107" s="1">
        <v>360</v>
      </c>
      <c r="F1107" s="3">
        <v>4100000</v>
      </c>
      <c r="G1107" s="2">
        <f t="shared" si="34"/>
        <v>11388.888888888889</v>
      </c>
      <c r="H1107" s="2">
        <f t="shared" si="35"/>
        <v>4100000</v>
      </c>
      <c r="I1107" t="s">
        <v>303</v>
      </c>
      <c r="J1107" t="s">
        <v>233</v>
      </c>
      <c r="K1107" t="s">
        <v>2216</v>
      </c>
      <c r="L1107" t="s">
        <v>234</v>
      </c>
      <c r="M1107" t="s">
        <v>16</v>
      </c>
      <c r="N1107" t="s">
        <v>2242</v>
      </c>
    </row>
    <row r="1108" spans="1:14" x14ac:dyDescent="0.35">
      <c r="A1108" t="s">
        <v>149</v>
      </c>
      <c r="B1108" t="s">
        <v>18</v>
      </c>
      <c r="C1108">
        <v>5</v>
      </c>
      <c r="D1108">
        <v>6</v>
      </c>
      <c r="E1108" s="1">
        <v>440</v>
      </c>
      <c r="F1108" s="3">
        <v>4200000</v>
      </c>
      <c r="G1108" s="2">
        <f t="shared" si="34"/>
        <v>9545.454545454546</v>
      </c>
      <c r="H1108" s="2">
        <f t="shared" si="35"/>
        <v>4200000</v>
      </c>
      <c r="I1108" t="s">
        <v>150</v>
      </c>
      <c r="J1108" t="s">
        <v>131</v>
      </c>
      <c r="K1108" t="s">
        <v>2216</v>
      </c>
      <c r="L1108" t="s">
        <v>132</v>
      </c>
      <c r="M1108" t="s">
        <v>16</v>
      </c>
      <c r="N1108" t="s">
        <v>151</v>
      </c>
    </row>
    <row r="1109" spans="1:14" x14ac:dyDescent="0.35">
      <c r="A1109" t="s">
        <v>542</v>
      </c>
      <c r="B1109" t="s">
        <v>18</v>
      </c>
      <c r="C1109">
        <v>5</v>
      </c>
      <c r="D1109">
        <v>5</v>
      </c>
      <c r="E1109" s="1">
        <v>275</v>
      </c>
      <c r="F1109" s="3">
        <v>4200000</v>
      </c>
      <c r="G1109" s="2">
        <f t="shared" si="34"/>
        <v>15272.727272727272</v>
      </c>
      <c r="H1109" s="2">
        <f t="shared" si="35"/>
        <v>4200000</v>
      </c>
      <c r="I1109" t="s">
        <v>543</v>
      </c>
      <c r="J1109" t="s">
        <v>233</v>
      </c>
      <c r="K1109" t="s">
        <v>2216</v>
      </c>
      <c r="L1109" t="s">
        <v>234</v>
      </c>
      <c r="M1109" t="s">
        <v>16</v>
      </c>
      <c r="N1109" t="s">
        <v>531</v>
      </c>
    </row>
    <row r="1110" spans="1:14" x14ac:dyDescent="0.35">
      <c r="A1110" t="s">
        <v>1592</v>
      </c>
      <c r="B1110" t="s">
        <v>18</v>
      </c>
      <c r="C1110">
        <v>5</v>
      </c>
      <c r="D1110">
        <v>7</v>
      </c>
      <c r="E1110" s="1">
        <v>360</v>
      </c>
      <c r="F1110" s="3">
        <v>4200000</v>
      </c>
      <c r="G1110" s="2">
        <f t="shared" si="34"/>
        <v>11666.666666666666</v>
      </c>
      <c r="H1110" s="2">
        <f t="shared" si="35"/>
        <v>4200000</v>
      </c>
      <c r="I1110" t="s">
        <v>259</v>
      </c>
      <c r="J1110" t="s">
        <v>173</v>
      </c>
      <c r="K1110" t="s">
        <v>2216</v>
      </c>
      <c r="L1110" t="s">
        <v>174</v>
      </c>
      <c r="M1110" t="s">
        <v>16</v>
      </c>
      <c r="N1110" t="s">
        <v>2242</v>
      </c>
    </row>
    <row r="1111" spans="1:14" x14ac:dyDescent="0.35">
      <c r="A1111" t="s">
        <v>1608</v>
      </c>
      <c r="B1111" t="s">
        <v>18</v>
      </c>
      <c r="C1111">
        <v>6</v>
      </c>
      <c r="D1111">
        <v>6</v>
      </c>
      <c r="E1111" s="1">
        <v>385</v>
      </c>
      <c r="F1111" s="3">
        <v>4200000</v>
      </c>
      <c r="G1111" s="2">
        <f t="shared" si="34"/>
        <v>10909.09090909091</v>
      </c>
      <c r="H1111" s="2">
        <f t="shared" si="35"/>
        <v>4200000</v>
      </c>
      <c r="I1111" t="s">
        <v>678</v>
      </c>
      <c r="J1111" t="s">
        <v>233</v>
      </c>
      <c r="K1111" t="s">
        <v>2216</v>
      </c>
      <c r="L1111" t="s">
        <v>234</v>
      </c>
      <c r="M1111" t="s">
        <v>16</v>
      </c>
      <c r="N1111" t="s">
        <v>531</v>
      </c>
    </row>
    <row r="1112" spans="1:14" hidden="1" x14ac:dyDescent="0.35">
      <c r="A1112" t="s">
        <v>1833</v>
      </c>
      <c r="B1112" t="s">
        <v>1033</v>
      </c>
      <c r="C1112">
        <v>0</v>
      </c>
      <c r="D1112">
        <v>0</v>
      </c>
      <c r="E1112" s="1">
        <v>446</v>
      </c>
      <c r="F1112" s="3">
        <v>4200000</v>
      </c>
      <c r="G1112" s="2">
        <f t="shared" si="34"/>
        <v>9417.0403587443943</v>
      </c>
      <c r="H1112" s="2">
        <f t="shared" si="35"/>
        <v>4200000</v>
      </c>
      <c r="I1112" t="s">
        <v>1834</v>
      </c>
      <c r="J1112" t="s">
        <v>354</v>
      </c>
      <c r="K1112" t="s">
        <v>2216</v>
      </c>
      <c r="L1112" t="s">
        <v>355</v>
      </c>
      <c r="M1112" t="s">
        <v>16</v>
      </c>
      <c r="N1112" t="s">
        <v>45</v>
      </c>
    </row>
    <row r="1113" spans="1:14" x14ac:dyDescent="0.35">
      <c r="A1113" t="s">
        <v>2117</v>
      </c>
      <c r="B1113" t="s">
        <v>18</v>
      </c>
      <c r="C1113">
        <v>5</v>
      </c>
      <c r="D1113">
        <v>6</v>
      </c>
      <c r="E1113" s="1">
        <v>417</v>
      </c>
      <c r="F1113" s="3">
        <v>4200000</v>
      </c>
      <c r="G1113" s="2">
        <f t="shared" si="34"/>
        <v>10071.942446043166</v>
      </c>
      <c r="H1113" s="2">
        <f t="shared" si="35"/>
        <v>4200000</v>
      </c>
      <c r="I1113" t="s">
        <v>2118</v>
      </c>
      <c r="J1113" t="s">
        <v>825</v>
      </c>
      <c r="K1113" t="s">
        <v>2217</v>
      </c>
      <c r="L1113" t="s">
        <v>826</v>
      </c>
      <c r="M1113" t="s">
        <v>16</v>
      </c>
      <c r="N1113" t="s">
        <v>2242</v>
      </c>
    </row>
    <row r="1114" spans="1:14" x14ac:dyDescent="0.35">
      <c r="A1114" t="s">
        <v>1078</v>
      </c>
      <c r="B1114" t="s">
        <v>18</v>
      </c>
      <c r="C1114">
        <v>4</v>
      </c>
      <c r="D1114">
        <v>4</v>
      </c>
      <c r="E1114" s="1">
        <v>360</v>
      </c>
      <c r="F1114" s="3">
        <v>4300000</v>
      </c>
      <c r="G1114" s="2">
        <f t="shared" si="34"/>
        <v>11944.444444444445</v>
      </c>
      <c r="H1114" s="2">
        <f t="shared" si="35"/>
        <v>4300000</v>
      </c>
      <c r="I1114" t="s">
        <v>259</v>
      </c>
      <c r="J1114" t="s">
        <v>173</v>
      </c>
      <c r="K1114" t="s">
        <v>2216</v>
      </c>
      <c r="L1114" t="s">
        <v>174</v>
      </c>
      <c r="M1114" t="s">
        <v>16</v>
      </c>
      <c r="N1114" t="s">
        <v>1079</v>
      </c>
    </row>
    <row r="1115" spans="1:14" x14ac:dyDescent="0.35">
      <c r="A1115" t="s">
        <v>2174</v>
      </c>
      <c r="B1115" t="s">
        <v>18</v>
      </c>
      <c r="C1115">
        <v>8</v>
      </c>
      <c r="D1115">
        <v>5</v>
      </c>
      <c r="E1115" s="1">
        <v>500</v>
      </c>
      <c r="F1115" s="3">
        <v>4300000</v>
      </c>
      <c r="G1115" s="2">
        <f t="shared" si="34"/>
        <v>8600</v>
      </c>
      <c r="H1115" s="2">
        <f t="shared" si="35"/>
        <v>4300000</v>
      </c>
      <c r="I1115" t="s">
        <v>1661</v>
      </c>
      <c r="J1115" t="s">
        <v>145</v>
      </c>
      <c r="K1115" t="s">
        <v>2216</v>
      </c>
      <c r="L1115" t="s">
        <v>146</v>
      </c>
      <c r="M1115" t="s">
        <v>16</v>
      </c>
      <c r="N1115" t="s">
        <v>2242</v>
      </c>
    </row>
    <row r="1116" spans="1:14" x14ac:dyDescent="0.35">
      <c r="A1116" t="s">
        <v>302</v>
      </c>
      <c r="B1116" t="s">
        <v>18</v>
      </c>
      <c r="C1116">
        <v>5</v>
      </c>
      <c r="D1116">
        <v>5</v>
      </c>
      <c r="E1116" s="1">
        <v>364</v>
      </c>
      <c r="F1116" s="3">
        <v>4400000</v>
      </c>
      <c r="G1116" s="2">
        <f t="shared" si="34"/>
        <v>12087.912087912087</v>
      </c>
      <c r="H1116" s="2">
        <f t="shared" si="35"/>
        <v>4400000</v>
      </c>
      <c r="I1116" t="s">
        <v>303</v>
      </c>
      <c r="J1116" t="s">
        <v>233</v>
      </c>
      <c r="K1116" t="s">
        <v>2216</v>
      </c>
      <c r="L1116" t="s">
        <v>234</v>
      </c>
      <c r="M1116" t="s">
        <v>16</v>
      </c>
      <c r="N1116" t="s">
        <v>2242</v>
      </c>
    </row>
    <row r="1117" spans="1:14" x14ac:dyDescent="0.35">
      <c r="A1117" t="s">
        <v>1237</v>
      </c>
      <c r="B1117" t="s">
        <v>18</v>
      </c>
      <c r="C1117">
        <v>6</v>
      </c>
      <c r="D1117">
        <v>5</v>
      </c>
      <c r="E1117" s="1">
        <v>285</v>
      </c>
      <c r="F1117" s="3">
        <v>4400000</v>
      </c>
      <c r="G1117" s="2">
        <f t="shared" si="34"/>
        <v>15438.596491228071</v>
      </c>
      <c r="H1117" s="2">
        <f t="shared" si="35"/>
        <v>4400000</v>
      </c>
      <c r="I1117" t="s">
        <v>221</v>
      </c>
      <c r="J1117" t="s">
        <v>173</v>
      </c>
      <c r="K1117" t="s">
        <v>2216</v>
      </c>
      <c r="L1117" t="s">
        <v>174</v>
      </c>
      <c r="M1117" t="s">
        <v>16</v>
      </c>
      <c r="N1117" t="s">
        <v>2242</v>
      </c>
    </row>
    <row r="1118" spans="1:14" x14ac:dyDescent="0.35">
      <c r="A1118" t="s">
        <v>2045</v>
      </c>
      <c r="B1118" t="s">
        <v>18</v>
      </c>
      <c r="C1118">
        <v>4</v>
      </c>
      <c r="D1118">
        <v>4</v>
      </c>
      <c r="E1118" s="1">
        <v>900</v>
      </c>
      <c r="F1118" s="3">
        <v>4400000</v>
      </c>
      <c r="G1118" s="2">
        <f t="shared" si="34"/>
        <v>4888.8888888888887</v>
      </c>
      <c r="H1118" s="2">
        <f t="shared" si="35"/>
        <v>4400000</v>
      </c>
      <c r="I1118" t="s">
        <v>2046</v>
      </c>
      <c r="J1118" t="s">
        <v>173</v>
      </c>
      <c r="K1118" t="s">
        <v>2216</v>
      </c>
      <c r="L1118" t="s">
        <v>174</v>
      </c>
      <c r="M1118" t="s">
        <v>16</v>
      </c>
      <c r="N1118" t="s">
        <v>531</v>
      </c>
    </row>
    <row r="1119" spans="1:14" x14ac:dyDescent="0.35">
      <c r="A1119" t="s">
        <v>2061</v>
      </c>
      <c r="B1119" t="s">
        <v>18</v>
      </c>
      <c r="C1119">
        <v>5</v>
      </c>
      <c r="D1119">
        <v>7</v>
      </c>
      <c r="E1119" s="1">
        <v>900</v>
      </c>
      <c r="F1119" s="3">
        <v>4400000</v>
      </c>
      <c r="G1119" s="2">
        <f t="shared" si="34"/>
        <v>4888.8888888888887</v>
      </c>
      <c r="H1119" s="2">
        <f t="shared" si="35"/>
        <v>4400000</v>
      </c>
      <c r="I1119" t="s">
        <v>259</v>
      </c>
      <c r="J1119" t="s">
        <v>173</v>
      </c>
      <c r="K1119" t="s">
        <v>2216</v>
      </c>
      <c r="L1119" t="s">
        <v>174</v>
      </c>
      <c r="M1119" t="s">
        <v>16</v>
      </c>
      <c r="N1119" t="s">
        <v>531</v>
      </c>
    </row>
    <row r="1120" spans="1:14" x14ac:dyDescent="0.35">
      <c r="A1120" t="s">
        <v>2115</v>
      </c>
      <c r="B1120" t="s">
        <v>18</v>
      </c>
      <c r="C1120">
        <v>6</v>
      </c>
      <c r="D1120">
        <v>6</v>
      </c>
      <c r="E1120" s="1">
        <v>300</v>
      </c>
      <c r="F1120" s="3">
        <v>4400000</v>
      </c>
      <c r="G1120" s="2">
        <f t="shared" si="34"/>
        <v>14666.666666666666</v>
      </c>
      <c r="H1120" s="2">
        <f t="shared" si="35"/>
        <v>4400000</v>
      </c>
      <c r="I1120" t="s">
        <v>2116</v>
      </c>
      <c r="J1120" t="s">
        <v>173</v>
      </c>
      <c r="K1120" t="s">
        <v>2216</v>
      </c>
      <c r="L1120" t="s">
        <v>174</v>
      </c>
      <c r="M1120" t="s">
        <v>16</v>
      </c>
      <c r="N1120" t="s">
        <v>531</v>
      </c>
    </row>
    <row r="1121" spans="1:14" x14ac:dyDescent="0.35">
      <c r="A1121" t="s">
        <v>2196</v>
      </c>
      <c r="B1121" t="s">
        <v>18</v>
      </c>
      <c r="C1121">
        <v>4</v>
      </c>
      <c r="D1121">
        <v>6</v>
      </c>
      <c r="E1121" s="1">
        <v>496</v>
      </c>
      <c r="F1121" s="3">
        <v>4400000</v>
      </c>
      <c r="G1121" s="2">
        <f t="shared" si="34"/>
        <v>8870.967741935483</v>
      </c>
      <c r="H1121" s="2">
        <f t="shared" si="35"/>
        <v>4400000</v>
      </c>
      <c r="I1121" t="s">
        <v>1245</v>
      </c>
      <c r="J1121" t="s">
        <v>28</v>
      </c>
      <c r="K1121" t="s">
        <v>2217</v>
      </c>
      <c r="L1121" t="s">
        <v>29</v>
      </c>
      <c r="M1121" t="s">
        <v>16</v>
      </c>
      <c r="N1121" t="s">
        <v>384</v>
      </c>
    </row>
    <row r="1122" spans="1:14" hidden="1" x14ac:dyDescent="0.35">
      <c r="A1122" t="s">
        <v>562</v>
      </c>
      <c r="B1122" t="s">
        <v>251</v>
      </c>
      <c r="C1122">
        <v>3</v>
      </c>
      <c r="D1122">
        <v>1</v>
      </c>
      <c r="E1122" s="1">
        <v>450</v>
      </c>
      <c r="F1122" s="3">
        <v>4500000</v>
      </c>
      <c r="G1122" s="2">
        <f t="shared" si="34"/>
        <v>10000</v>
      </c>
      <c r="H1122" s="2">
        <f t="shared" si="35"/>
        <v>4500000</v>
      </c>
      <c r="I1122" t="s">
        <v>563</v>
      </c>
      <c r="J1122" t="s">
        <v>564</v>
      </c>
      <c r="K1122" t="s">
        <v>2216</v>
      </c>
      <c r="L1122" t="s">
        <v>565</v>
      </c>
      <c r="M1122" t="s">
        <v>16</v>
      </c>
      <c r="N1122" t="s">
        <v>257</v>
      </c>
    </row>
    <row r="1123" spans="1:14" x14ac:dyDescent="0.35">
      <c r="A1123" t="s">
        <v>651</v>
      </c>
      <c r="B1123" t="s">
        <v>18</v>
      </c>
      <c r="C1123">
        <v>5</v>
      </c>
      <c r="D1123">
        <v>3</v>
      </c>
      <c r="E1123" s="1">
        <v>504</v>
      </c>
      <c r="F1123" s="3">
        <v>4500000</v>
      </c>
      <c r="G1123" s="2">
        <f t="shared" si="34"/>
        <v>8928.5714285714294</v>
      </c>
      <c r="H1123" s="2">
        <f t="shared" si="35"/>
        <v>4500000</v>
      </c>
      <c r="I1123" t="s">
        <v>652</v>
      </c>
      <c r="J1123" t="s">
        <v>145</v>
      </c>
      <c r="K1123" t="s">
        <v>2216</v>
      </c>
      <c r="L1123" t="s">
        <v>146</v>
      </c>
      <c r="M1123" t="s">
        <v>16</v>
      </c>
      <c r="N1123" t="s">
        <v>653</v>
      </c>
    </row>
    <row r="1124" spans="1:14" hidden="1" x14ac:dyDescent="0.35">
      <c r="A1124" t="s">
        <v>928</v>
      </c>
      <c r="B1124" t="s">
        <v>251</v>
      </c>
      <c r="C1124">
        <v>2</v>
      </c>
      <c r="D1124">
        <v>1</v>
      </c>
      <c r="E1124" s="1">
        <v>543</v>
      </c>
      <c r="F1124" s="3">
        <v>4500000</v>
      </c>
      <c r="G1124" s="2">
        <f t="shared" si="34"/>
        <v>8287.2928176795576</v>
      </c>
      <c r="H1124" s="2">
        <f t="shared" si="35"/>
        <v>4500000</v>
      </c>
      <c r="I1124" t="s">
        <v>929</v>
      </c>
      <c r="J1124" t="s">
        <v>173</v>
      </c>
      <c r="K1124" t="s">
        <v>2216</v>
      </c>
      <c r="L1124" t="s">
        <v>174</v>
      </c>
      <c r="M1124" t="s">
        <v>16</v>
      </c>
      <c r="N1124" t="s">
        <v>2242</v>
      </c>
    </row>
    <row r="1125" spans="1:14" x14ac:dyDescent="0.35">
      <c r="A1125" t="s">
        <v>949</v>
      </c>
      <c r="B1125" t="s">
        <v>18</v>
      </c>
      <c r="C1125">
        <v>10</v>
      </c>
      <c r="D1125">
        <v>9</v>
      </c>
      <c r="E1125" s="1">
        <v>390</v>
      </c>
      <c r="F1125" s="3">
        <v>4500000</v>
      </c>
      <c r="G1125" s="2">
        <f t="shared" si="34"/>
        <v>11538.461538461539</v>
      </c>
      <c r="H1125" s="2">
        <f t="shared" si="35"/>
        <v>4500000</v>
      </c>
      <c r="I1125" t="s">
        <v>852</v>
      </c>
      <c r="J1125" t="s">
        <v>382</v>
      </c>
      <c r="K1125" t="s">
        <v>2217</v>
      </c>
      <c r="L1125" t="s">
        <v>383</v>
      </c>
      <c r="M1125" t="s">
        <v>16</v>
      </c>
      <c r="N1125" t="s">
        <v>2242</v>
      </c>
    </row>
    <row r="1126" spans="1:14" x14ac:dyDescent="0.35">
      <c r="A1126" t="s">
        <v>1655</v>
      </c>
      <c r="B1126" t="s">
        <v>18</v>
      </c>
      <c r="C1126">
        <v>4</v>
      </c>
      <c r="D1126">
        <v>6</v>
      </c>
      <c r="E1126" s="1">
        <v>360</v>
      </c>
      <c r="F1126" s="3">
        <v>4500000</v>
      </c>
      <c r="G1126" s="2">
        <f t="shared" si="34"/>
        <v>12500</v>
      </c>
      <c r="H1126" s="2">
        <f t="shared" si="35"/>
        <v>4500000</v>
      </c>
      <c r="I1126" t="s">
        <v>259</v>
      </c>
      <c r="J1126" t="s">
        <v>173</v>
      </c>
      <c r="K1126" t="s">
        <v>2216</v>
      </c>
      <c r="L1126" t="s">
        <v>174</v>
      </c>
      <c r="M1126" t="s">
        <v>16</v>
      </c>
      <c r="N1126" t="s">
        <v>2242</v>
      </c>
    </row>
    <row r="1127" spans="1:14" x14ac:dyDescent="0.35">
      <c r="A1127" t="s">
        <v>1736</v>
      </c>
      <c r="B1127" t="s">
        <v>18</v>
      </c>
      <c r="C1127">
        <v>11</v>
      </c>
      <c r="D1127">
        <v>10</v>
      </c>
      <c r="E1127" s="1">
        <v>634</v>
      </c>
      <c r="F1127" s="3">
        <v>4500000</v>
      </c>
      <c r="G1127" s="2">
        <f t="shared" si="34"/>
        <v>7097.7917981072551</v>
      </c>
      <c r="H1127" s="2">
        <f t="shared" si="35"/>
        <v>4500000</v>
      </c>
      <c r="I1127" t="s">
        <v>1737</v>
      </c>
      <c r="J1127" t="s">
        <v>354</v>
      </c>
      <c r="K1127" t="s">
        <v>2216</v>
      </c>
      <c r="L1127" t="s">
        <v>355</v>
      </c>
      <c r="M1127" t="s">
        <v>16</v>
      </c>
      <c r="N1127" t="s">
        <v>2242</v>
      </c>
    </row>
    <row r="1128" spans="1:14" x14ac:dyDescent="0.35">
      <c r="A1128" t="s">
        <v>2026</v>
      </c>
      <c r="B1128" t="s">
        <v>18</v>
      </c>
      <c r="C1128">
        <v>5</v>
      </c>
      <c r="D1128">
        <v>5</v>
      </c>
      <c r="E1128" s="1">
        <v>550</v>
      </c>
      <c r="F1128" s="3">
        <v>4500000</v>
      </c>
      <c r="G1128" s="2">
        <f t="shared" si="34"/>
        <v>8181.818181818182</v>
      </c>
      <c r="H1128" s="2">
        <f t="shared" si="35"/>
        <v>4500000</v>
      </c>
      <c r="I1128" t="s">
        <v>2027</v>
      </c>
      <c r="J1128" t="s">
        <v>233</v>
      </c>
      <c r="K1128" t="s">
        <v>2216</v>
      </c>
      <c r="L1128" t="s">
        <v>234</v>
      </c>
      <c r="M1128" t="s">
        <v>16</v>
      </c>
      <c r="N1128" t="s">
        <v>728</v>
      </c>
    </row>
    <row r="1129" spans="1:14" x14ac:dyDescent="0.35">
      <c r="A1129" t="s">
        <v>800</v>
      </c>
      <c r="B1129" t="s">
        <v>18</v>
      </c>
      <c r="C1129">
        <v>6</v>
      </c>
      <c r="D1129">
        <v>6</v>
      </c>
      <c r="E1129" s="1">
        <v>351</v>
      </c>
      <c r="F1129" s="3">
        <v>4600000</v>
      </c>
      <c r="G1129" s="2">
        <f t="shared" si="34"/>
        <v>13105.413105413105</v>
      </c>
      <c r="H1129" s="2">
        <f t="shared" si="35"/>
        <v>4600000</v>
      </c>
      <c r="I1129" t="s">
        <v>259</v>
      </c>
      <c r="J1129" t="s">
        <v>173</v>
      </c>
      <c r="K1129" t="s">
        <v>2216</v>
      </c>
      <c r="L1129" t="s">
        <v>174</v>
      </c>
      <c r="M1129" t="s">
        <v>16</v>
      </c>
      <c r="N1129" t="s">
        <v>514</v>
      </c>
    </row>
    <row r="1130" spans="1:14" x14ac:dyDescent="0.35">
      <c r="A1130" t="s">
        <v>1980</v>
      </c>
      <c r="B1130" t="s">
        <v>18</v>
      </c>
      <c r="C1130">
        <v>4</v>
      </c>
      <c r="D1130">
        <v>5</v>
      </c>
      <c r="E1130" s="1">
        <v>475</v>
      </c>
      <c r="F1130" s="3">
        <v>4700000</v>
      </c>
      <c r="G1130" s="2">
        <f t="shared" si="34"/>
        <v>9894.7368421052633</v>
      </c>
      <c r="H1130" s="2">
        <f t="shared" si="35"/>
        <v>4700000</v>
      </c>
      <c r="I1130" t="s">
        <v>1003</v>
      </c>
      <c r="J1130" t="s">
        <v>233</v>
      </c>
      <c r="K1130" t="s">
        <v>2216</v>
      </c>
      <c r="L1130" t="s">
        <v>234</v>
      </c>
      <c r="M1130" t="s">
        <v>16</v>
      </c>
      <c r="N1130" t="s">
        <v>2242</v>
      </c>
    </row>
    <row r="1131" spans="1:14" x14ac:dyDescent="0.35">
      <c r="A1131" t="s">
        <v>2190</v>
      </c>
      <c r="B1131" t="s">
        <v>18</v>
      </c>
      <c r="C1131">
        <v>4</v>
      </c>
      <c r="D1131">
        <v>5</v>
      </c>
      <c r="E1131" s="1">
        <v>475</v>
      </c>
      <c r="F1131" s="3">
        <v>4700000</v>
      </c>
      <c r="G1131" s="2">
        <f t="shared" si="34"/>
        <v>9894.7368421052633</v>
      </c>
      <c r="H1131" s="2">
        <f t="shared" si="35"/>
        <v>4700000</v>
      </c>
      <c r="I1131" t="s">
        <v>1003</v>
      </c>
      <c r="J1131" t="s">
        <v>233</v>
      </c>
      <c r="K1131" t="s">
        <v>2216</v>
      </c>
      <c r="L1131" t="s">
        <v>234</v>
      </c>
      <c r="M1131" t="s">
        <v>16</v>
      </c>
      <c r="N1131" t="s">
        <v>1074</v>
      </c>
    </row>
    <row r="1132" spans="1:14" x14ac:dyDescent="0.35">
      <c r="A1132" t="s">
        <v>2031</v>
      </c>
      <c r="B1132" t="s">
        <v>18</v>
      </c>
      <c r="C1132">
        <v>5</v>
      </c>
      <c r="D1132">
        <v>4</v>
      </c>
      <c r="E1132" s="1">
        <v>358</v>
      </c>
      <c r="F1132" s="3">
        <v>4750000</v>
      </c>
      <c r="G1132" s="2">
        <f t="shared" si="34"/>
        <v>13268.156424581006</v>
      </c>
      <c r="H1132" s="2">
        <f t="shared" si="35"/>
        <v>4750000</v>
      </c>
      <c r="I1132" t="s">
        <v>2032</v>
      </c>
      <c r="J1132" t="s">
        <v>118</v>
      </c>
      <c r="K1132" t="s">
        <v>2216</v>
      </c>
      <c r="L1132" t="s">
        <v>119</v>
      </c>
      <c r="M1132" t="s">
        <v>16</v>
      </c>
      <c r="N1132" t="s">
        <v>1999</v>
      </c>
    </row>
    <row r="1133" spans="1:14" x14ac:dyDescent="0.35">
      <c r="A1133" t="s">
        <v>17</v>
      </c>
      <c r="B1133" t="s">
        <v>18</v>
      </c>
      <c r="C1133">
        <v>5</v>
      </c>
      <c r="D1133">
        <v>6</v>
      </c>
      <c r="E1133" s="1">
        <v>440</v>
      </c>
      <c r="F1133" s="3">
        <v>4800000</v>
      </c>
      <c r="G1133" s="2">
        <f t="shared" si="34"/>
        <v>10909.09090909091</v>
      </c>
      <c r="H1133" s="2">
        <f t="shared" si="35"/>
        <v>4800000</v>
      </c>
      <c r="I1133" t="s">
        <v>19</v>
      </c>
      <c r="J1133" t="s">
        <v>20</v>
      </c>
      <c r="K1133" t="s">
        <v>2216</v>
      </c>
      <c r="L1133" t="s">
        <v>21</v>
      </c>
      <c r="M1133" t="s">
        <v>16</v>
      </c>
      <c r="N1133" t="s">
        <v>2242</v>
      </c>
    </row>
    <row r="1134" spans="1:14" x14ac:dyDescent="0.35">
      <c r="A1134" t="s">
        <v>1541</v>
      </c>
      <c r="B1134" t="s">
        <v>18</v>
      </c>
      <c r="C1134">
        <v>5</v>
      </c>
      <c r="D1134">
        <v>3</v>
      </c>
      <c r="E1134" s="1">
        <v>375</v>
      </c>
      <c r="F1134" s="3">
        <v>4800000</v>
      </c>
      <c r="G1134" s="2">
        <f t="shared" si="34"/>
        <v>12800</v>
      </c>
      <c r="H1134" s="2">
        <f t="shared" si="35"/>
        <v>4800000</v>
      </c>
      <c r="I1134" t="s">
        <v>1542</v>
      </c>
      <c r="J1134" t="s">
        <v>118</v>
      </c>
      <c r="K1134" t="s">
        <v>2216</v>
      </c>
      <c r="L1134" t="s">
        <v>119</v>
      </c>
      <c r="M1134" t="s">
        <v>16</v>
      </c>
      <c r="N1134" t="s">
        <v>1543</v>
      </c>
    </row>
    <row r="1135" spans="1:14" x14ac:dyDescent="0.35">
      <c r="A1135" t="s">
        <v>2127</v>
      </c>
      <c r="B1135" t="s">
        <v>18</v>
      </c>
      <c r="C1135">
        <v>7</v>
      </c>
      <c r="D1135">
        <v>9</v>
      </c>
      <c r="E1135" s="1">
        <v>360</v>
      </c>
      <c r="F1135" s="3">
        <v>4800000</v>
      </c>
      <c r="G1135" s="2">
        <f t="shared" si="34"/>
        <v>13333.333333333334</v>
      </c>
      <c r="H1135" s="2">
        <f t="shared" si="35"/>
        <v>4800000</v>
      </c>
      <c r="I1135" t="s">
        <v>307</v>
      </c>
      <c r="J1135" t="s">
        <v>233</v>
      </c>
      <c r="K1135" t="s">
        <v>2216</v>
      </c>
      <c r="L1135" t="s">
        <v>234</v>
      </c>
      <c r="M1135" t="s">
        <v>16</v>
      </c>
      <c r="N1135" t="s">
        <v>2242</v>
      </c>
    </row>
    <row r="1136" spans="1:14" hidden="1" x14ac:dyDescent="0.35">
      <c r="A1136" t="s">
        <v>679</v>
      </c>
      <c r="B1136" t="s">
        <v>1033</v>
      </c>
      <c r="C1136">
        <v>0</v>
      </c>
      <c r="D1136">
        <v>0</v>
      </c>
      <c r="E1136" s="1">
        <v>450</v>
      </c>
      <c r="F1136" s="3">
        <v>4860000</v>
      </c>
      <c r="G1136" s="2">
        <f t="shared" si="34"/>
        <v>10800</v>
      </c>
      <c r="H1136" s="2">
        <f t="shared" si="35"/>
        <v>4860000</v>
      </c>
      <c r="I1136" t="s">
        <v>680</v>
      </c>
      <c r="J1136" t="s">
        <v>118</v>
      </c>
      <c r="K1136" t="s">
        <v>2216</v>
      </c>
      <c r="L1136" t="s">
        <v>119</v>
      </c>
      <c r="M1136" t="s">
        <v>16</v>
      </c>
      <c r="N1136" t="s">
        <v>2242</v>
      </c>
    </row>
    <row r="1137" spans="1:14" x14ac:dyDescent="0.35">
      <c r="A1137" t="s">
        <v>22</v>
      </c>
      <c r="B1137" t="s">
        <v>18</v>
      </c>
      <c r="C1137">
        <v>11</v>
      </c>
      <c r="D1137">
        <v>6</v>
      </c>
      <c r="E1137" s="1">
        <v>445</v>
      </c>
      <c r="F1137" s="3">
        <v>5000000</v>
      </c>
      <c r="G1137" s="2">
        <f t="shared" si="34"/>
        <v>11235.955056179775</v>
      </c>
      <c r="H1137" s="2">
        <f t="shared" si="35"/>
        <v>5000000</v>
      </c>
      <c r="I1137" t="s">
        <v>23</v>
      </c>
      <c r="J1137" t="s">
        <v>24</v>
      </c>
      <c r="K1137" t="s">
        <v>2216</v>
      </c>
      <c r="L1137" t="s">
        <v>25</v>
      </c>
      <c r="M1137" t="s">
        <v>16</v>
      </c>
      <c r="N1137" t="s">
        <v>2242</v>
      </c>
    </row>
    <row r="1138" spans="1:14" x14ac:dyDescent="0.35">
      <c r="A1138" t="s">
        <v>614</v>
      </c>
      <c r="B1138" t="s">
        <v>18</v>
      </c>
      <c r="C1138">
        <v>6</v>
      </c>
      <c r="D1138">
        <v>5</v>
      </c>
      <c r="E1138" s="1">
        <v>616</v>
      </c>
      <c r="F1138" s="3">
        <v>5000000</v>
      </c>
      <c r="G1138" s="2">
        <f t="shared" si="34"/>
        <v>8116.8831168831166</v>
      </c>
      <c r="H1138" s="2">
        <f t="shared" si="35"/>
        <v>5000000</v>
      </c>
      <c r="I1138" t="s">
        <v>615</v>
      </c>
      <c r="J1138" t="s">
        <v>169</v>
      </c>
      <c r="K1138" t="s">
        <v>2217</v>
      </c>
      <c r="L1138" t="s">
        <v>170</v>
      </c>
      <c r="M1138" t="s">
        <v>16</v>
      </c>
      <c r="N1138" t="s">
        <v>616</v>
      </c>
    </row>
    <row r="1139" spans="1:14" x14ac:dyDescent="0.35">
      <c r="A1139" t="s">
        <v>767</v>
      </c>
      <c r="B1139" t="s">
        <v>18</v>
      </c>
      <c r="C1139">
        <v>7</v>
      </c>
      <c r="D1139">
        <v>7</v>
      </c>
      <c r="E1139" s="1">
        <v>600</v>
      </c>
      <c r="F1139" s="3">
        <v>5000000</v>
      </c>
      <c r="G1139" s="2">
        <f t="shared" si="34"/>
        <v>8333.3333333333339</v>
      </c>
      <c r="H1139" s="2">
        <f t="shared" si="35"/>
        <v>5000000</v>
      </c>
      <c r="I1139" t="s">
        <v>768</v>
      </c>
      <c r="J1139" t="s">
        <v>125</v>
      </c>
      <c r="K1139" t="s">
        <v>2217</v>
      </c>
      <c r="L1139" t="s">
        <v>126</v>
      </c>
      <c r="M1139" t="s">
        <v>16</v>
      </c>
      <c r="N1139" t="s">
        <v>769</v>
      </c>
    </row>
    <row r="1140" spans="1:14" hidden="1" x14ac:dyDescent="0.35">
      <c r="A1140" t="s">
        <v>893</v>
      </c>
      <c r="B1140" t="s">
        <v>189</v>
      </c>
      <c r="C1140">
        <v>11</v>
      </c>
      <c r="D1140">
        <v>7</v>
      </c>
      <c r="E1140" s="1">
        <v>1281</v>
      </c>
      <c r="F1140" s="3">
        <v>5000000</v>
      </c>
      <c r="G1140" s="2">
        <f t="shared" si="34"/>
        <v>3903.2006245121001</v>
      </c>
      <c r="H1140" s="2">
        <f t="shared" si="35"/>
        <v>5000000</v>
      </c>
      <c r="I1140" t="s">
        <v>894</v>
      </c>
      <c r="J1140" t="s">
        <v>895</v>
      </c>
      <c r="K1140" t="s">
        <v>2219</v>
      </c>
      <c r="L1140" t="s">
        <v>896</v>
      </c>
      <c r="M1140" t="s">
        <v>16</v>
      </c>
      <c r="N1140" t="s">
        <v>2242</v>
      </c>
    </row>
    <row r="1141" spans="1:14" hidden="1" x14ac:dyDescent="0.35">
      <c r="A1141" t="s">
        <v>940</v>
      </c>
      <c r="B1141" t="s">
        <v>189</v>
      </c>
      <c r="C1141">
        <v>2</v>
      </c>
      <c r="D1141">
        <v>2</v>
      </c>
      <c r="E1141" s="1">
        <v>500</v>
      </c>
      <c r="F1141" s="3">
        <v>5000000</v>
      </c>
      <c r="G1141" s="2">
        <f t="shared" si="34"/>
        <v>10000</v>
      </c>
      <c r="H1141" s="2">
        <f t="shared" si="35"/>
        <v>5000000</v>
      </c>
      <c r="I1141" t="s">
        <v>941</v>
      </c>
      <c r="J1141" t="s">
        <v>942</v>
      </c>
      <c r="K1141" t="s">
        <v>2219</v>
      </c>
      <c r="L1141" t="s">
        <v>943</v>
      </c>
      <c r="M1141" t="s">
        <v>16</v>
      </c>
      <c r="N1141" t="s">
        <v>2242</v>
      </c>
    </row>
    <row r="1142" spans="1:14" x14ac:dyDescent="0.35">
      <c r="A1142" t="s">
        <v>1002</v>
      </c>
      <c r="B1142" t="s">
        <v>18</v>
      </c>
      <c r="C1142">
        <v>6</v>
      </c>
      <c r="D1142">
        <v>6</v>
      </c>
      <c r="E1142" s="1">
        <v>650</v>
      </c>
      <c r="F1142" s="3">
        <v>5000000</v>
      </c>
      <c r="G1142" s="2">
        <f t="shared" si="34"/>
        <v>7692.3076923076924</v>
      </c>
      <c r="H1142" s="2">
        <f t="shared" si="35"/>
        <v>5000000</v>
      </c>
      <c r="I1142" t="s">
        <v>1003</v>
      </c>
      <c r="J1142" t="s">
        <v>233</v>
      </c>
      <c r="K1142" t="s">
        <v>2216</v>
      </c>
      <c r="L1142" t="s">
        <v>234</v>
      </c>
      <c r="M1142" t="s">
        <v>16</v>
      </c>
      <c r="N1142" t="s">
        <v>296</v>
      </c>
    </row>
    <row r="1143" spans="1:14" x14ac:dyDescent="0.35">
      <c r="A1143" t="s">
        <v>1071</v>
      </c>
      <c r="B1143" t="s">
        <v>18</v>
      </c>
      <c r="C1143">
        <v>5</v>
      </c>
      <c r="D1143">
        <v>5</v>
      </c>
      <c r="E1143" s="1">
        <v>508</v>
      </c>
      <c r="F1143" s="3">
        <v>5000000</v>
      </c>
      <c r="G1143" s="2">
        <f t="shared" si="34"/>
        <v>9842.5196850393695</v>
      </c>
      <c r="H1143" s="2">
        <f t="shared" si="35"/>
        <v>5000000</v>
      </c>
      <c r="I1143" t="s">
        <v>1072</v>
      </c>
      <c r="J1143" t="s">
        <v>53</v>
      </c>
      <c r="K1143" t="s">
        <v>2217</v>
      </c>
      <c r="L1143" t="s">
        <v>54</v>
      </c>
      <c r="M1143" t="s">
        <v>16</v>
      </c>
      <c r="N1143" t="s">
        <v>2242</v>
      </c>
    </row>
    <row r="1144" spans="1:14" x14ac:dyDescent="0.35">
      <c r="A1144" t="s">
        <v>1643</v>
      </c>
      <c r="B1144" t="s">
        <v>18</v>
      </c>
      <c r="C1144">
        <v>5</v>
      </c>
      <c r="D1144">
        <v>4</v>
      </c>
      <c r="E1144" s="1">
        <v>600</v>
      </c>
      <c r="F1144" s="3">
        <v>5000000</v>
      </c>
      <c r="G1144" s="2">
        <f t="shared" si="34"/>
        <v>8333.3333333333339</v>
      </c>
      <c r="H1144" s="2">
        <f t="shared" si="35"/>
        <v>5000000</v>
      </c>
      <c r="I1144" t="s">
        <v>647</v>
      </c>
      <c r="J1144" t="s">
        <v>145</v>
      </c>
      <c r="K1144" t="s">
        <v>2216</v>
      </c>
      <c r="L1144" t="s">
        <v>146</v>
      </c>
      <c r="M1144" t="s">
        <v>16</v>
      </c>
      <c r="N1144" t="s">
        <v>1579</v>
      </c>
    </row>
    <row r="1145" spans="1:14" x14ac:dyDescent="0.35">
      <c r="A1145" t="s">
        <v>1885</v>
      </c>
      <c r="B1145" t="s">
        <v>18</v>
      </c>
      <c r="C1145">
        <v>8</v>
      </c>
      <c r="D1145">
        <v>6</v>
      </c>
      <c r="E1145" s="1">
        <v>450</v>
      </c>
      <c r="F1145" s="3">
        <v>5200000</v>
      </c>
      <c r="G1145" s="2">
        <f t="shared" si="34"/>
        <v>11555.555555555555</v>
      </c>
      <c r="H1145" s="2">
        <f t="shared" si="35"/>
        <v>5200000</v>
      </c>
      <c r="I1145" t="s">
        <v>1886</v>
      </c>
      <c r="J1145" t="s">
        <v>726</v>
      </c>
      <c r="K1145" t="s">
        <v>2216</v>
      </c>
      <c r="L1145" t="s">
        <v>727</v>
      </c>
      <c r="M1145" t="s">
        <v>16</v>
      </c>
      <c r="N1145" t="s">
        <v>2242</v>
      </c>
    </row>
    <row r="1146" spans="1:14" hidden="1" x14ac:dyDescent="0.35">
      <c r="A1146" t="s">
        <v>1574</v>
      </c>
      <c r="B1146" t="s">
        <v>1033</v>
      </c>
      <c r="C1146">
        <v>0</v>
      </c>
      <c r="D1146">
        <v>0</v>
      </c>
      <c r="E1146" s="1">
        <v>450</v>
      </c>
      <c r="F1146" s="3">
        <v>5220000</v>
      </c>
      <c r="G1146" s="2">
        <f t="shared" si="34"/>
        <v>11600</v>
      </c>
      <c r="H1146" s="2">
        <f t="shared" si="35"/>
        <v>5220000</v>
      </c>
      <c r="I1146" t="s">
        <v>1575</v>
      </c>
      <c r="J1146" t="s">
        <v>164</v>
      </c>
      <c r="K1146" t="s">
        <v>2218</v>
      </c>
      <c r="L1146" t="s">
        <v>165</v>
      </c>
      <c r="M1146" t="s">
        <v>16</v>
      </c>
      <c r="N1146" t="s">
        <v>1576</v>
      </c>
    </row>
    <row r="1147" spans="1:14" hidden="1" x14ac:dyDescent="0.35">
      <c r="A1147" t="s">
        <v>352</v>
      </c>
      <c r="B1147" t="s">
        <v>189</v>
      </c>
      <c r="C1147">
        <v>11</v>
      </c>
      <c r="D1147">
        <v>10</v>
      </c>
      <c r="E1147" s="1">
        <v>336</v>
      </c>
      <c r="F1147" s="3">
        <v>5300000</v>
      </c>
      <c r="G1147" s="2">
        <f t="shared" si="34"/>
        <v>15773.809523809523</v>
      </c>
      <c r="H1147" s="2">
        <f t="shared" si="35"/>
        <v>5300000</v>
      </c>
      <c r="I1147" t="s">
        <v>353</v>
      </c>
      <c r="J1147" t="s">
        <v>354</v>
      </c>
      <c r="K1147" t="s">
        <v>2216</v>
      </c>
      <c r="L1147" t="s">
        <v>355</v>
      </c>
      <c r="M1147" t="s">
        <v>16</v>
      </c>
      <c r="N1147" t="s">
        <v>356</v>
      </c>
    </row>
    <row r="1148" spans="1:14" x14ac:dyDescent="0.35">
      <c r="A1148" t="s">
        <v>220</v>
      </c>
      <c r="B1148" t="s">
        <v>18</v>
      </c>
      <c r="C1148">
        <v>8</v>
      </c>
      <c r="D1148">
        <v>5</v>
      </c>
      <c r="E1148" s="1">
        <v>450</v>
      </c>
      <c r="F1148" s="3">
        <v>5400000</v>
      </c>
      <c r="G1148" s="2">
        <f t="shared" si="34"/>
        <v>12000</v>
      </c>
      <c r="H1148" s="2">
        <f t="shared" si="35"/>
        <v>5400000</v>
      </c>
      <c r="I1148" t="s">
        <v>221</v>
      </c>
      <c r="J1148" t="s">
        <v>173</v>
      </c>
      <c r="K1148" t="s">
        <v>2216</v>
      </c>
      <c r="L1148" t="s">
        <v>174</v>
      </c>
      <c r="M1148" t="s">
        <v>16</v>
      </c>
      <c r="N1148" t="s">
        <v>171</v>
      </c>
    </row>
    <row r="1149" spans="1:14" hidden="1" x14ac:dyDescent="0.35">
      <c r="A1149" t="s">
        <v>60</v>
      </c>
      <c r="B1149" t="s">
        <v>189</v>
      </c>
      <c r="C1149">
        <v>11</v>
      </c>
      <c r="D1149">
        <v>11</v>
      </c>
      <c r="E1149" s="1">
        <v>1200</v>
      </c>
      <c r="F1149" s="3">
        <v>5500000</v>
      </c>
      <c r="G1149" s="2">
        <f t="shared" si="34"/>
        <v>4583.333333333333</v>
      </c>
      <c r="H1149" s="2">
        <f t="shared" si="35"/>
        <v>5500000</v>
      </c>
      <c r="I1149" t="s">
        <v>61</v>
      </c>
      <c r="J1149" t="s">
        <v>62</v>
      </c>
      <c r="K1149" t="s">
        <v>2218</v>
      </c>
      <c r="L1149" t="s">
        <v>63</v>
      </c>
      <c r="M1149" t="s">
        <v>16</v>
      </c>
      <c r="N1149" t="s">
        <v>64</v>
      </c>
    </row>
    <row r="1150" spans="1:14" hidden="1" x14ac:dyDescent="0.35">
      <c r="A1150" t="s">
        <v>951</v>
      </c>
      <c r="B1150" t="s">
        <v>189</v>
      </c>
      <c r="C1150">
        <v>11</v>
      </c>
      <c r="D1150">
        <v>11</v>
      </c>
      <c r="E1150" s="1">
        <v>810</v>
      </c>
      <c r="F1150" s="3">
        <v>5500000</v>
      </c>
      <c r="G1150" s="2">
        <f t="shared" si="34"/>
        <v>6790.1234567901238</v>
      </c>
      <c r="H1150" s="2">
        <f t="shared" si="35"/>
        <v>5500000</v>
      </c>
      <c r="I1150" t="s">
        <v>952</v>
      </c>
      <c r="J1150" t="s">
        <v>953</v>
      </c>
      <c r="K1150" t="s">
        <v>2217</v>
      </c>
      <c r="L1150" t="s">
        <v>954</v>
      </c>
      <c r="M1150" t="s">
        <v>16</v>
      </c>
      <c r="N1150" t="s">
        <v>64</v>
      </c>
    </row>
    <row r="1151" spans="1:14" x14ac:dyDescent="0.35">
      <c r="A1151" t="s">
        <v>1620</v>
      </c>
      <c r="B1151" t="s">
        <v>18</v>
      </c>
      <c r="C1151">
        <v>11</v>
      </c>
      <c r="D1151">
        <v>7</v>
      </c>
      <c r="E1151" s="1">
        <v>700</v>
      </c>
      <c r="F1151" s="3">
        <v>5500000</v>
      </c>
      <c r="G1151" s="2">
        <f t="shared" si="34"/>
        <v>7857.1428571428569</v>
      </c>
      <c r="H1151" s="2">
        <f t="shared" si="35"/>
        <v>5500000</v>
      </c>
      <c r="I1151" t="s">
        <v>1621</v>
      </c>
      <c r="J1151" t="s">
        <v>494</v>
      </c>
      <c r="K1151" t="s">
        <v>2217</v>
      </c>
      <c r="L1151" t="s">
        <v>495</v>
      </c>
      <c r="M1151" t="s">
        <v>16</v>
      </c>
      <c r="N1151" t="s">
        <v>2242</v>
      </c>
    </row>
    <row r="1152" spans="1:14" x14ac:dyDescent="0.35">
      <c r="A1152" t="s">
        <v>1634</v>
      </c>
      <c r="B1152" t="s">
        <v>18</v>
      </c>
      <c r="C1152">
        <v>5</v>
      </c>
      <c r="D1152">
        <v>6</v>
      </c>
      <c r="E1152" s="1">
        <v>600</v>
      </c>
      <c r="F1152" s="3">
        <v>5500000</v>
      </c>
      <c r="G1152" s="2">
        <f t="shared" si="34"/>
        <v>9166.6666666666661</v>
      </c>
      <c r="H1152" s="2">
        <f t="shared" si="35"/>
        <v>5500000</v>
      </c>
      <c r="I1152" t="s">
        <v>1635</v>
      </c>
      <c r="J1152" t="s">
        <v>382</v>
      </c>
      <c r="K1152" t="s">
        <v>2217</v>
      </c>
      <c r="L1152" t="s">
        <v>383</v>
      </c>
      <c r="M1152" t="s">
        <v>16</v>
      </c>
      <c r="N1152" t="s">
        <v>77</v>
      </c>
    </row>
    <row r="1153" spans="1:14" x14ac:dyDescent="0.35">
      <c r="A1153" t="s">
        <v>1932</v>
      </c>
      <c r="B1153" t="s">
        <v>18</v>
      </c>
      <c r="C1153">
        <v>7</v>
      </c>
      <c r="D1153">
        <v>5</v>
      </c>
      <c r="E1153" s="1">
        <v>200</v>
      </c>
      <c r="F1153" s="3">
        <v>5500000</v>
      </c>
      <c r="G1153" s="2">
        <f t="shared" si="34"/>
        <v>27500</v>
      </c>
      <c r="H1153" s="2">
        <f t="shared" si="35"/>
        <v>5500000</v>
      </c>
      <c r="I1153" t="s">
        <v>1933</v>
      </c>
      <c r="J1153" t="s">
        <v>399</v>
      </c>
      <c r="K1153" t="s">
        <v>2218</v>
      </c>
      <c r="L1153" t="s">
        <v>400</v>
      </c>
      <c r="M1153" t="s">
        <v>16</v>
      </c>
      <c r="N1153" t="s">
        <v>948</v>
      </c>
    </row>
    <row r="1154" spans="1:14" x14ac:dyDescent="0.35">
      <c r="A1154" t="s">
        <v>341</v>
      </c>
      <c r="B1154" t="s">
        <v>18</v>
      </c>
      <c r="C1154">
        <v>4</v>
      </c>
      <c r="D1154">
        <v>5</v>
      </c>
      <c r="E1154" s="1">
        <v>400</v>
      </c>
      <c r="F1154" s="3">
        <v>5600000</v>
      </c>
      <c r="G1154" s="2">
        <f t="shared" si="34"/>
        <v>14000</v>
      </c>
      <c r="H1154" s="2">
        <f t="shared" si="35"/>
        <v>5600000</v>
      </c>
      <c r="I1154" t="s">
        <v>307</v>
      </c>
      <c r="J1154" t="s">
        <v>233</v>
      </c>
      <c r="K1154" t="s">
        <v>2216</v>
      </c>
      <c r="L1154" t="s">
        <v>234</v>
      </c>
      <c r="M1154" t="s">
        <v>16</v>
      </c>
      <c r="N1154" t="s">
        <v>2242</v>
      </c>
    </row>
    <row r="1155" spans="1:14" hidden="1" x14ac:dyDescent="0.35">
      <c r="A1155" t="s">
        <v>207</v>
      </c>
      <c r="B1155" t="s">
        <v>1033</v>
      </c>
      <c r="C1155">
        <v>0</v>
      </c>
      <c r="D1155">
        <v>0</v>
      </c>
      <c r="E1155" s="1">
        <v>3002</v>
      </c>
      <c r="F1155" s="3">
        <v>1900</v>
      </c>
      <c r="G1155" s="2">
        <f t="shared" si="34"/>
        <v>1900</v>
      </c>
      <c r="H1155" s="2">
        <f t="shared" si="35"/>
        <v>5703800</v>
      </c>
      <c r="I1155" t="s">
        <v>208</v>
      </c>
      <c r="J1155" t="s">
        <v>209</v>
      </c>
      <c r="K1155" t="s">
        <v>2217</v>
      </c>
      <c r="L1155" t="s">
        <v>210</v>
      </c>
      <c r="M1155" t="s">
        <v>16</v>
      </c>
      <c r="N1155" t="s">
        <v>211</v>
      </c>
    </row>
    <row r="1156" spans="1:14" x14ac:dyDescent="0.35">
      <c r="A1156" t="s">
        <v>448</v>
      </c>
      <c r="B1156" t="s">
        <v>18</v>
      </c>
      <c r="C1156">
        <v>5</v>
      </c>
      <c r="D1156">
        <v>1</v>
      </c>
      <c r="E1156" s="1">
        <v>615</v>
      </c>
      <c r="F1156" s="3">
        <v>5800000</v>
      </c>
      <c r="G1156" s="2">
        <f t="shared" si="34"/>
        <v>9430.8943089430886</v>
      </c>
      <c r="H1156" s="2">
        <f t="shared" si="35"/>
        <v>5800000</v>
      </c>
      <c r="I1156" t="s">
        <v>449</v>
      </c>
      <c r="J1156" t="s">
        <v>450</v>
      </c>
      <c r="K1156" t="s">
        <v>2216</v>
      </c>
      <c r="L1156" t="s">
        <v>451</v>
      </c>
      <c r="M1156" t="s">
        <v>16</v>
      </c>
      <c r="N1156" t="s">
        <v>452</v>
      </c>
    </row>
    <row r="1157" spans="1:14" x14ac:dyDescent="0.35">
      <c r="A1157" t="s">
        <v>1132</v>
      </c>
      <c r="B1157" t="s">
        <v>18</v>
      </c>
      <c r="C1157">
        <v>8</v>
      </c>
      <c r="D1157">
        <v>9</v>
      </c>
      <c r="E1157" s="1">
        <v>375</v>
      </c>
      <c r="F1157" s="3">
        <v>5800000</v>
      </c>
      <c r="G1157" s="2">
        <f t="shared" ref="G1157:G1220" si="36">IF(F1157&lt;50000,F1157,F1157/E1157)</f>
        <v>15466.666666666666</v>
      </c>
      <c r="H1157" s="2">
        <f t="shared" ref="H1157:H1204" si="37">IF(F1157&lt;50000,E1157*F1157,F1157)</f>
        <v>5800000</v>
      </c>
      <c r="I1157" t="s">
        <v>1133</v>
      </c>
      <c r="J1157" t="s">
        <v>241</v>
      </c>
      <c r="K1157" t="s">
        <v>2216</v>
      </c>
      <c r="L1157" t="s">
        <v>242</v>
      </c>
      <c r="M1157" t="s">
        <v>16</v>
      </c>
      <c r="N1157" t="s">
        <v>624</v>
      </c>
    </row>
    <row r="1158" spans="1:14" x14ac:dyDescent="0.35">
      <c r="A1158" t="s">
        <v>1511</v>
      </c>
      <c r="B1158" t="s">
        <v>18</v>
      </c>
      <c r="C1158">
        <v>8</v>
      </c>
      <c r="D1158">
        <v>9</v>
      </c>
      <c r="E1158" s="1">
        <v>375</v>
      </c>
      <c r="F1158" s="3">
        <v>5800000</v>
      </c>
      <c r="G1158" s="2">
        <f t="shared" si="36"/>
        <v>15466.666666666666</v>
      </c>
      <c r="H1158" s="2">
        <f t="shared" si="37"/>
        <v>5800000</v>
      </c>
      <c r="I1158" t="s">
        <v>1133</v>
      </c>
      <c r="J1158" t="s">
        <v>241</v>
      </c>
      <c r="K1158" t="s">
        <v>2216</v>
      </c>
      <c r="L1158" t="s">
        <v>242</v>
      </c>
      <c r="M1158" t="s">
        <v>16</v>
      </c>
      <c r="N1158" t="s">
        <v>624</v>
      </c>
    </row>
    <row r="1159" spans="1:14" hidden="1" x14ac:dyDescent="0.35">
      <c r="A1159" t="s">
        <v>299</v>
      </c>
      <c r="B1159" t="s">
        <v>1033</v>
      </c>
      <c r="C1159">
        <v>0</v>
      </c>
      <c r="D1159">
        <v>0</v>
      </c>
      <c r="E1159" s="1">
        <v>480</v>
      </c>
      <c r="F1159" s="3">
        <v>5850000</v>
      </c>
      <c r="G1159" s="2">
        <f t="shared" si="36"/>
        <v>12187.5</v>
      </c>
      <c r="H1159" s="2">
        <f t="shared" si="37"/>
        <v>5850000</v>
      </c>
      <c r="I1159" t="s">
        <v>300</v>
      </c>
      <c r="J1159" t="s">
        <v>241</v>
      </c>
      <c r="K1159" t="s">
        <v>2216</v>
      </c>
      <c r="L1159" t="s">
        <v>242</v>
      </c>
      <c r="M1159" t="s">
        <v>16</v>
      </c>
      <c r="N1159" t="s">
        <v>296</v>
      </c>
    </row>
    <row r="1160" spans="1:14" x14ac:dyDescent="0.35">
      <c r="A1160" t="s">
        <v>558</v>
      </c>
      <c r="B1160" t="s">
        <v>18</v>
      </c>
      <c r="C1160">
        <v>4</v>
      </c>
      <c r="D1160">
        <v>7</v>
      </c>
      <c r="E1160" s="1">
        <v>303</v>
      </c>
      <c r="F1160" s="3">
        <v>5880000</v>
      </c>
      <c r="G1160" s="2">
        <f t="shared" si="36"/>
        <v>19405.940594059404</v>
      </c>
      <c r="H1160" s="2">
        <f t="shared" si="37"/>
        <v>5880000</v>
      </c>
      <c r="I1160" t="s">
        <v>559</v>
      </c>
      <c r="J1160" t="s">
        <v>241</v>
      </c>
      <c r="K1160" t="s">
        <v>2216</v>
      </c>
      <c r="L1160" t="s">
        <v>242</v>
      </c>
      <c r="M1160" t="s">
        <v>16</v>
      </c>
      <c r="N1160" t="s">
        <v>2242</v>
      </c>
    </row>
    <row r="1161" spans="1:14" hidden="1" x14ac:dyDescent="0.35">
      <c r="A1161" t="s">
        <v>294</v>
      </c>
      <c r="B1161" t="s">
        <v>1033</v>
      </c>
      <c r="C1161">
        <v>0</v>
      </c>
      <c r="D1161">
        <v>0</v>
      </c>
      <c r="E1161" s="1">
        <v>480</v>
      </c>
      <c r="F1161" s="3">
        <v>5900000</v>
      </c>
      <c r="G1161" s="2">
        <f t="shared" si="36"/>
        <v>12291.666666666666</v>
      </c>
      <c r="H1161" s="2">
        <f t="shared" si="37"/>
        <v>5900000</v>
      </c>
      <c r="I1161" t="s">
        <v>295</v>
      </c>
      <c r="J1161" t="s">
        <v>241</v>
      </c>
      <c r="K1161" t="s">
        <v>2216</v>
      </c>
      <c r="L1161" t="s">
        <v>242</v>
      </c>
      <c r="M1161" t="s">
        <v>16</v>
      </c>
      <c r="N1161" t="s">
        <v>296</v>
      </c>
    </row>
    <row r="1162" spans="1:14" x14ac:dyDescent="0.35">
      <c r="A1162" t="s">
        <v>2008</v>
      </c>
      <c r="B1162" t="s">
        <v>18</v>
      </c>
      <c r="C1162">
        <v>5</v>
      </c>
      <c r="D1162">
        <v>5</v>
      </c>
      <c r="E1162" s="1">
        <v>416</v>
      </c>
      <c r="F1162" s="3">
        <v>5950000</v>
      </c>
      <c r="G1162" s="2">
        <f t="shared" si="36"/>
        <v>14302.884615384615</v>
      </c>
      <c r="H1162" s="2">
        <f t="shared" si="37"/>
        <v>5950000</v>
      </c>
      <c r="I1162" t="s">
        <v>559</v>
      </c>
      <c r="J1162" t="s">
        <v>241</v>
      </c>
      <c r="K1162" t="s">
        <v>2216</v>
      </c>
      <c r="L1162" t="s">
        <v>242</v>
      </c>
      <c r="M1162" t="s">
        <v>16</v>
      </c>
      <c r="N1162" t="s">
        <v>1074</v>
      </c>
    </row>
    <row r="1163" spans="1:14" x14ac:dyDescent="0.35">
      <c r="A1163" t="s">
        <v>129</v>
      </c>
      <c r="B1163" t="s">
        <v>18</v>
      </c>
      <c r="C1163">
        <v>8</v>
      </c>
      <c r="D1163">
        <v>7</v>
      </c>
      <c r="E1163" s="1">
        <v>580</v>
      </c>
      <c r="F1163" s="3">
        <v>6000000</v>
      </c>
      <c r="G1163" s="2">
        <f t="shared" si="36"/>
        <v>10344.827586206897</v>
      </c>
      <c r="H1163" s="2">
        <f t="shared" si="37"/>
        <v>6000000</v>
      </c>
      <c r="I1163" t="s">
        <v>130</v>
      </c>
      <c r="J1163" t="s">
        <v>131</v>
      </c>
      <c r="K1163" t="s">
        <v>2216</v>
      </c>
      <c r="L1163" t="s">
        <v>132</v>
      </c>
      <c r="M1163" t="s">
        <v>16</v>
      </c>
      <c r="N1163" t="s">
        <v>2242</v>
      </c>
    </row>
    <row r="1164" spans="1:14" ht="16" hidden="1" x14ac:dyDescent="0.45">
      <c r="A1164" t="s">
        <v>250</v>
      </c>
      <c r="B1164" t="s">
        <v>251</v>
      </c>
      <c r="C1164">
        <v>3</v>
      </c>
      <c r="D1164">
        <v>3</v>
      </c>
      <c r="E1164" s="1">
        <v>341</v>
      </c>
      <c r="F1164" s="3">
        <v>6000000</v>
      </c>
      <c r="G1164" s="2">
        <f t="shared" si="36"/>
        <v>17595.307917888564</v>
      </c>
      <c r="H1164" s="2">
        <f t="shared" si="37"/>
        <v>6000000</v>
      </c>
      <c r="I1164" s="4" t="s">
        <v>2227</v>
      </c>
      <c r="J1164" t="s">
        <v>169</v>
      </c>
      <c r="K1164" t="s">
        <v>2217</v>
      </c>
      <c r="L1164" t="s">
        <v>170</v>
      </c>
      <c r="M1164" t="s">
        <v>16</v>
      </c>
      <c r="N1164" t="s">
        <v>252</v>
      </c>
    </row>
    <row r="1165" spans="1:14" x14ac:dyDescent="0.35">
      <c r="A1165" t="s">
        <v>481</v>
      </c>
      <c r="B1165" t="s">
        <v>18</v>
      </c>
      <c r="C1165">
        <v>5</v>
      </c>
      <c r="D1165">
        <v>8</v>
      </c>
      <c r="E1165" s="1">
        <v>382</v>
      </c>
      <c r="F1165" s="3">
        <v>6000000</v>
      </c>
      <c r="G1165" s="2">
        <f t="shared" si="36"/>
        <v>15706.806282722513</v>
      </c>
      <c r="H1165" s="2">
        <f t="shared" si="37"/>
        <v>6000000</v>
      </c>
      <c r="I1165" t="s">
        <v>482</v>
      </c>
      <c r="J1165" t="s">
        <v>483</v>
      </c>
      <c r="K1165" t="s">
        <v>2216</v>
      </c>
      <c r="L1165" t="s">
        <v>484</v>
      </c>
      <c r="M1165" t="s">
        <v>16</v>
      </c>
      <c r="N1165" t="s">
        <v>485</v>
      </c>
    </row>
    <row r="1166" spans="1:14" x14ac:dyDescent="0.35">
      <c r="A1166" t="s">
        <v>845</v>
      </c>
      <c r="B1166" t="s">
        <v>18</v>
      </c>
      <c r="C1166">
        <v>4</v>
      </c>
      <c r="D1166">
        <v>7</v>
      </c>
      <c r="E1166" s="1">
        <v>450</v>
      </c>
      <c r="F1166" s="3">
        <v>6000000</v>
      </c>
      <c r="G1166" s="2">
        <f t="shared" si="36"/>
        <v>13333.333333333334</v>
      </c>
      <c r="H1166" s="2">
        <f t="shared" si="37"/>
        <v>6000000</v>
      </c>
      <c r="I1166" t="s">
        <v>259</v>
      </c>
      <c r="J1166" t="s">
        <v>173</v>
      </c>
      <c r="K1166" t="s">
        <v>2216</v>
      </c>
      <c r="L1166" t="s">
        <v>174</v>
      </c>
      <c r="M1166" t="s">
        <v>16</v>
      </c>
      <c r="N1166" t="s">
        <v>2242</v>
      </c>
    </row>
    <row r="1167" spans="1:14" x14ac:dyDescent="0.35">
      <c r="A1167" t="s">
        <v>900</v>
      </c>
      <c r="B1167" t="s">
        <v>18</v>
      </c>
      <c r="C1167">
        <v>4</v>
      </c>
      <c r="D1167">
        <v>6</v>
      </c>
      <c r="E1167" s="1">
        <v>600</v>
      </c>
      <c r="F1167" s="3">
        <v>6000000</v>
      </c>
      <c r="G1167" s="2">
        <f t="shared" si="36"/>
        <v>10000</v>
      </c>
      <c r="H1167" s="2">
        <f t="shared" si="37"/>
        <v>6000000</v>
      </c>
      <c r="I1167" t="s">
        <v>901</v>
      </c>
      <c r="J1167" t="s">
        <v>382</v>
      </c>
      <c r="K1167" t="s">
        <v>2217</v>
      </c>
      <c r="L1167" t="s">
        <v>383</v>
      </c>
      <c r="M1167" t="s">
        <v>16</v>
      </c>
      <c r="N1167" t="s">
        <v>2242</v>
      </c>
    </row>
    <row r="1168" spans="1:14" x14ac:dyDescent="0.35">
      <c r="A1168" t="s">
        <v>1483</v>
      </c>
      <c r="B1168" t="s">
        <v>18</v>
      </c>
      <c r="C1168">
        <v>11</v>
      </c>
      <c r="D1168">
        <v>7</v>
      </c>
      <c r="E1168" s="1">
        <v>600</v>
      </c>
      <c r="F1168" s="3">
        <v>6000000</v>
      </c>
      <c r="G1168" s="2">
        <f t="shared" si="36"/>
        <v>10000</v>
      </c>
      <c r="H1168" s="2">
        <f t="shared" si="37"/>
        <v>6000000</v>
      </c>
      <c r="I1168" t="s">
        <v>259</v>
      </c>
      <c r="J1168" t="s">
        <v>173</v>
      </c>
      <c r="K1168" t="s">
        <v>2216</v>
      </c>
      <c r="L1168" t="s">
        <v>174</v>
      </c>
      <c r="M1168" t="s">
        <v>16</v>
      </c>
      <c r="N1168" t="s">
        <v>948</v>
      </c>
    </row>
    <row r="1169" spans="1:14" hidden="1" x14ac:dyDescent="0.35">
      <c r="A1169" t="s">
        <v>1739</v>
      </c>
      <c r="B1169" t="s">
        <v>189</v>
      </c>
      <c r="C1169">
        <v>3</v>
      </c>
      <c r="D1169">
        <v>3</v>
      </c>
      <c r="E1169" s="1">
        <v>4000</v>
      </c>
      <c r="F1169" s="3">
        <v>6000000</v>
      </c>
      <c r="G1169" s="2">
        <f t="shared" si="36"/>
        <v>1500</v>
      </c>
      <c r="H1169" s="2">
        <f t="shared" si="37"/>
        <v>6000000</v>
      </c>
      <c r="I1169" t="s">
        <v>1740</v>
      </c>
      <c r="J1169" t="s">
        <v>1741</v>
      </c>
      <c r="K1169" t="s">
        <v>2215</v>
      </c>
      <c r="L1169" t="s">
        <v>1742</v>
      </c>
      <c r="M1169" t="s">
        <v>16</v>
      </c>
      <c r="N1169" t="s">
        <v>2242</v>
      </c>
    </row>
    <row r="1170" spans="1:14" x14ac:dyDescent="0.35">
      <c r="A1170" t="s">
        <v>1938</v>
      </c>
      <c r="B1170" t="s">
        <v>18</v>
      </c>
      <c r="C1170">
        <v>7</v>
      </c>
      <c r="D1170">
        <v>5</v>
      </c>
      <c r="E1170" s="1">
        <v>600</v>
      </c>
      <c r="F1170" s="3">
        <v>6000000</v>
      </c>
      <c r="G1170" s="2">
        <f t="shared" si="36"/>
        <v>10000</v>
      </c>
      <c r="H1170" s="2">
        <f t="shared" si="37"/>
        <v>6000000</v>
      </c>
      <c r="I1170" t="s">
        <v>259</v>
      </c>
      <c r="J1170" t="s">
        <v>173</v>
      </c>
      <c r="K1170" t="s">
        <v>2216</v>
      </c>
      <c r="L1170" t="s">
        <v>174</v>
      </c>
      <c r="M1170" t="s">
        <v>16</v>
      </c>
      <c r="N1170" t="s">
        <v>948</v>
      </c>
    </row>
    <row r="1171" spans="1:14" x14ac:dyDescent="0.35">
      <c r="A1171" t="s">
        <v>513</v>
      </c>
      <c r="B1171" t="s">
        <v>18</v>
      </c>
      <c r="C1171">
        <v>9</v>
      </c>
      <c r="D1171">
        <v>7</v>
      </c>
      <c r="E1171" s="1">
        <v>600</v>
      </c>
      <c r="F1171" s="3">
        <v>6300000</v>
      </c>
      <c r="G1171" s="2">
        <f t="shared" si="36"/>
        <v>10500</v>
      </c>
      <c r="H1171" s="2">
        <f t="shared" si="37"/>
        <v>6300000</v>
      </c>
      <c r="I1171" t="s">
        <v>259</v>
      </c>
      <c r="J1171" t="s">
        <v>173</v>
      </c>
      <c r="K1171" t="s">
        <v>2216</v>
      </c>
      <c r="L1171" t="s">
        <v>174</v>
      </c>
      <c r="M1171" t="s">
        <v>16</v>
      </c>
      <c r="N1171" t="s">
        <v>514</v>
      </c>
    </row>
    <row r="1172" spans="1:14" hidden="1" x14ac:dyDescent="0.35">
      <c r="A1172" t="s">
        <v>435</v>
      </c>
      <c r="B1172" t="s">
        <v>66</v>
      </c>
      <c r="C1172">
        <v>3</v>
      </c>
      <c r="D1172">
        <v>2</v>
      </c>
      <c r="E1172" s="1">
        <v>93</v>
      </c>
      <c r="F1172" s="3">
        <v>6500000</v>
      </c>
      <c r="G1172" s="2">
        <f t="shared" si="36"/>
        <v>69892.473118279566</v>
      </c>
      <c r="H1172" s="2">
        <f t="shared" si="37"/>
        <v>6500000</v>
      </c>
      <c r="I1172" t="s">
        <v>436</v>
      </c>
      <c r="J1172" t="s">
        <v>387</v>
      </c>
      <c r="K1172" t="s">
        <v>2216</v>
      </c>
      <c r="L1172" t="s">
        <v>388</v>
      </c>
      <c r="M1172" t="s">
        <v>16</v>
      </c>
      <c r="N1172" t="s">
        <v>389</v>
      </c>
    </row>
    <row r="1173" spans="1:14" x14ac:dyDescent="0.35">
      <c r="A1173" t="s">
        <v>846</v>
      </c>
      <c r="B1173" t="s">
        <v>18</v>
      </c>
      <c r="C1173">
        <v>10</v>
      </c>
      <c r="D1173">
        <v>10</v>
      </c>
      <c r="E1173" s="1">
        <v>350</v>
      </c>
      <c r="F1173" s="3">
        <v>6500000</v>
      </c>
      <c r="G1173" s="2">
        <f t="shared" si="36"/>
        <v>18571.428571428572</v>
      </c>
      <c r="H1173" s="2">
        <f t="shared" si="37"/>
        <v>6500000</v>
      </c>
      <c r="I1173" t="s">
        <v>259</v>
      </c>
      <c r="J1173" t="s">
        <v>173</v>
      </c>
      <c r="K1173" t="s">
        <v>2216</v>
      </c>
      <c r="L1173" t="s">
        <v>174</v>
      </c>
      <c r="M1173" t="s">
        <v>16</v>
      </c>
      <c r="N1173" t="s">
        <v>2242</v>
      </c>
    </row>
    <row r="1174" spans="1:14" x14ac:dyDescent="0.35">
      <c r="A1174" t="s">
        <v>720</v>
      </c>
      <c r="B1174" t="s">
        <v>18</v>
      </c>
      <c r="C1174">
        <v>6</v>
      </c>
      <c r="D1174">
        <v>5</v>
      </c>
      <c r="E1174" s="1">
        <v>909</v>
      </c>
      <c r="F1174" s="3">
        <v>6600000</v>
      </c>
      <c r="G1174" s="2">
        <f t="shared" si="36"/>
        <v>7260.7260726072609</v>
      </c>
      <c r="H1174" s="2">
        <f t="shared" si="37"/>
        <v>6600000</v>
      </c>
      <c r="I1174" t="s">
        <v>721</v>
      </c>
      <c r="J1174" t="s">
        <v>387</v>
      </c>
      <c r="K1174" t="s">
        <v>2216</v>
      </c>
      <c r="L1174" t="s">
        <v>388</v>
      </c>
      <c r="M1174" t="s">
        <v>16</v>
      </c>
      <c r="N1174" t="s">
        <v>2242</v>
      </c>
    </row>
    <row r="1175" spans="1:14" x14ac:dyDescent="0.35">
      <c r="A1175" t="s">
        <v>621</v>
      </c>
      <c r="B1175" t="s">
        <v>18</v>
      </c>
      <c r="C1175">
        <v>7</v>
      </c>
      <c r="D1175">
        <v>7</v>
      </c>
      <c r="E1175" s="1">
        <v>600</v>
      </c>
      <c r="F1175" s="3">
        <v>7000000</v>
      </c>
      <c r="G1175" s="2">
        <f t="shared" si="36"/>
        <v>11666.666666666666</v>
      </c>
      <c r="H1175" s="2">
        <f t="shared" si="37"/>
        <v>7000000</v>
      </c>
      <c r="I1175" t="s">
        <v>259</v>
      </c>
      <c r="J1175" t="s">
        <v>173</v>
      </c>
      <c r="K1175" t="s">
        <v>2216</v>
      </c>
      <c r="L1175" t="s">
        <v>174</v>
      </c>
      <c r="M1175" t="s">
        <v>16</v>
      </c>
      <c r="N1175" t="s">
        <v>574</v>
      </c>
    </row>
    <row r="1176" spans="1:14" x14ac:dyDescent="0.35">
      <c r="A1176" t="s">
        <v>1843</v>
      </c>
      <c r="B1176" t="s">
        <v>18</v>
      </c>
      <c r="C1176">
        <v>7</v>
      </c>
      <c r="D1176">
        <v>6</v>
      </c>
      <c r="E1176" s="1">
        <v>560</v>
      </c>
      <c r="F1176" s="3">
        <v>7000000</v>
      </c>
      <c r="G1176" s="2">
        <f t="shared" si="36"/>
        <v>12500</v>
      </c>
      <c r="H1176" s="2">
        <f t="shared" si="37"/>
        <v>7000000</v>
      </c>
      <c r="I1176" t="s">
        <v>1844</v>
      </c>
      <c r="J1176" t="s">
        <v>241</v>
      </c>
      <c r="K1176" t="s">
        <v>2216</v>
      </c>
      <c r="L1176" t="s">
        <v>242</v>
      </c>
      <c r="M1176" t="s">
        <v>16</v>
      </c>
      <c r="N1176" t="s">
        <v>1845</v>
      </c>
    </row>
    <row r="1177" spans="1:14" hidden="1" x14ac:dyDescent="0.35">
      <c r="A1177" t="s">
        <v>116</v>
      </c>
      <c r="B1177" t="s">
        <v>1033</v>
      </c>
      <c r="C1177">
        <v>0</v>
      </c>
      <c r="D1177">
        <v>0</v>
      </c>
      <c r="E1177" s="1">
        <v>600</v>
      </c>
      <c r="F1177" s="3">
        <v>7200000</v>
      </c>
      <c r="G1177" s="2">
        <f t="shared" si="36"/>
        <v>12000</v>
      </c>
      <c r="H1177" s="2">
        <f t="shared" si="37"/>
        <v>7200000</v>
      </c>
      <c r="I1177" t="s">
        <v>117</v>
      </c>
      <c r="J1177" t="s">
        <v>118</v>
      </c>
      <c r="K1177" t="s">
        <v>2216</v>
      </c>
      <c r="L1177" t="s">
        <v>119</v>
      </c>
      <c r="M1177" t="s">
        <v>16</v>
      </c>
      <c r="N1177" t="s">
        <v>120</v>
      </c>
    </row>
    <row r="1178" spans="1:14" x14ac:dyDescent="0.35">
      <c r="A1178" t="s">
        <v>1903</v>
      </c>
      <c r="B1178" t="s">
        <v>18</v>
      </c>
      <c r="C1178">
        <v>7</v>
      </c>
      <c r="D1178">
        <v>5</v>
      </c>
      <c r="E1178" s="1">
        <v>700</v>
      </c>
      <c r="F1178" s="3">
        <v>7200000</v>
      </c>
      <c r="G1178" s="2">
        <f t="shared" si="36"/>
        <v>10285.714285714286</v>
      </c>
      <c r="H1178" s="2">
        <f t="shared" si="37"/>
        <v>7200000</v>
      </c>
      <c r="I1178" t="s">
        <v>1904</v>
      </c>
      <c r="J1178" t="s">
        <v>494</v>
      </c>
      <c r="K1178" t="s">
        <v>2217</v>
      </c>
      <c r="L1178" t="s">
        <v>495</v>
      </c>
      <c r="M1178" t="s">
        <v>16</v>
      </c>
      <c r="N1178" t="s">
        <v>1905</v>
      </c>
    </row>
    <row r="1179" spans="1:14" hidden="1" x14ac:dyDescent="0.35">
      <c r="A1179" t="s">
        <v>1600</v>
      </c>
      <c r="B1179" t="s">
        <v>1033</v>
      </c>
      <c r="C1179">
        <v>0</v>
      </c>
      <c r="D1179">
        <v>0</v>
      </c>
      <c r="E1179" s="1">
        <v>816</v>
      </c>
      <c r="F1179" s="3">
        <v>7344000</v>
      </c>
      <c r="G1179" s="2">
        <f t="shared" si="36"/>
        <v>9000</v>
      </c>
      <c r="H1179" s="2">
        <f t="shared" si="37"/>
        <v>7344000</v>
      </c>
      <c r="I1179" t="s">
        <v>1601</v>
      </c>
      <c r="J1179" t="s">
        <v>346</v>
      </c>
      <c r="K1179" t="s">
        <v>2216</v>
      </c>
      <c r="L1179" t="s">
        <v>347</v>
      </c>
      <c r="M1179" t="s">
        <v>16</v>
      </c>
      <c r="N1179" t="s">
        <v>1602</v>
      </c>
    </row>
    <row r="1180" spans="1:14" hidden="1" x14ac:dyDescent="0.35">
      <c r="A1180" t="s">
        <v>1613</v>
      </c>
      <c r="B1180" t="s">
        <v>1033</v>
      </c>
      <c r="C1180">
        <v>0</v>
      </c>
      <c r="D1180">
        <v>0</v>
      </c>
      <c r="E1180" s="1">
        <v>887</v>
      </c>
      <c r="F1180" s="3">
        <v>8500</v>
      </c>
      <c r="G1180" s="2">
        <f t="shared" si="36"/>
        <v>8500</v>
      </c>
      <c r="H1180" s="2">
        <f t="shared" si="37"/>
        <v>7539500</v>
      </c>
      <c r="I1180" t="s">
        <v>1614</v>
      </c>
      <c r="J1180" t="s">
        <v>483</v>
      </c>
      <c r="K1180" t="s">
        <v>2216</v>
      </c>
      <c r="L1180" t="s">
        <v>484</v>
      </c>
      <c r="M1180" t="s">
        <v>16</v>
      </c>
      <c r="N1180" t="s">
        <v>1615</v>
      </c>
    </row>
    <row r="1181" spans="1:14" x14ac:dyDescent="0.35">
      <c r="A1181" t="s">
        <v>1729</v>
      </c>
      <c r="B1181" t="s">
        <v>18</v>
      </c>
      <c r="C1181">
        <v>3</v>
      </c>
      <c r="D1181">
        <v>4</v>
      </c>
      <c r="E1181" s="1">
        <v>960</v>
      </c>
      <c r="F1181" s="3">
        <v>7680000</v>
      </c>
      <c r="G1181" s="2">
        <f t="shared" si="36"/>
        <v>8000</v>
      </c>
      <c r="H1181" s="2">
        <f t="shared" si="37"/>
        <v>7680000</v>
      </c>
      <c r="I1181" t="s">
        <v>1730</v>
      </c>
      <c r="J1181" t="s">
        <v>1731</v>
      </c>
      <c r="K1181" t="s">
        <v>2216</v>
      </c>
      <c r="L1181" t="s">
        <v>1732</v>
      </c>
      <c r="M1181" t="s">
        <v>16</v>
      </c>
      <c r="N1181" t="s">
        <v>1602</v>
      </c>
    </row>
    <row r="1182" spans="1:14" x14ac:dyDescent="0.35">
      <c r="A1182" t="s">
        <v>2029</v>
      </c>
      <c r="B1182" t="s">
        <v>18</v>
      </c>
      <c r="C1182">
        <v>5</v>
      </c>
      <c r="D1182">
        <v>5</v>
      </c>
      <c r="E1182" s="1">
        <v>525</v>
      </c>
      <c r="F1182" s="3">
        <v>7850000</v>
      </c>
      <c r="G1182" s="2">
        <f t="shared" si="36"/>
        <v>14952.380952380952</v>
      </c>
      <c r="H1182" s="2">
        <f t="shared" si="37"/>
        <v>7850000</v>
      </c>
      <c r="I1182" t="s">
        <v>2030</v>
      </c>
      <c r="J1182" t="s">
        <v>118</v>
      </c>
      <c r="K1182" t="s">
        <v>2216</v>
      </c>
      <c r="L1182" t="s">
        <v>119</v>
      </c>
      <c r="M1182" t="s">
        <v>16</v>
      </c>
      <c r="N1182" t="s">
        <v>1999</v>
      </c>
    </row>
    <row r="1183" spans="1:14" x14ac:dyDescent="0.35">
      <c r="A1183" t="s">
        <v>1859</v>
      </c>
      <c r="B1183" t="s">
        <v>18</v>
      </c>
      <c r="C1183">
        <v>6</v>
      </c>
      <c r="D1183">
        <v>5</v>
      </c>
      <c r="E1183" s="1">
        <v>825</v>
      </c>
      <c r="F1183" s="3">
        <v>8000000</v>
      </c>
      <c r="G1183" s="2">
        <f t="shared" si="36"/>
        <v>9696.9696969696961</v>
      </c>
      <c r="H1183" s="2">
        <f t="shared" si="37"/>
        <v>8000000</v>
      </c>
      <c r="I1183" t="s">
        <v>1860</v>
      </c>
      <c r="J1183" t="s">
        <v>734</v>
      </c>
      <c r="K1183" t="s">
        <v>2216</v>
      </c>
      <c r="L1183" t="s">
        <v>735</v>
      </c>
      <c r="M1183" t="s">
        <v>16</v>
      </c>
      <c r="N1183" t="s">
        <v>1861</v>
      </c>
    </row>
    <row r="1184" spans="1:14" x14ac:dyDescent="0.35">
      <c r="A1184" t="s">
        <v>1075</v>
      </c>
      <c r="B1184" t="s">
        <v>18</v>
      </c>
      <c r="C1184">
        <v>8</v>
      </c>
      <c r="D1184">
        <v>7</v>
      </c>
      <c r="E1184" s="1">
        <v>420</v>
      </c>
      <c r="F1184" s="3">
        <v>8500000</v>
      </c>
      <c r="G1184" s="2">
        <f t="shared" si="36"/>
        <v>20238.095238095237</v>
      </c>
      <c r="H1184" s="2">
        <f t="shared" si="37"/>
        <v>8500000</v>
      </c>
      <c r="I1184" t="s">
        <v>1076</v>
      </c>
      <c r="J1184" t="s">
        <v>255</v>
      </c>
      <c r="K1184" t="s">
        <v>2216</v>
      </c>
      <c r="L1184" t="s">
        <v>256</v>
      </c>
      <c r="M1184" t="s">
        <v>16</v>
      </c>
      <c r="N1184" t="s">
        <v>1077</v>
      </c>
    </row>
    <row r="1185" spans="1:14" x14ac:dyDescent="0.35">
      <c r="A1185" t="s">
        <v>1080</v>
      </c>
      <c r="B1185" t="s">
        <v>18</v>
      </c>
      <c r="C1185">
        <v>5</v>
      </c>
      <c r="D1185">
        <v>9</v>
      </c>
      <c r="E1185" s="1">
        <v>750</v>
      </c>
      <c r="F1185" s="3">
        <v>8719000</v>
      </c>
      <c r="G1185" s="2">
        <f t="shared" si="36"/>
        <v>11625.333333333334</v>
      </c>
      <c r="H1185" s="2">
        <f t="shared" si="37"/>
        <v>8719000</v>
      </c>
      <c r="I1185" t="s">
        <v>163</v>
      </c>
      <c r="J1185" t="s">
        <v>164</v>
      </c>
      <c r="K1185" t="s">
        <v>2218</v>
      </c>
      <c r="L1185" t="s">
        <v>165</v>
      </c>
      <c r="M1185" t="s">
        <v>16</v>
      </c>
      <c r="N1185" t="s">
        <v>496</v>
      </c>
    </row>
    <row r="1186" spans="1:14" hidden="1" x14ac:dyDescent="0.35">
      <c r="A1186" t="s">
        <v>441</v>
      </c>
      <c r="B1186" t="s">
        <v>1033</v>
      </c>
      <c r="C1186">
        <v>0</v>
      </c>
      <c r="D1186">
        <v>0</v>
      </c>
      <c r="E1186" s="1">
        <v>1611</v>
      </c>
      <c r="F1186" s="3">
        <v>8860500</v>
      </c>
      <c r="G1186" s="2">
        <f t="shared" si="36"/>
        <v>5500</v>
      </c>
      <c r="H1186" s="2">
        <f t="shared" si="37"/>
        <v>8860500</v>
      </c>
      <c r="I1186" t="s">
        <v>442</v>
      </c>
      <c r="J1186" t="s">
        <v>443</v>
      </c>
      <c r="K1186" t="s">
        <v>2217</v>
      </c>
      <c r="L1186" t="s">
        <v>444</v>
      </c>
      <c r="M1186" t="s">
        <v>16</v>
      </c>
      <c r="N1186" t="s">
        <v>225</v>
      </c>
    </row>
    <row r="1187" spans="1:14" hidden="1" x14ac:dyDescent="0.35">
      <c r="A1187" t="s">
        <v>1032</v>
      </c>
      <c r="B1187" t="s">
        <v>1033</v>
      </c>
      <c r="C1187">
        <v>0</v>
      </c>
      <c r="D1187">
        <v>0</v>
      </c>
      <c r="E1187" s="1">
        <v>900</v>
      </c>
      <c r="F1187" s="3">
        <v>10000</v>
      </c>
      <c r="G1187" s="2">
        <f t="shared" si="36"/>
        <v>10000</v>
      </c>
      <c r="H1187" s="2">
        <f t="shared" si="37"/>
        <v>9000000</v>
      </c>
      <c r="I1187" t="s">
        <v>1034</v>
      </c>
      <c r="J1187" t="s">
        <v>1035</v>
      </c>
      <c r="K1187" t="s">
        <v>2216</v>
      </c>
      <c r="L1187" t="s">
        <v>1036</v>
      </c>
      <c r="M1187" t="s">
        <v>16</v>
      </c>
      <c r="N1187" t="s">
        <v>1037</v>
      </c>
    </row>
    <row r="1188" spans="1:14" x14ac:dyDescent="0.35">
      <c r="A1188" t="s">
        <v>1054</v>
      </c>
      <c r="B1188" t="s">
        <v>18</v>
      </c>
      <c r="C1188">
        <v>5</v>
      </c>
      <c r="D1188">
        <v>5</v>
      </c>
      <c r="E1188" s="1">
        <v>902</v>
      </c>
      <c r="F1188" s="3">
        <v>9000000</v>
      </c>
      <c r="G1188" s="2">
        <f t="shared" si="36"/>
        <v>9977.8270509977829</v>
      </c>
      <c r="H1188" s="2">
        <f t="shared" si="37"/>
        <v>9000000</v>
      </c>
      <c r="I1188" t="s">
        <v>1055</v>
      </c>
      <c r="J1188" t="s">
        <v>1056</v>
      </c>
      <c r="K1188" t="s">
        <v>2216</v>
      </c>
      <c r="L1188" t="s">
        <v>1057</v>
      </c>
      <c r="M1188" t="s">
        <v>16</v>
      </c>
      <c r="N1188" t="s">
        <v>2242</v>
      </c>
    </row>
    <row r="1189" spans="1:14" x14ac:dyDescent="0.35">
      <c r="A1189" t="s">
        <v>2080</v>
      </c>
      <c r="B1189" t="s">
        <v>18</v>
      </c>
      <c r="C1189">
        <v>5</v>
      </c>
      <c r="D1189">
        <v>5</v>
      </c>
      <c r="E1189" s="1">
        <v>902</v>
      </c>
      <c r="F1189" s="3">
        <v>9000000</v>
      </c>
      <c r="G1189" s="2">
        <f t="shared" si="36"/>
        <v>9977.8270509977829</v>
      </c>
      <c r="H1189" s="2">
        <f t="shared" si="37"/>
        <v>9000000</v>
      </c>
      <c r="I1189" t="s">
        <v>2081</v>
      </c>
      <c r="J1189" t="s">
        <v>1056</v>
      </c>
      <c r="K1189" t="s">
        <v>2216</v>
      </c>
      <c r="L1189" t="s">
        <v>1057</v>
      </c>
      <c r="M1189" t="s">
        <v>16</v>
      </c>
      <c r="N1189" t="s">
        <v>2082</v>
      </c>
    </row>
    <row r="1190" spans="1:14" x14ac:dyDescent="0.35">
      <c r="A1190" t="s">
        <v>2180</v>
      </c>
      <c r="B1190" t="s">
        <v>18</v>
      </c>
      <c r="C1190">
        <v>5</v>
      </c>
      <c r="D1190">
        <v>6</v>
      </c>
      <c r="E1190" s="1">
        <v>900</v>
      </c>
      <c r="F1190" s="3">
        <v>9000000</v>
      </c>
      <c r="G1190" s="2">
        <f t="shared" si="36"/>
        <v>10000</v>
      </c>
      <c r="H1190" s="2">
        <f t="shared" si="37"/>
        <v>9000000</v>
      </c>
      <c r="I1190" t="s">
        <v>2181</v>
      </c>
      <c r="J1190" t="s">
        <v>241</v>
      </c>
      <c r="K1190" t="s">
        <v>2216</v>
      </c>
      <c r="L1190" t="s">
        <v>242</v>
      </c>
      <c r="M1190" t="s">
        <v>16</v>
      </c>
      <c r="N1190" t="s">
        <v>2182</v>
      </c>
    </row>
    <row r="1191" spans="1:14" hidden="1" x14ac:dyDescent="0.35">
      <c r="A1191" t="s">
        <v>56</v>
      </c>
      <c r="B1191" t="s">
        <v>1033</v>
      </c>
      <c r="C1191">
        <v>0</v>
      </c>
      <c r="D1191">
        <v>0</v>
      </c>
      <c r="E1191" s="1">
        <v>390</v>
      </c>
      <c r="F1191" s="3">
        <v>9200000</v>
      </c>
      <c r="G1191" s="2">
        <f t="shared" si="36"/>
        <v>23589.74358974359</v>
      </c>
      <c r="H1191" s="2">
        <f t="shared" si="37"/>
        <v>9200000</v>
      </c>
      <c r="I1191" t="s">
        <v>57</v>
      </c>
      <c r="J1191" t="s">
        <v>58</v>
      </c>
      <c r="K1191" t="s">
        <v>2216</v>
      </c>
      <c r="L1191" t="s">
        <v>59</v>
      </c>
      <c r="M1191" t="s">
        <v>16</v>
      </c>
      <c r="N1191" t="s">
        <v>2242</v>
      </c>
    </row>
    <row r="1192" spans="1:14" hidden="1" x14ac:dyDescent="0.35">
      <c r="A1192" t="s">
        <v>1173</v>
      </c>
      <c r="B1192" t="s">
        <v>189</v>
      </c>
      <c r="C1192">
        <v>10</v>
      </c>
      <c r="D1192">
        <v>10</v>
      </c>
      <c r="E1192" s="1">
        <v>1000</v>
      </c>
      <c r="F1192" s="3">
        <v>10000000</v>
      </c>
      <c r="G1192" s="2">
        <f t="shared" si="36"/>
        <v>10000</v>
      </c>
      <c r="H1192" s="2">
        <f t="shared" si="37"/>
        <v>10000000</v>
      </c>
      <c r="I1192" t="s">
        <v>1174</v>
      </c>
      <c r="J1192" t="s">
        <v>942</v>
      </c>
      <c r="K1192" t="s">
        <v>2219</v>
      </c>
      <c r="L1192" t="s">
        <v>943</v>
      </c>
      <c r="M1192" t="s">
        <v>16</v>
      </c>
      <c r="N1192" t="s">
        <v>2242</v>
      </c>
    </row>
    <row r="1193" spans="1:14" x14ac:dyDescent="0.35">
      <c r="A1193" t="s">
        <v>344</v>
      </c>
      <c r="B1193" t="s">
        <v>18</v>
      </c>
      <c r="C1193">
        <v>5</v>
      </c>
      <c r="D1193">
        <v>6</v>
      </c>
      <c r="E1193" s="1">
        <v>990</v>
      </c>
      <c r="F1193" s="3">
        <v>11000000</v>
      </c>
      <c r="G1193" s="2">
        <f t="shared" si="36"/>
        <v>11111.111111111111</v>
      </c>
      <c r="H1193" s="2">
        <f t="shared" si="37"/>
        <v>11000000</v>
      </c>
      <c r="I1193" t="s">
        <v>345</v>
      </c>
      <c r="J1193" t="s">
        <v>346</v>
      </c>
      <c r="K1193" t="s">
        <v>2216</v>
      </c>
      <c r="L1193" t="s">
        <v>347</v>
      </c>
      <c r="M1193" t="s">
        <v>16</v>
      </c>
      <c r="N1193" t="s">
        <v>2242</v>
      </c>
    </row>
    <row r="1194" spans="1:14" x14ac:dyDescent="0.35">
      <c r="A1194" t="s">
        <v>926</v>
      </c>
      <c r="B1194" t="s">
        <v>18</v>
      </c>
      <c r="C1194">
        <v>5</v>
      </c>
      <c r="D1194">
        <v>6</v>
      </c>
      <c r="E1194" s="1">
        <v>540</v>
      </c>
      <c r="F1194" s="3">
        <v>11000000</v>
      </c>
      <c r="G1194" s="2">
        <f t="shared" si="36"/>
        <v>20370.370370370369</v>
      </c>
      <c r="H1194" s="2">
        <f t="shared" si="37"/>
        <v>11000000</v>
      </c>
      <c r="I1194" t="s">
        <v>594</v>
      </c>
      <c r="J1194" t="s">
        <v>173</v>
      </c>
      <c r="K1194" t="s">
        <v>2216</v>
      </c>
      <c r="L1194" t="s">
        <v>174</v>
      </c>
      <c r="M1194" t="s">
        <v>16</v>
      </c>
      <c r="N1194" t="s">
        <v>927</v>
      </c>
    </row>
    <row r="1195" spans="1:14" x14ac:dyDescent="0.35">
      <c r="A1195" t="s">
        <v>1824</v>
      </c>
      <c r="B1195" t="s">
        <v>18</v>
      </c>
      <c r="C1195">
        <v>10</v>
      </c>
      <c r="D1195">
        <v>11</v>
      </c>
      <c r="E1195" s="1">
        <v>525</v>
      </c>
      <c r="F1195" s="3">
        <v>11000000</v>
      </c>
      <c r="G1195" s="2">
        <f t="shared" si="36"/>
        <v>20952.380952380954</v>
      </c>
      <c r="H1195" s="2">
        <f t="shared" si="37"/>
        <v>11000000</v>
      </c>
      <c r="I1195" t="s">
        <v>1825</v>
      </c>
      <c r="J1195" t="s">
        <v>241</v>
      </c>
      <c r="K1195" t="s">
        <v>2216</v>
      </c>
      <c r="L1195" t="s">
        <v>242</v>
      </c>
      <c r="M1195" t="s">
        <v>16</v>
      </c>
      <c r="N1195" t="s">
        <v>70</v>
      </c>
    </row>
    <row r="1196" spans="1:14" hidden="1" x14ac:dyDescent="0.35">
      <c r="A1196" t="s">
        <v>535</v>
      </c>
      <c r="B1196" t="s">
        <v>189</v>
      </c>
      <c r="C1196">
        <v>11</v>
      </c>
      <c r="D1196">
        <v>11</v>
      </c>
      <c r="E1196" s="1">
        <v>900</v>
      </c>
      <c r="F1196" s="3">
        <v>12500000</v>
      </c>
      <c r="G1196" s="2">
        <f t="shared" si="36"/>
        <v>13888.888888888889</v>
      </c>
      <c r="H1196" s="2">
        <f t="shared" si="37"/>
        <v>12500000</v>
      </c>
      <c r="I1196" t="s">
        <v>536</v>
      </c>
      <c r="J1196" t="s">
        <v>173</v>
      </c>
      <c r="K1196" t="s">
        <v>2216</v>
      </c>
      <c r="L1196" t="s">
        <v>174</v>
      </c>
      <c r="M1196" t="s">
        <v>16</v>
      </c>
      <c r="N1196" t="s">
        <v>537</v>
      </c>
    </row>
    <row r="1197" spans="1:14" x14ac:dyDescent="0.35">
      <c r="A1197" t="s">
        <v>314</v>
      </c>
      <c r="B1197" t="s">
        <v>18</v>
      </c>
      <c r="C1197">
        <v>9</v>
      </c>
      <c r="D1197">
        <v>6</v>
      </c>
      <c r="E1197" s="1">
        <v>490</v>
      </c>
      <c r="F1197" s="3">
        <v>15000000</v>
      </c>
      <c r="G1197" s="2">
        <f t="shared" si="36"/>
        <v>30612.244897959183</v>
      </c>
      <c r="H1197" s="2">
        <f t="shared" si="37"/>
        <v>15000000</v>
      </c>
      <c r="I1197" t="s">
        <v>315</v>
      </c>
      <c r="J1197" t="s">
        <v>255</v>
      </c>
      <c r="K1197" t="s">
        <v>2216</v>
      </c>
      <c r="L1197" t="s">
        <v>256</v>
      </c>
      <c r="M1197" t="s">
        <v>16</v>
      </c>
      <c r="N1197" t="s">
        <v>2242</v>
      </c>
    </row>
    <row r="1198" spans="1:14" x14ac:dyDescent="0.35">
      <c r="A1198" t="s">
        <v>582</v>
      </c>
      <c r="B1198" t="s">
        <v>18</v>
      </c>
      <c r="C1198">
        <v>5</v>
      </c>
      <c r="D1198">
        <v>5</v>
      </c>
      <c r="E1198" s="1">
        <v>580</v>
      </c>
      <c r="F1198" s="3">
        <v>15000000</v>
      </c>
      <c r="G1198" s="2">
        <f t="shared" si="36"/>
        <v>25862.068965517243</v>
      </c>
      <c r="H1198" s="2">
        <f t="shared" si="37"/>
        <v>15000000</v>
      </c>
      <c r="I1198" t="s">
        <v>583</v>
      </c>
      <c r="J1198" t="s">
        <v>145</v>
      </c>
      <c r="K1198" t="s">
        <v>2216</v>
      </c>
      <c r="L1198" t="s">
        <v>146</v>
      </c>
      <c r="M1198" t="s">
        <v>16</v>
      </c>
      <c r="N1198" t="s">
        <v>574</v>
      </c>
    </row>
    <row r="1199" spans="1:14" x14ac:dyDescent="0.35">
      <c r="A1199" t="s">
        <v>884</v>
      </c>
      <c r="B1199" t="s">
        <v>18</v>
      </c>
      <c r="C1199">
        <v>10</v>
      </c>
      <c r="D1199">
        <v>10</v>
      </c>
      <c r="E1199" s="1">
        <v>1225</v>
      </c>
      <c r="F1199" s="3">
        <v>15500000</v>
      </c>
      <c r="G1199" s="2">
        <f t="shared" si="36"/>
        <v>12653.061224489797</v>
      </c>
      <c r="H1199" s="2">
        <f t="shared" si="37"/>
        <v>15500000</v>
      </c>
      <c r="I1199" t="s">
        <v>885</v>
      </c>
      <c r="J1199" t="s">
        <v>255</v>
      </c>
      <c r="K1199" t="s">
        <v>2216</v>
      </c>
      <c r="L1199" t="s">
        <v>256</v>
      </c>
      <c r="M1199" t="s">
        <v>16</v>
      </c>
      <c r="N1199" t="s">
        <v>2242</v>
      </c>
    </row>
    <row r="1200" spans="1:14" x14ac:dyDescent="0.35">
      <c r="A1200" t="s">
        <v>1906</v>
      </c>
      <c r="B1200" t="s">
        <v>18</v>
      </c>
      <c r="C1200">
        <v>7</v>
      </c>
      <c r="D1200">
        <v>5</v>
      </c>
      <c r="E1200" s="1">
        <v>1050</v>
      </c>
      <c r="F1200" s="3">
        <v>16000000</v>
      </c>
      <c r="G1200" s="2">
        <f t="shared" si="36"/>
        <v>15238.095238095239</v>
      </c>
      <c r="H1200" s="2">
        <f t="shared" si="37"/>
        <v>16000000</v>
      </c>
      <c r="I1200" t="s">
        <v>259</v>
      </c>
      <c r="J1200" t="s">
        <v>173</v>
      </c>
      <c r="K1200" t="s">
        <v>2216</v>
      </c>
      <c r="L1200" t="s">
        <v>174</v>
      </c>
      <c r="M1200" t="s">
        <v>16</v>
      </c>
      <c r="N1200" t="s">
        <v>1905</v>
      </c>
    </row>
    <row r="1201" spans="1:14" hidden="1" x14ac:dyDescent="0.35">
      <c r="A1201" t="s">
        <v>2073</v>
      </c>
      <c r="B1201" t="s">
        <v>1033</v>
      </c>
      <c r="C1201">
        <v>0</v>
      </c>
      <c r="D1201">
        <v>0</v>
      </c>
      <c r="E1201" s="1">
        <v>3480</v>
      </c>
      <c r="F1201" s="3">
        <v>6500</v>
      </c>
      <c r="G1201" s="2">
        <f t="shared" si="36"/>
        <v>6500</v>
      </c>
      <c r="H1201" s="2">
        <f t="shared" si="37"/>
        <v>22620000</v>
      </c>
      <c r="I1201" t="s">
        <v>2074</v>
      </c>
      <c r="J1201" t="s">
        <v>145</v>
      </c>
      <c r="K1201" t="s">
        <v>2216</v>
      </c>
      <c r="L1201" t="s">
        <v>146</v>
      </c>
      <c r="M1201" t="s">
        <v>16</v>
      </c>
      <c r="N1201" t="s">
        <v>574</v>
      </c>
    </row>
    <row r="1202" spans="1:14" x14ac:dyDescent="0.35">
      <c r="A1202" t="s">
        <v>664</v>
      </c>
      <c r="B1202" t="s">
        <v>18</v>
      </c>
      <c r="C1202">
        <v>4</v>
      </c>
      <c r="D1202">
        <v>8</v>
      </c>
      <c r="E1202" s="1">
        <v>240</v>
      </c>
      <c r="F1202" s="3">
        <v>22800000</v>
      </c>
      <c r="G1202" s="2">
        <f t="shared" si="36"/>
        <v>95000</v>
      </c>
      <c r="H1202" s="2">
        <f t="shared" si="37"/>
        <v>22800000</v>
      </c>
      <c r="I1202" t="s">
        <v>665</v>
      </c>
      <c r="J1202" t="s">
        <v>666</v>
      </c>
      <c r="K1202" t="s">
        <v>2217</v>
      </c>
      <c r="L1202" t="s">
        <v>667</v>
      </c>
      <c r="M1202" t="s">
        <v>16</v>
      </c>
      <c r="N1202" t="s">
        <v>668</v>
      </c>
    </row>
    <row r="1203" spans="1:14" x14ac:dyDescent="0.35">
      <c r="A1203" t="s">
        <v>732</v>
      </c>
      <c r="B1203" t="s">
        <v>18</v>
      </c>
      <c r="C1203">
        <v>7</v>
      </c>
      <c r="D1203">
        <v>6</v>
      </c>
      <c r="E1203" s="1">
        <v>1680</v>
      </c>
      <c r="F1203" s="3">
        <v>27000000</v>
      </c>
      <c r="G1203" s="2">
        <f t="shared" si="36"/>
        <v>16071.428571428571</v>
      </c>
      <c r="H1203" s="2">
        <f t="shared" si="37"/>
        <v>27000000</v>
      </c>
      <c r="I1203" t="s">
        <v>733</v>
      </c>
      <c r="J1203" t="s">
        <v>734</v>
      </c>
      <c r="K1203" t="s">
        <v>2216</v>
      </c>
      <c r="L1203" t="s">
        <v>735</v>
      </c>
      <c r="M1203" t="s">
        <v>16</v>
      </c>
      <c r="N1203" t="s">
        <v>736</v>
      </c>
    </row>
    <row r="1204" spans="1:14" x14ac:dyDescent="0.35">
      <c r="A1204" t="s">
        <v>1070</v>
      </c>
      <c r="B1204" t="s">
        <v>18</v>
      </c>
      <c r="C1204">
        <v>6</v>
      </c>
      <c r="D1204">
        <v>6</v>
      </c>
      <c r="E1204" s="1">
        <v>1008</v>
      </c>
      <c r="F1204" s="3">
        <v>27000000</v>
      </c>
      <c r="G1204" s="2">
        <f t="shared" si="36"/>
        <v>26785.714285714286</v>
      </c>
      <c r="H1204" s="2">
        <f t="shared" si="37"/>
        <v>27000000</v>
      </c>
      <c r="I1204" t="s">
        <v>2230</v>
      </c>
      <c r="J1204" t="s">
        <v>241</v>
      </c>
      <c r="K1204" t="s">
        <v>2216</v>
      </c>
      <c r="L1204" t="s">
        <v>242</v>
      </c>
      <c r="M1204" t="s">
        <v>16</v>
      </c>
      <c r="N1204" t="s">
        <v>2242</v>
      </c>
    </row>
  </sheetData>
  <sortState xmlns:xlrd2="http://schemas.microsoft.com/office/spreadsheetml/2017/richdata2" ref="A5:N1204">
    <sortCondition ref="H5:H1204"/>
  </sortState>
  <mergeCells count="1">
    <mergeCell ref="A1:N3"/>
  </mergeCells>
  <conditionalFormatting sqref="H5:H1204">
    <cfRule type="dataBar" priority="1">
      <dataBar>
        <cfvo type="min"/>
        <cfvo type="max"/>
        <color rgb="FF638EC6"/>
      </dataBar>
      <extLst>
        <ext xmlns:x14="http://schemas.microsoft.com/office/spreadsheetml/2009/9/main" uri="{B025F937-C7B1-47D3-B67F-A62EFF666E3E}">
          <x14:id>{6DCC33CD-3E01-45E8-A5BD-D341FBBE8F77}</x14:id>
        </ext>
      </extLst>
    </cfRule>
    <cfRule type="iconSet" priority="9">
      <iconSet iconSet="4Rating">
        <cfvo type="percent" val="0"/>
        <cfvo type="percent" val="25"/>
        <cfvo type="percent" val="50"/>
        <cfvo type="percent" val="75"/>
      </iconSe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DCC33CD-3E01-45E8-A5BD-D341FBBE8F77}">
            <x14:dataBar minLength="0" maxLength="100" gradient="0">
              <x14:cfvo type="autoMin"/>
              <x14:cfvo type="autoMax"/>
              <x14:negativeFillColor rgb="FFFF0000"/>
              <x14:axisColor rgb="FF000000"/>
            </x14:dataBar>
          </x14:cfRule>
          <xm:sqref>H5:H1204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CF7E-E060-46C3-B09F-4691B1197D84}">
  <dimension ref="A1:H19"/>
  <sheetViews>
    <sheetView zoomScale="69" workbookViewId="0">
      <selection activeCell="B15" sqref="B15"/>
    </sheetView>
  </sheetViews>
  <sheetFormatPr defaultRowHeight="14.5" x14ac:dyDescent="0.35"/>
  <cols>
    <col min="1" max="1" width="10.7265625" bestFit="1" customWidth="1"/>
    <col min="2" max="2" width="22.08984375" bestFit="1" customWidth="1"/>
    <col min="3" max="3" width="10.36328125" bestFit="1" customWidth="1"/>
    <col min="4" max="5" width="10.1796875" bestFit="1" customWidth="1"/>
    <col min="6" max="7" width="10.36328125" bestFit="1" customWidth="1"/>
    <col min="8" max="8" width="10.7265625" bestFit="1" customWidth="1"/>
  </cols>
  <sheetData>
    <row r="1" spans="1:8" x14ac:dyDescent="0.35">
      <c r="A1" s="7" t="s">
        <v>2245</v>
      </c>
    </row>
    <row r="2" spans="1:8" x14ac:dyDescent="0.35">
      <c r="B2" t="s">
        <v>1033</v>
      </c>
      <c r="C2" t="s">
        <v>251</v>
      </c>
      <c r="D2" t="s">
        <v>12</v>
      </c>
      <c r="E2" t="s">
        <v>66</v>
      </c>
      <c r="F2" t="s">
        <v>189</v>
      </c>
      <c r="G2" t="s">
        <v>18</v>
      </c>
      <c r="H2" t="s">
        <v>2244</v>
      </c>
    </row>
    <row r="3" spans="1:8" x14ac:dyDescent="0.35">
      <c r="A3" s="8" t="s">
        <v>2215</v>
      </c>
      <c r="B3" s="2">
        <v>747896</v>
      </c>
      <c r="C3" s="2">
        <v>650000</v>
      </c>
      <c r="D3" s="2">
        <v>685858.93684210523</v>
      </c>
      <c r="E3" s="2">
        <v>475134.02061855671</v>
      </c>
      <c r="F3" s="2">
        <v>2346666.6666666665</v>
      </c>
      <c r="G3" s="2">
        <v>1172972.972972973</v>
      </c>
      <c r="H3" s="2">
        <v>698821.23045267491</v>
      </c>
    </row>
    <row r="4" spans="1:8" x14ac:dyDescent="0.35">
      <c r="A4" s="8" t="s">
        <v>2217</v>
      </c>
      <c r="B4" s="2">
        <v>2079364.3333333333</v>
      </c>
      <c r="C4" s="2">
        <v>6000000</v>
      </c>
      <c r="D4" s="2">
        <v>1196843.9716312056</v>
      </c>
      <c r="E4" s="2">
        <v>904630.6</v>
      </c>
      <c r="F4" s="2">
        <v>1749666.6666666667</v>
      </c>
      <c r="G4" s="2">
        <v>2833719.86</v>
      </c>
      <c r="H4" s="2">
        <v>1626111.6005509642</v>
      </c>
    </row>
    <row r="5" spans="1:8" x14ac:dyDescent="0.35">
      <c r="A5" s="8" t="s">
        <v>2216</v>
      </c>
      <c r="B5" s="2">
        <v>4244334.222222222</v>
      </c>
      <c r="C5" s="2">
        <v>4080000</v>
      </c>
      <c r="D5" s="2">
        <v>1686720</v>
      </c>
      <c r="E5" s="2">
        <v>1368814.375</v>
      </c>
      <c r="F5" s="2">
        <v>8900000</v>
      </c>
      <c r="G5" s="2">
        <v>5119487.7049180325</v>
      </c>
      <c r="H5" s="2">
        <v>3555550.8648648649</v>
      </c>
    </row>
    <row r="6" spans="1:8" x14ac:dyDescent="0.35">
      <c r="A6" s="8" t="s">
        <v>2218</v>
      </c>
      <c r="B6" s="2">
        <v>1828162.5</v>
      </c>
      <c r="C6" s="2">
        <v>1116666.6666666667</v>
      </c>
      <c r="D6" s="2">
        <v>843178.86178861791</v>
      </c>
      <c r="E6" s="2">
        <v>654764.68376068375</v>
      </c>
      <c r="F6" s="2">
        <v>1758333.3333333333</v>
      </c>
      <c r="G6" s="2">
        <v>2471706.8793103448</v>
      </c>
      <c r="H6" s="2">
        <v>1118104.0222222223</v>
      </c>
    </row>
    <row r="7" spans="1:8" x14ac:dyDescent="0.35">
      <c r="A7" s="8" t="s">
        <v>2236</v>
      </c>
      <c r="B7" s="2">
        <v>820000</v>
      </c>
      <c r="C7" s="2"/>
      <c r="D7" s="2"/>
      <c r="E7" s="2"/>
      <c r="F7" s="2"/>
      <c r="G7" s="2"/>
      <c r="H7" s="2">
        <v>820000</v>
      </c>
    </row>
    <row r="8" spans="1:8" x14ac:dyDescent="0.35">
      <c r="A8" s="8" t="s">
        <v>2219</v>
      </c>
      <c r="B8" s="2">
        <v>1400000</v>
      </c>
      <c r="C8" s="2"/>
      <c r="D8" s="2">
        <v>875800</v>
      </c>
      <c r="E8" s="2">
        <v>1100000</v>
      </c>
      <c r="F8" s="2">
        <v>4438333.333333333</v>
      </c>
      <c r="G8" s="2">
        <v>823333.33333333337</v>
      </c>
      <c r="H8" s="2">
        <v>2248687.5</v>
      </c>
    </row>
    <row r="9" spans="1:8" x14ac:dyDescent="0.35">
      <c r="A9" s="8" t="s">
        <v>2244</v>
      </c>
      <c r="B9" s="2">
        <v>2654949.9846153846</v>
      </c>
      <c r="C9" s="2">
        <v>2780000</v>
      </c>
      <c r="D9" s="2">
        <v>987582.51670951152</v>
      </c>
      <c r="E9" s="2">
        <v>819654.88101265824</v>
      </c>
      <c r="F9" s="2">
        <v>3152956.5217391304</v>
      </c>
      <c r="G9" s="2">
        <v>3428682.765625</v>
      </c>
      <c r="H9" s="2">
        <v>1727034.5925</v>
      </c>
    </row>
    <row r="12" spans="1:8" x14ac:dyDescent="0.35">
      <c r="A12" s="7" t="s">
        <v>2214</v>
      </c>
      <c r="B12" t="s">
        <v>2246</v>
      </c>
    </row>
    <row r="13" spans="1:8" x14ac:dyDescent="0.35">
      <c r="A13" s="8" t="s">
        <v>2215</v>
      </c>
      <c r="B13" s="2">
        <v>3151.2954398511761</v>
      </c>
    </row>
    <row r="14" spans="1:8" x14ac:dyDescent="0.35">
      <c r="A14" s="8" t="s">
        <v>2217</v>
      </c>
      <c r="B14" s="2">
        <v>6098.4181403151724</v>
      </c>
    </row>
    <row r="15" spans="1:8" x14ac:dyDescent="0.35">
      <c r="A15" s="8" t="s">
        <v>2216</v>
      </c>
      <c r="B15" s="2">
        <v>10219.724097854412</v>
      </c>
    </row>
    <row r="16" spans="1:8" x14ac:dyDescent="0.35">
      <c r="A16" s="8" t="s">
        <v>2218</v>
      </c>
      <c r="B16" s="2">
        <v>3817.1150459628411</v>
      </c>
    </row>
    <row r="17" spans="1:2" x14ac:dyDescent="0.35">
      <c r="A17" s="8" t="s">
        <v>2236</v>
      </c>
      <c r="B17" s="2">
        <v>2329.0190735694823</v>
      </c>
    </row>
    <row r="18" spans="1:2" x14ac:dyDescent="0.35">
      <c r="A18" s="8" t="s">
        <v>2219</v>
      </c>
      <c r="B18" s="2">
        <v>4669.470655350734</v>
      </c>
    </row>
    <row r="19" spans="1:2" x14ac:dyDescent="0.35">
      <c r="A19" s="8" t="s">
        <v>2244</v>
      </c>
      <c r="B19" s="2">
        <v>5760.681637017261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6bf451c-e3aa-4dd1-b5a6-a95183d31b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5" ma:contentTypeDescription="Create a new document." ma:contentTypeScope="" ma:versionID="5345ce98933d9ec1471464f61cd0e19e">
  <xsd:schema xmlns:xsd="http://www.w3.org/2001/XMLSchema" xmlns:xs="http://www.w3.org/2001/XMLSchema" xmlns:p="http://schemas.microsoft.com/office/2006/metadata/properties" xmlns:ns3="d6bf451c-e3aa-4dd1-b5a6-a95183d31bdf" targetNamespace="http://schemas.microsoft.com/office/2006/metadata/properties" ma:root="true" ma:fieldsID="22654faffaec1724d19dfafa100f8372"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DB4005-F1BA-4D38-82A5-08EB303CB4D1}">
  <ds:schemaRefs>
    <ds:schemaRef ds:uri="http://purl.org/dc/elements/1.1/"/>
    <ds:schemaRef ds:uri="http://purl.org/dc/dcmitype/"/>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d6bf451c-e3aa-4dd1-b5a6-a95183d31bdf"/>
    <ds:schemaRef ds:uri="http://purl.org/dc/terms/"/>
  </ds:schemaRefs>
</ds:datastoreItem>
</file>

<file path=customXml/itemProps2.xml><?xml version="1.0" encoding="utf-8"?>
<ds:datastoreItem xmlns:ds="http://schemas.openxmlformats.org/officeDocument/2006/customXml" ds:itemID="{833533AF-8074-4FC5-8AEB-189AF7032CC0}">
  <ds:schemaRefs>
    <ds:schemaRef ds:uri="http://schemas.microsoft.com/sharepoint/v3/contenttype/forms"/>
  </ds:schemaRefs>
</ds:datastoreItem>
</file>

<file path=customXml/itemProps3.xml><?xml version="1.0" encoding="utf-8"?>
<ds:datastoreItem xmlns:ds="http://schemas.openxmlformats.org/officeDocument/2006/customXml" ds:itemID="{CB006EC8-F028-4DD2-9968-31F7B1B470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بيانات السوق الخام</vt:lpstr>
      <vt:lpstr>السجل_ العقاري_ المطور </vt:lpstr>
      <vt:lpstr>مرصد_ عقارات_ الرياض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Mohamed Ahmed Abdellateef Saleh</cp:lastModifiedBy>
  <dcterms:created xsi:type="dcterms:W3CDTF">2024-11-17T15:00:16Z</dcterms:created>
  <dcterms:modified xsi:type="dcterms:W3CDTF">2026-07-08T20:16:48Z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