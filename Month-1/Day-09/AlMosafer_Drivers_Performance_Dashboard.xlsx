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D:\Data-Analysis-and-AI-85Days\Month-1\Day-09\"/>
    </mc:Choice>
  </mc:AlternateContent>
  <xr:revisionPtr revIDLastSave="0" documentId="13_ncr:1_{1DB0E9C0-A180-4693-9884-5E73C6D100CE}" xr6:coauthVersionLast="47" xr6:coauthVersionMax="47" xr10:uidLastSave="{00000000-0000-0000-0000-000000000000}"/>
  <bookViews>
    <workbookView xWindow="-110" yWindow="-110" windowWidth="19420" windowHeight="11500" xr2:uid="{4D9F94B5-4FB4-4A4D-8118-07356F98972F}"/>
  </bookViews>
  <sheets>
    <sheet name="Performance_Analysis" sheetId="1" r:id="rId1"/>
    <sheet name="Source_Data" sheetId="2" r:id="rId2"/>
  </sheets>
  <definedNames>
    <definedName name="id">Performance_Analysis!$H$2:$H$15</definedName>
    <definedName name="Rate">Performance_Analysis!$I$2:$I$15</definedName>
    <definedName name="Slicer_DriverName">#N/A</definedName>
  </definedNames>
  <calcPr calcId="191029"/>
  <pivotCaches>
    <pivotCache cacheId="0"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5" i="1" l="1"/>
  <c r="D6" i="1"/>
  <c r="D7" i="1"/>
  <c r="D8" i="1"/>
  <c r="D9" i="1"/>
  <c r="D10" i="1"/>
  <c r="D11" i="1"/>
  <c r="D12" i="1"/>
  <c r="D13" i="1"/>
  <c r="D14" i="1"/>
  <c r="D15" i="1"/>
  <c r="D16" i="1"/>
  <c r="D17" i="1"/>
  <c r="D18" i="1"/>
  <c r="D4" i="1"/>
  <c r="E5" i="1"/>
  <c r="E6" i="1"/>
  <c r="E7" i="1"/>
  <c r="E8" i="1"/>
  <c r="E9" i="1"/>
  <c r="E10" i="1"/>
  <c r="E11" i="1"/>
  <c r="E12" i="1"/>
  <c r="E13" i="1"/>
  <c r="E14" i="1"/>
  <c r="E15" i="1"/>
  <c r="E16" i="1"/>
  <c r="E17" i="1"/>
  <c r="E18" i="1"/>
  <c r="E4" i="1"/>
</calcChain>
</file>

<file path=xl/sharedStrings.xml><?xml version="1.0" encoding="utf-8"?>
<sst xmlns="http://schemas.openxmlformats.org/spreadsheetml/2006/main" count="55" uniqueCount="40">
  <si>
    <t>DriverID</t>
  </si>
  <si>
    <t>DriverName</t>
  </si>
  <si>
    <t>City</t>
  </si>
  <si>
    <t>Mohammed</t>
  </si>
  <si>
    <t>Riyadh</t>
  </si>
  <si>
    <t>Abdullah</t>
  </si>
  <si>
    <t>Jeddah</t>
  </si>
  <si>
    <t>Fahad</t>
  </si>
  <si>
    <t>Dammam</t>
  </si>
  <si>
    <t>Saud</t>
  </si>
  <si>
    <t>Mecca</t>
  </si>
  <si>
    <t>Abdulrahman</t>
  </si>
  <si>
    <t>Medina</t>
  </si>
  <si>
    <t>Faisal</t>
  </si>
  <si>
    <t>Khobar</t>
  </si>
  <si>
    <t>Khaled</t>
  </si>
  <si>
    <t>Taif</t>
  </si>
  <si>
    <t>Sultan</t>
  </si>
  <si>
    <t>Tabuk</t>
  </si>
  <si>
    <t>Omar</t>
  </si>
  <si>
    <t>Abha</t>
  </si>
  <si>
    <t>Youssef</t>
  </si>
  <si>
    <t>Buraydah</t>
  </si>
  <si>
    <t>Mansour</t>
  </si>
  <si>
    <t>Khamis</t>
  </si>
  <si>
    <t>Abdulaziz</t>
  </si>
  <si>
    <t>Hail</t>
  </si>
  <si>
    <t>Naif</t>
  </si>
  <si>
    <t>Najran</t>
  </si>
  <si>
    <t>Tariq</t>
  </si>
  <si>
    <t>Jazan</t>
  </si>
  <si>
    <t>Alwaleed</t>
  </si>
  <si>
    <t>Jubail</t>
  </si>
  <si>
    <t>Rating</t>
  </si>
  <si>
    <t>TotalTrips</t>
  </si>
  <si>
    <t>Rating (VLOOKUP) :</t>
  </si>
  <si>
    <t>Rating (XLOOKUP) :</t>
  </si>
  <si>
    <t>تقرير تحليل وتقييم أداء السائقين | شركة المسافر للسياح</t>
  </si>
  <si>
    <t>Grand Total</t>
  </si>
  <si>
    <t>Average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</si>
</sst>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6"/>
      <color theme="0"/>
      <name val="Aptos Narrow"/>
      <family val="2"/>
      <scheme val="minor"/>
    </font>
  </fonts>
  <fills count="3">
    <fill>
      <patternFill patternType="none"/>
    </fill>
    <fill>
      <patternFill patternType="gray125"/>
    </fill>
    <fill>
      <patternFill patternType="solid">
        <fgColor theme="3"/>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6">
    <xf numFmtId="0" fontId="0" fillId="0" borderId="0" xfId="0"/>
    <xf numFmtId="2" fontId="0" fillId="0" borderId="0" xfId="0" applyNumberFormat="1"/>
    <xf numFmtId="0" fontId="0" fillId="0" borderId="0" xfId="0" applyAlignment="1">
      <alignment horizontal="center" vertical="center"/>
    </xf>
    <xf numFmtId="0" fontId="0" fillId="0" borderId="0" xfId="0" applyAlignment="1">
      <alignment horizontal="left"/>
    </xf>
    <xf numFmtId="0" fontId="0" fillId="0" borderId="1" xfId="0"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0" xfId="0" pivotButton="1"/>
    <xf numFmtId="0" fontId="1" fillId="2" borderId="0" xfId="0" applyFont="1" applyFill="1" applyAlignment="1">
      <alignment horizontal="center" vertical="center"/>
    </xf>
    <xf numFmtId="0" fontId="0" fillId="0" borderId="0" xfId="0" applyNumberFormat="1"/>
  </cellXfs>
  <cellStyles count="1">
    <cellStyle name="Normal" xfId="0" builtinId="0"/>
  </cellStyles>
  <dxfs count="14">
    <dxf>
      <alignment horizontal="center" vertical="center" textRotation="0" wrapText="0" indent="0" justifyLastLine="0" shrinkToFit="0" readingOrder="0"/>
      <border diagonalUp="0" diagonalDown="0" outline="0">
        <left style="thin">
          <color indexed="64"/>
        </left>
        <right/>
        <top style="thin">
          <color indexed="64"/>
        </top>
        <bottom/>
      </border>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outline="0">
        <left style="thin">
          <color indexed="64"/>
        </left>
        <right/>
        <top style="thin">
          <color indexed="64"/>
        </top>
        <bottom/>
      </border>
    </dxf>
    <dxf>
      <alignment horizontal="center" vertical="center" textRotation="0" wrapText="0" indent="0" justifyLastLine="0" shrinkToFit="0" readingOrder="0"/>
      <border diagonalUp="0" diagonalDown="0">
        <left style="thin">
          <color indexed="64"/>
        </left>
        <right/>
        <top style="thin">
          <color indexed="64"/>
        </top>
        <bottom style="thin">
          <color indexed="64"/>
        </bottom>
        <vertical/>
        <horizontal/>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outline="0">
        <left style="thin">
          <color indexed="64"/>
        </left>
        <right style="thin">
          <color indexed="64"/>
        </right>
        <top style="thin">
          <color indexed="64"/>
        </top>
        <bottom/>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center" textRotation="0" wrapText="0" indent="0" justifyLastLine="0" shrinkToFit="0" readingOrder="0"/>
      <border diagonalUp="0" diagonalDown="0" outline="0">
        <left/>
        <right style="thin">
          <color indexed="64"/>
        </right>
        <top style="thin">
          <color indexed="64"/>
        </top>
        <bottom/>
      </border>
    </dxf>
    <dxf>
      <alignment horizontal="center" vertical="center"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microsoft.com/office/2007/relationships/slicerCache" Target="slicerCaches/slicerCache1.xml"/><Relationship Id="rId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baseline="0">
                <a:solidFill>
                  <a:schemeClr val="tx2">
                    <a:lumMod val="50000"/>
                    <a:lumOff val="50000"/>
                  </a:schemeClr>
                </a:solidFill>
                <a:latin typeface="+mn-lt"/>
                <a:ea typeface="+mn-ea"/>
                <a:cs typeface="+mn-cs"/>
              </a:defRPr>
            </a:pPr>
            <a:r>
              <a:rPr lang="en-US" b="1">
                <a:solidFill>
                  <a:schemeClr val="tx2">
                    <a:lumMod val="50000"/>
                    <a:lumOff val="50000"/>
                  </a:schemeClr>
                </a:solidFill>
              </a:rPr>
              <a:t>​🏁 </a:t>
            </a:r>
            <a:r>
              <a:rPr lang="ar-EG" b="1">
                <a:solidFill>
                  <a:schemeClr val="tx2">
                    <a:lumMod val="50000"/>
                    <a:lumOff val="50000"/>
                  </a:schemeClr>
                </a:solidFill>
              </a:rPr>
              <a:t>مؤشر الأداء الرقمي للسائقين | شركة المسافر</a:t>
            </a:r>
            <a:endParaRPr lang="en-US" b="1">
              <a:solidFill>
                <a:schemeClr val="tx2">
                  <a:lumMod val="50000"/>
                  <a:lumOff val="50000"/>
                </a:schemeClr>
              </a:solidFill>
            </a:endParaRPr>
          </a:p>
        </c:rich>
      </c:tx>
      <c:overlay val="0"/>
      <c:spPr>
        <a:noFill/>
        <a:ln>
          <a:noFill/>
        </a:ln>
        <a:effectLst/>
      </c:spPr>
      <c:txPr>
        <a:bodyPr rot="0" spcFirstLastPara="1" vertOverflow="ellipsis" vert="horz" wrap="square" anchor="ctr" anchorCtr="1"/>
        <a:lstStyle/>
        <a:p>
          <a:pPr>
            <a:defRPr sz="1800" b="1" i="0" u="none" strike="noStrike" kern="1200" cap="all" baseline="0">
              <a:solidFill>
                <a:schemeClr val="tx2">
                  <a:lumMod val="50000"/>
                  <a:lumOff val="50000"/>
                </a:schemeClr>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pPr>
            <a:solidFill>
              <a:schemeClr val="accent1"/>
            </a:solidFill>
            <a:ln w="9525">
              <a:solidFill>
                <a:schemeClr val="dk1">
                  <a:lumMod val="75000"/>
                  <a:lumOff val="25000"/>
                </a:schemeClr>
              </a:solidFill>
            </a:ln>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v>Total</c:v>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dLbls>
            <c:spPr>
              <a:solidFill>
                <a:srgbClr val="156082">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Lit>
              <c:ptCount val="13"/>
              <c:pt idx="0">
                <c:v>Abha</c:v>
              </c:pt>
              <c:pt idx="1">
                <c:v>Buraydah</c:v>
              </c:pt>
              <c:pt idx="2">
                <c:v>Dammam</c:v>
              </c:pt>
              <c:pt idx="3">
                <c:v>Jazan</c:v>
              </c:pt>
              <c:pt idx="4">
                <c:v>Jeddah</c:v>
              </c:pt>
              <c:pt idx="5">
                <c:v>Jubail</c:v>
              </c:pt>
              <c:pt idx="6">
                <c:v>Khobar</c:v>
              </c:pt>
              <c:pt idx="7">
                <c:v>Mecca</c:v>
              </c:pt>
              <c:pt idx="8">
                <c:v>Medina</c:v>
              </c:pt>
              <c:pt idx="9">
                <c:v>Najran</c:v>
              </c:pt>
              <c:pt idx="10">
                <c:v>Riyadh</c:v>
              </c:pt>
              <c:pt idx="11">
                <c:v>Tabuk</c:v>
              </c:pt>
              <c:pt idx="12">
                <c:v>Taif</c:v>
              </c:pt>
            </c:strLit>
          </c:cat>
          <c:val>
            <c:numLit>
              <c:formatCode>General</c:formatCode>
              <c:ptCount val="13"/>
              <c:pt idx="0">
                <c:v>4.8</c:v>
              </c:pt>
              <c:pt idx="1">
                <c:v>3.9</c:v>
              </c:pt>
              <c:pt idx="2">
                <c:v>4.5</c:v>
              </c:pt>
              <c:pt idx="3">
                <c:v>4.0999999999999996</c:v>
              </c:pt>
              <c:pt idx="4">
                <c:v>4.7</c:v>
              </c:pt>
              <c:pt idx="5">
                <c:v>4.9000000000000004</c:v>
              </c:pt>
              <c:pt idx="6">
                <c:v>4.9000000000000004</c:v>
              </c:pt>
              <c:pt idx="7">
                <c:v>4.8</c:v>
              </c:pt>
              <c:pt idx="8">
                <c:v>4.2</c:v>
              </c:pt>
              <c:pt idx="9">
                <c:v>4.7</c:v>
              </c:pt>
              <c:pt idx="10">
                <c:v>4.9000000000000004</c:v>
              </c:pt>
              <c:pt idx="11">
                <c:v>4.4000000000000004</c:v>
              </c:pt>
              <c:pt idx="12">
                <c:v>4.5999999999999996</c:v>
              </c:pt>
            </c:numLit>
          </c:val>
          <c:extLst>
            <c:ext xmlns:c16="http://schemas.microsoft.com/office/drawing/2014/chart" uri="{C3380CC4-5D6E-409C-BE32-E72D297353CC}">
              <c16:uniqueId val="{00000000-A4F9-4E16-B3E4-9F84A5BDDFAE}"/>
            </c:ext>
          </c:extLst>
        </c:ser>
        <c:dLbls>
          <c:showLegendKey val="0"/>
          <c:showVal val="1"/>
          <c:showCatName val="0"/>
          <c:showSerName val="0"/>
          <c:showPercent val="0"/>
          <c:showBubbleSize val="0"/>
        </c:dLbls>
        <c:gapWidth val="84"/>
        <c:gapDepth val="53"/>
        <c:shape val="box"/>
        <c:axId val="1276561487"/>
        <c:axId val="492066863"/>
        <c:axId val="0"/>
      </c:bar3DChart>
      <c:catAx>
        <c:axId val="12765614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92066863"/>
        <c:crosses val="autoZero"/>
        <c:auto val="1"/>
        <c:lblAlgn val="ctr"/>
        <c:lblOffset val="100"/>
        <c:noMultiLvlLbl val="0"/>
      </c:catAx>
      <c:valAx>
        <c:axId val="492066863"/>
        <c:scaling>
          <c:orientation val="minMax"/>
        </c:scaling>
        <c:delete val="1"/>
        <c:axPos val="l"/>
        <c:majorGridlines>
          <c:spPr>
            <a:ln w="9525">
              <a:solidFill>
                <a:schemeClr val="lt1">
                  <a:lumMod val="50000"/>
                </a:schemeClr>
              </a:solidFill>
            </a:ln>
            <a:effectLst/>
          </c:spPr>
        </c:majorGridlines>
        <c:numFmt formatCode="General" sourceLinked="1"/>
        <c:majorTickMark val="out"/>
        <c:minorTickMark val="none"/>
        <c:tickLblPos val="nextTo"/>
        <c:crossAx val="1276561487"/>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18</xdr:row>
      <xdr:rowOff>87349</xdr:rowOff>
    </xdr:from>
    <xdr:to>
      <xdr:col>12</xdr:col>
      <xdr:colOff>558257</xdr:colOff>
      <xdr:row>44</xdr:row>
      <xdr:rowOff>146300</xdr:rowOff>
    </xdr:to>
    <xdr:graphicFrame macro="">
      <xdr:nvGraphicFramePr>
        <xdr:cNvPr id="4" name="Chart 3">
          <a:extLst>
            <a:ext uri="{FF2B5EF4-FFF2-40B4-BE49-F238E27FC236}">
              <a16:creationId xmlns:a16="http://schemas.microsoft.com/office/drawing/2014/main" id="{CF07F6A4-622B-B2D3-E535-3403E6EB93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334506</xdr:colOff>
      <xdr:row>0</xdr:row>
      <xdr:rowOff>111502</xdr:rowOff>
    </xdr:from>
    <xdr:to>
      <xdr:col>11</xdr:col>
      <xdr:colOff>322882</xdr:colOff>
      <xdr:row>16</xdr:row>
      <xdr:rowOff>169349</xdr:rowOff>
    </xdr:to>
    <mc:AlternateContent xmlns:mc="http://schemas.openxmlformats.org/markup-compatibility/2006" xmlns:a14="http://schemas.microsoft.com/office/drawing/2010/main">
      <mc:Choice Requires="a14">
        <xdr:graphicFrame macro="">
          <xdr:nvGraphicFramePr>
            <xdr:cNvPr id="5" name="DriverName">
              <a:extLst>
                <a:ext uri="{FF2B5EF4-FFF2-40B4-BE49-F238E27FC236}">
                  <a16:creationId xmlns:a16="http://schemas.microsoft.com/office/drawing/2014/main" id="{D83C05BE-17B5-6675-2209-D48DADC33876}"/>
                </a:ext>
              </a:extLst>
            </xdr:cNvPr>
            <xdr:cNvGraphicFramePr/>
          </xdr:nvGraphicFramePr>
          <xdr:xfrm>
            <a:off x="0" y="0"/>
            <a:ext cx="0" cy="0"/>
          </xdr:xfrm>
          <a:graphic>
            <a:graphicData uri="http://schemas.microsoft.com/office/drawing/2010/slicer">
              <sle:slicer xmlns:sle="http://schemas.microsoft.com/office/drawing/2010/slicer" name="DriverName"/>
            </a:graphicData>
          </a:graphic>
        </xdr:graphicFrame>
      </mc:Choice>
      <mc:Fallback xmlns="">
        <xdr:sp macro="" textlink="">
          <xdr:nvSpPr>
            <xdr:cNvPr id="0" name=""/>
            <xdr:cNvSpPr>
              <a:spLocks noTextEdit="1"/>
            </xdr:cNvSpPr>
          </xdr:nvSpPr>
          <xdr:spPr>
            <a:xfrm>
              <a:off x="9260449" y="111502"/>
              <a:ext cx="1821490" cy="25738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hmed" refreshedDate="46208.996015277778" createdVersion="8" refreshedVersion="8" minRefreshableVersion="3" recordCount="15" xr:uid="{C84B44EB-9007-4A66-A092-3108605099C4}">
  <cacheSource type="worksheet">
    <worksheetSource name="Table3"/>
  </cacheSource>
  <cacheFields count="5">
    <cacheField name="DriverID" numFmtId="0">
      <sharedItems containsSemiMixedTypes="0" containsString="0" containsNumber="1" containsInteger="1" minValue="101" maxValue="115"/>
    </cacheField>
    <cacheField name="DriverName" numFmtId="0">
      <sharedItems count="15">
        <s v="Mohammed"/>
        <s v="Abdullah"/>
        <s v="Fahad"/>
        <s v="Saud"/>
        <s v="Abdulrahman"/>
        <s v="Faisal"/>
        <s v="Khaled"/>
        <s v="Sultan"/>
        <s v="Omar"/>
        <s v="Youssef"/>
        <s v="Mansour"/>
        <s v="Abdulaziz"/>
        <s v="Naif"/>
        <s v="Tariq"/>
        <s v="Alwaleed"/>
      </sharedItems>
    </cacheField>
    <cacheField name="City" numFmtId="0">
      <sharedItems count="15">
        <s v="Riyadh"/>
        <s v="Jeddah"/>
        <s v="Dammam"/>
        <s v="Mecca"/>
        <s v="Medina"/>
        <s v="Khobar"/>
        <s v="Taif"/>
        <s v="Tabuk"/>
        <s v="Abha"/>
        <s v="Buraydah"/>
        <s v="Khamis"/>
        <s v="Hail"/>
        <s v="Najran"/>
        <s v="Jazan"/>
        <s v="Jubail"/>
      </sharedItems>
    </cacheField>
    <cacheField name="Rating (VLOOKUP) :" numFmtId="0">
      <sharedItems containsMixedTypes="1" containsNumber="1" minValue="3.9" maxValue="4.9000000000000004"/>
    </cacheField>
    <cacheField name="Rating (XLOOKUP) :" numFmtId="0">
      <sharedItems containsMixedTypes="1" containsNumber="1" minValue="3.9" maxValue="4.9000000000000004"/>
    </cacheField>
  </cacheFields>
  <extLst>
    <ext xmlns:x14="http://schemas.microsoft.com/office/spreadsheetml/2009/9/main" uri="{725AE2AE-9491-48be-B2B4-4EB974FC3084}">
      <x14:pivotCacheDefinition pivotCacheId="126252445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n v="101"/>
    <x v="0"/>
    <x v="0"/>
    <n v="4.9000000000000004"/>
    <n v="4.9000000000000004"/>
  </r>
  <r>
    <n v="102"/>
    <x v="1"/>
    <x v="1"/>
    <n v="4.7"/>
    <n v="4.7"/>
  </r>
  <r>
    <n v="103"/>
    <x v="2"/>
    <x v="2"/>
    <n v="4.5"/>
    <n v="4.5"/>
  </r>
  <r>
    <n v="104"/>
    <x v="3"/>
    <x v="3"/>
    <n v="4.8"/>
    <n v="4.8"/>
  </r>
  <r>
    <n v="105"/>
    <x v="4"/>
    <x v="4"/>
    <n v="4.2"/>
    <n v="4.2"/>
  </r>
  <r>
    <n v="106"/>
    <x v="5"/>
    <x v="5"/>
    <n v="4.9000000000000004"/>
    <n v="4.9000000000000004"/>
  </r>
  <r>
    <n v="107"/>
    <x v="6"/>
    <x v="6"/>
    <n v="4.5999999999999996"/>
    <n v="4.5999999999999996"/>
  </r>
  <r>
    <n v="108"/>
    <x v="7"/>
    <x v="7"/>
    <n v="4.4000000000000004"/>
    <n v="4.4000000000000004"/>
  </r>
  <r>
    <n v="109"/>
    <x v="8"/>
    <x v="8"/>
    <n v="4.8"/>
    <n v="4.8"/>
  </r>
  <r>
    <n v="110"/>
    <x v="9"/>
    <x v="9"/>
    <n v="3.9"/>
    <n v="3.9"/>
  </r>
  <r>
    <n v="111"/>
    <x v="10"/>
    <x v="10"/>
    <s v="No Rate"/>
    <s v="No Rate"/>
  </r>
  <r>
    <n v="112"/>
    <x v="11"/>
    <x v="11"/>
    <s v="No Rate"/>
    <s v="No Rate"/>
  </r>
  <r>
    <n v="113"/>
    <x v="12"/>
    <x v="12"/>
    <n v="4.7"/>
    <n v="4.7"/>
  </r>
  <r>
    <n v="114"/>
    <x v="13"/>
    <x v="13"/>
    <n v="4.0999999999999996"/>
    <n v="4.0999999999999996"/>
  </r>
  <r>
    <n v="115"/>
    <x v="14"/>
    <x v="14"/>
    <n v="4.9000000000000004"/>
    <n v="4.900000000000000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3F7311-0869-4E4E-93C5-6A8E7E13901C}" name="PivotTable2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ity">
  <location ref="G2:H16" firstHeaderRow="1" firstDataRow="1" firstDataCol="1"/>
  <pivotFields count="5">
    <pivotField showAll="0"/>
    <pivotField showAll="0">
      <items count="16">
        <item x="11"/>
        <item x="1"/>
        <item x="4"/>
        <item x="14"/>
        <item x="2"/>
        <item x="5"/>
        <item x="6"/>
        <item x="10"/>
        <item x="0"/>
        <item x="12"/>
        <item x="8"/>
        <item x="3"/>
        <item x="7"/>
        <item x="13"/>
        <item x="9"/>
        <item t="default"/>
      </items>
    </pivotField>
    <pivotField axis="axisRow" showAll="0">
      <items count="16">
        <item x="8"/>
        <item x="9"/>
        <item x="2"/>
        <item h="1" x="11"/>
        <item x="13"/>
        <item x="1"/>
        <item x="14"/>
        <item h="1" x="10"/>
        <item x="5"/>
        <item x="3"/>
        <item x="4"/>
        <item x="12"/>
        <item x="0"/>
        <item x="7"/>
        <item x="6"/>
        <item t="default"/>
      </items>
    </pivotField>
    <pivotField showAll="0"/>
    <pivotField dataField="1" showAll="0"/>
  </pivotFields>
  <rowFields count="1">
    <field x="2"/>
  </rowFields>
  <rowItems count="14">
    <i>
      <x/>
    </i>
    <i>
      <x v="1"/>
    </i>
    <i>
      <x v="2"/>
    </i>
    <i>
      <x v="4"/>
    </i>
    <i>
      <x v="5"/>
    </i>
    <i>
      <x v="6"/>
    </i>
    <i>
      <x v="8"/>
    </i>
    <i>
      <x v="9"/>
    </i>
    <i>
      <x v="10"/>
    </i>
    <i>
      <x v="11"/>
    </i>
    <i>
      <x v="12"/>
    </i>
    <i>
      <x v="13"/>
    </i>
    <i>
      <x v="14"/>
    </i>
    <i t="grand">
      <x/>
    </i>
  </rowItems>
  <colItems count="1">
    <i/>
  </colItems>
  <dataFields count="1">
    <dataField name="Average Rating" fld="4" subtotal="average" baseField="2" baseItem="0"/>
  </dataFields>
  <formats count="1">
    <format dxfId="13">
      <pivotArea grandRow="1"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riverName" xr10:uid="{3D1EB6E5-A9C6-4E69-9560-C657D30804EE}" sourceName="DriverName">
  <pivotTables>
    <pivotTable tabId="1" name="PivotTable28"/>
  </pivotTables>
  <data>
    <tabular pivotCacheId="1262524451">
      <items count="15">
        <i x="1" s="1"/>
        <i x="4" s="1"/>
        <i x="14" s="1"/>
        <i x="2" s="1"/>
        <i x="5" s="1"/>
        <i x="6" s="1"/>
        <i x="0" s="1"/>
        <i x="12" s="1"/>
        <i x="8" s="1"/>
        <i x="3" s="1"/>
        <i x="7" s="1"/>
        <i x="13" s="1"/>
        <i x="9" s="1"/>
        <i x="11" s="1" nd="1"/>
        <i x="10"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riverName" xr10:uid="{CCECD508-06F2-445E-93D7-0426BCF794FA}" cache="Slicer_DriverName" caption="DriverName" startItem="5"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34A5BDF-BDCE-4123-8039-586E32E90853}" name="Table3" displayName="Table3" ref="A3:E18" headerRowBorderDxfId="12" tableBorderDxfId="11" totalsRowBorderDxfId="10">
  <autoFilter ref="A3:E18" xr:uid="{E34A5BDF-BDCE-4123-8039-586E32E90853}">
    <filterColumn colId="0" hiddenButton="1"/>
    <filterColumn colId="1" hiddenButton="1">
      <filters>
        <filter val="Abdullah"/>
        <filter val="Abdulrahman"/>
        <filter val="Alwaleed"/>
        <filter val="Fahad"/>
        <filter val="Faisal"/>
        <filter val="Khaled"/>
        <filter val="Mohammed"/>
        <filter val="Naif"/>
        <filter val="Omar"/>
        <filter val="Saud"/>
        <filter val="Sultan"/>
        <filter val="Tariq"/>
        <filter val="Youssef"/>
      </filters>
    </filterColumn>
    <filterColumn colId="2" hiddenButton="1"/>
    <filterColumn colId="3" hiddenButton="1"/>
    <filterColumn colId="4" hiddenButton="1"/>
  </autoFilter>
  <tableColumns count="5">
    <tableColumn id="1" xr3:uid="{37A4C905-F65E-4D9E-80BB-32932EC23A6C}" name="DriverID" totalsRowLabel="Total" dataDxfId="9" totalsRowDxfId="8"/>
    <tableColumn id="2" xr3:uid="{E4C2059E-F160-4798-8B93-BDD3F1ADC9CE}" name="DriverName" dataDxfId="7" totalsRowDxfId="6"/>
    <tableColumn id="3" xr3:uid="{3A12541F-EF26-4AE6-AECD-A66A043BF56F}" name="City" dataDxfId="5" totalsRowDxfId="4"/>
    <tableColumn id="4" xr3:uid="{C11C46DB-203F-4210-95C2-8E3B9A4823A5}" name="Rating (VLOOKUP) :" dataDxfId="3" totalsRowDxfId="2">
      <calculatedColumnFormula>_xlfn.IFNA(VLOOKUP(A4,Source_Data!$A$2:$C$15,2,FALSE),"No Rate")</calculatedColumnFormula>
    </tableColumn>
    <tableColumn id="6" xr3:uid="{A9692640-7B0F-40D4-8514-EB81AE2AF1AC}" name="Rating (XLOOKUP) :" totalsRowFunction="count" dataDxfId="1" totalsRowDxfId="0">
      <calculatedColumnFormula>_xlfn.IFNA(_xlfn.XLOOKUP(A4,Source_Data!$A$2:$A$15,Source_Data!$B$2:$B$15),"No Rate")</calculatedColumnFormula>
    </tableColumn>
  </tableColumns>
  <tableStyleInfo name="TableStyleMedium9" showFirstColumn="1" showLastColumn="1" showRowStripes="1"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C2053-4391-4FE9-826C-27BC7CD1EB6A}">
  <dimension ref="A1:L29"/>
  <sheetViews>
    <sheetView showGridLines="0" tabSelected="1" zoomScale="110" zoomScaleNormal="103" workbookViewId="0">
      <selection activeCell="AF7" sqref="AF7"/>
    </sheetView>
  </sheetViews>
  <sheetFormatPr defaultRowHeight="14.5" x14ac:dyDescent="0.35"/>
  <cols>
    <col min="1" max="1" width="12.1796875" bestFit="1" customWidth="1"/>
    <col min="2" max="2" width="15.26953125" bestFit="1" customWidth="1"/>
    <col min="4" max="5" width="21.36328125" bestFit="1" customWidth="1"/>
    <col min="6" max="6" width="9.26953125" customWidth="1"/>
    <col min="7" max="7" width="10.36328125" bestFit="1" customWidth="1"/>
    <col min="8" max="8" width="13.1796875" bestFit="1" customWidth="1"/>
  </cols>
  <sheetData>
    <row r="1" spans="1:12" x14ac:dyDescent="0.35">
      <c r="A1" s="14" t="s">
        <v>37</v>
      </c>
      <c r="B1" s="14"/>
      <c r="C1" s="14"/>
      <c r="D1" s="14"/>
      <c r="E1" s="14"/>
      <c r="F1" s="2"/>
      <c r="G1" s="2"/>
      <c r="H1" s="2"/>
      <c r="I1" s="2"/>
      <c r="J1" s="2"/>
      <c r="K1" s="2"/>
      <c r="L1" s="2"/>
    </row>
    <row r="2" spans="1:12" x14ac:dyDescent="0.35">
      <c r="A2" s="14"/>
      <c r="B2" s="14"/>
      <c r="C2" s="14"/>
      <c r="D2" s="14"/>
      <c r="E2" s="14"/>
      <c r="G2" s="13" t="s">
        <v>2</v>
      </c>
      <c r="H2" t="s">
        <v>39</v>
      </c>
      <c r="J2" s="2"/>
    </row>
    <row r="3" spans="1:12" x14ac:dyDescent="0.35">
      <c r="A3" s="7" t="s">
        <v>0</v>
      </c>
      <c r="B3" s="8" t="s">
        <v>1</v>
      </c>
      <c r="C3" s="8" t="s">
        <v>2</v>
      </c>
      <c r="D3" s="9" t="s">
        <v>35</v>
      </c>
      <c r="E3" s="9" t="s">
        <v>36</v>
      </c>
      <c r="G3" s="3" t="s">
        <v>20</v>
      </c>
      <c r="H3" s="15">
        <v>4.8</v>
      </c>
      <c r="J3" s="2"/>
    </row>
    <row r="4" spans="1:12" x14ac:dyDescent="0.35">
      <c r="A4" s="5">
        <v>101</v>
      </c>
      <c r="B4" s="4" t="s">
        <v>3</v>
      </c>
      <c r="C4" s="4" t="s">
        <v>4</v>
      </c>
      <c r="D4" s="6">
        <f>_xlfn.IFNA(VLOOKUP(A4,Source_Data!$A$2:$C$15,2,FALSE),"No Rate")</f>
        <v>4.9000000000000004</v>
      </c>
      <c r="E4" s="6">
        <f>_xlfn.IFNA(_xlfn.XLOOKUP(A4,Source_Data!$A$2:$A$15,Source_Data!$B$2:$B$15),"No Rate")</f>
        <v>4.9000000000000004</v>
      </c>
      <c r="G4" s="3" t="s">
        <v>22</v>
      </c>
      <c r="H4" s="15">
        <v>3.9</v>
      </c>
      <c r="J4" s="2"/>
    </row>
    <row r="5" spans="1:12" x14ac:dyDescent="0.35">
      <c r="A5" s="5">
        <v>102</v>
      </c>
      <c r="B5" s="4" t="s">
        <v>5</v>
      </c>
      <c r="C5" s="4" t="s">
        <v>6</v>
      </c>
      <c r="D5" s="6">
        <f>_xlfn.IFNA(VLOOKUP(A5,Source_Data!$A$2:$C$15,2,FALSE),"No Rate")</f>
        <v>4.7</v>
      </c>
      <c r="E5" s="6">
        <f>_xlfn.IFNA(_xlfn.XLOOKUP(A5,Source_Data!$A$2:$A$15,Source_Data!$B$2:$B$15),"No Rate")</f>
        <v>4.7</v>
      </c>
      <c r="G5" s="3" t="s">
        <v>8</v>
      </c>
      <c r="H5" s="15">
        <v>4.5</v>
      </c>
      <c r="J5" s="2"/>
    </row>
    <row r="6" spans="1:12" x14ac:dyDescent="0.35">
      <c r="A6" s="5">
        <v>103</v>
      </c>
      <c r="B6" s="4" t="s">
        <v>7</v>
      </c>
      <c r="C6" s="4" t="s">
        <v>8</v>
      </c>
      <c r="D6" s="6">
        <f>_xlfn.IFNA(VLOOKUP(A6,Source_Data!$A$2:$C$15,2,FALSE),"No Rate")</f>
        <v>4.5</v>
      </c>
      <c r="E6" s="6">
        <f>_xlfn.IFNA(_xlfn.XLOOKUP(A6,Source_Data!$A$2:$A$15,Source_Data!$B$2:$B$15),"No Rate")</f>
        <v>4.5</v>
      </c>
      <c r="G6" s="3" t="s">
        <v>30</v>
      </c>
      <c r="H6" s="15">
        <v>4.0999999999999996</v>
      </c>
      <c r="J6" s="2"/>
    </row>
    <row r="7" spans="1:12" x14ac:dyDescent="0.35">
      <c r="A7" s="5">
        <v>104</v>
      </c>
      <c r="B7" s="4" t="s">
        <v>9</v>
      </c>
      <c r="C7" s="4" t="s">
        <v>10</v>
      </c>
      <c r="D7" s="6">
        <f>_xlfn.IFNA(VLOOKUP(A7,Source_Data!$A$2:$C$15,2,FALSE),"No Rate")</f>
        <v>4.8</v>
      </c>
      <c r="E7" s="6">
        <f>_xlfn.IFNA(_xlfn.XLOOKUP(A7,Source_Data!$A$2:$A$15,Source_Data!$B$2:$B$15),"No Rate")</f>
        <v>4.8</v>
      </c>
      <c r="G7" s="3" t="s">
        <v>6</v>
      </c>
      <c r="H7" s="15">
        <v>4.7</v>
      </c>
      <c r="J7" s="2"/>
    </row>
    <row r="8" spans="1:12" x14ac:dyDescent="0.35">
      <c r="A8" s="5">
        <v>105</v>
      </c>
      <c r="B8" s="4" t="s">
        <v>11</v>
      </c>
      <c r="C8" s="4" t="s">
        <v>12</v>
      </c>
      <c r="D8" s="6">
        <f>_xlfn.IFNA(VLOOKUP(A8,Source_Data!$A$2:$C$15,2,FALSE),"No Rate")</f>
        <v>4.2</v>
      </c>
      <c r="E8" s="6">
        <f>_xlfn.IFNA(_xlfn.XLOOKUP(A8,Source_Data!$A$2:$A$15,Source_Data!$B$2:$B$15),"No Rate")</f>
        <v>4.2</v>
      </c>
      <c r="G8" s="3" t="s">
        <v>32</v>
      </c>
      <c r="H8" s="15">
        <v>4.9000000000000004</v>
      </c>
      <c r="J8" s="2"/>
    </row>
    <row r="9" spans="1:12" x14ac:dyDescent="0.35">
      <c r="A9" s="5">
        <v>106</v>
      </c>
      <c r="B9" s="4" t="s">
        <v>13</v>
      </c>
      <c r="C9" s="4" t="s">
        <v>14</v>
      </c>
      <c r="D9" s="6">
        <f>_xlfn.IFNA(VLOOKUP(A9,Source_Data!$A$2:$C$15,2,FALSE),"No Rate")</f>
        <v>4.9000000000000004</v>
      </c>
      <c r="E9" s="6">
        <f>_xlfn.IFNA(_xlfn.XLOOKUP(A9,Source_Data!$A$2:$A$15,Source_Data!$B$2:$B$15),"No Rate")</f>
        <v>4.9000000000000004</v>
      </c>
      <c r="G9" s="3" t="s">
        <v>14</v>
      </c>
      <c r="H9" s="15">
        <v>4.9000000000000004</v>
      </c>
      <c r="J9" s="2"/>
    </row>
    <row r="10" spans="1:12" x14ac:dyDescent="0.35">
      <c r="A10" s="5">
        <v>107</v>
      </c>
      <c r="B10" s="4" t="s">
        <v>15</v>
      </c>
      <c r="C10" s="4" t="s">
        <v>16</v>
      </c>
      <c r="D10" s="6">
        <f>_xlfn.IFNA(VLOOKUP(A10,Source_Data!$A$2:$C$15,2,FALSE),"No Rate")</f>
        <v>4.5999999999999996</v>
      </c>
      <c r="E10" s="6">
        <f>_xlfn.IFNA(_xlfn.XLOOKUP(A10,Source_Data!$A$2:$A$15,Source_Data!$B$2:$B$15),"No Rate")</f>
        <v>4.5999999999999996</v>
      </c>
      <c r="G10" s="3" t="s">
        <v>10</v>
      </c>
      <c r="H10" s="15">
        <v>4.8</v>
      </c>
      <c r="J10" s="2"/>
    </row>
    <row r="11" spans="1:12" x14ac:dyDescent="0.35">
      <c r="A11" s="5">
        <v>108</v>
      </c>
      <c r="B11" s="4" t="s">
        <v>17</v>
      </c>
      <c r="C11" s="4" t="s">
        <v>18</v>
      </c>
      <c r="D11" s="6">
        <f>_xlfn.IFNA(VLOOKUP(A11,Source_Data!$A$2:$C$15,2,FALSE),"No Rate")</f>
        <v>4.4000000000000004</v>
      </c>
      <c r="E11" s="6">
        <f>_xlfn.IFNA(_xlfn.XLOOKUP(A11,Source_Data!$A$2:$A$15,Source_Data!$B$2:$B$15),"No Rate")</f>
        <v>4.4000000000000004</v>
      </c>
      <c r="G11" s="3" t="s">
        <v>12</v>
      </c>
      <c r="H11" s="15">
        <v>4.2</v>
      </c>
      <c r="J11" s="2"/>
    </row>
    <row r="12" spans="1:12" x14ac:dyDescent="0.35">
      <c r="A12" s="5">
        <v>109</v>
      </c>
      <c r="B12" s="4" t="s">
        <v>19</v>
      </c>
      <c r="C12" s="4" t="s">
        <v>20</v>
      </c>
      <c r="D12" s="6">
        <f>_xlfn.IFNA(VLOOKUP(A12,Source_Data!$A$2:$C$15,2,FALSE),"No Rate")</f>
        <v>4.8</v>
      </c>
      <c r="E12" s="6">
        <f>_xlfn.IFNA(_xlfn.XLOOKUP(A12,Source_Data!$A$2:$A$15,Source_Data!$B$2:$B$15),"No Rate")</f>
        <v>4.8</v>
      </c>
      <c r="G12" s="3" t="s">
        <v>28</v>
      </c>
      <c r="H12" s="15">
        <v>4.7</v>
      </c>
      <c r="J12" s="2"/>
    </row>
    <row r="13" spans="1:12" x14ac:dyDescent="0.35">
      <c r="A13" s="5">
        <v>110</v>
      </c>
      <c r="B13" s="4" t="s">
        <v>21</v>
      </c>
      <c r="C13" s="4" t="s">
        <v>22</v>
      </c>
      <c r="D13" s="6">
        <f>_xlfn.IFNA(VLOOKUP(A13,Source_Data!$A$2:$C$15,2,FALSE),"No Rate")</f>
        <v>3.9</v>
      </c>
      <c r="E13" s="6">
        <f>_xlfn.IFNA(_xlfn.XLOOKUP(A13,Source_Data!$A$2:$A$15,Source_Data!$B$2:$B$15),"No Rate")</f>
        <v>3.9</v>
      </c>
      <c r="G13" s="3" t="s">
        <v>4</v>
      </c>
      <c r="H13" s="15">
        <v>4.9000000000000004</v>
      </c>
      <c r="J13" s="2"/>
    </row>
    <row r="14" spans="1:12" hidden="1" x14ac:dyDescent="0.35">
      <c r="A14" s="5">
        <v>111</v>
      </c>
      <c r="B14" s="4" t="s">
        <v>23</v>
      </c>
      <c r="C14" s="4" t="s">
        <v>24</v>
      </c>
      <c r="D14" s="6" t="str">
        <f>_xlfn.IFNA(VLOOKUP(A14,Source_Data!$A$2:$C$15,2,FALSE),"No Rate")</f>
        <v>No Rate</v>
      </c>
      <c r="E14" s="6" t="str">
        <f>_xlfn.IFNA(_xlfn.XLOOKUP(A14,Source_Data!$A$2:$A$15,Source_Data!$B$2:$B$15),"No Rate")</f>
        <v>No Rate</v>
      </c>
      <c r="G14" s="3" t="s">
        <v>18</v>
      </c>
      <c r="H14" s="15">
        <v>4.4000000000000004</v>
      </c>
      <c r="J14" s="2"/>
    </row>
    <row r="15" spans="1:12" hidden="1" x14ac:dyDescent="0.35">
      <c r="A15" s="5">
        <v>112</v>
      </c>
      <c r="B15" s="4" t="s">
        <v>25</v>
      </c>
      <c r="C15" s="4" t="s">
        <v>26</v>
      </c>
      <c r="D15" s="6" t="str">
        <f>_xlfn.IFNA(VLOOKUP(A15,Source_Data!$A$2:$C$15,2,FALSE),"No Rate")</f>
        <v>No Rate</v>
      </c>
      <c r="E15" s="6" t="str">
        <f>_xlfn.IFNA(_xlfn.XLOOKUP(A15,Source_Data!$A$2:$A$15,Source_Data!$B$2:$B$15),"No Rate")</f>
        <v>No Rate</v>
      </c>
      <c r="G15" s="3" t="s">
        <v>16</v>
      </c>
      <c r="H15" s="15">
        <v>4.5999999999999996</v>
      </c>
      <c r="J15" s="2"/>
    </row>
    <row r="16" spans="1:12" x14ac:dyDescent="0.35">
      <c r="A16" s="5">
        <v>113</v>
      </c>
      <c r="B16" s="4" t="s">
        <v>27</v>
      </c>
      <c r="C16" s="4" t="s">
        <v>28</v>
      </c>
      <c r="D16" s="12">
        <f>_xlfn.IFNA(VLOOKUP(A16,Source_Data!$A$2:$C$15,2,FALSE),"No Rate")</f>
        <v>4.7</v>
      </c>
      <c r="E16" s="6">
        <f>_xlfn.IFNA(_xlfn.XLOOKUP(A16,Source_Data!$A$2:$A$15,Source_Data!$B$2:$B$15),"No Rate")</f>
        <v>4.7</v>
      </c>
      <c r="G16" s="3" t="s">
        <v>38</v>
      </c>
      <c r="H16" s="1">
        <v>4.569230769230769</v>
      </c>
    </row>
    <row r="17" spans="1:5" x14ac:dyDescent="0.35">
      <c r="A17" s="5">
        <v>114</v>
      </c>
      <c r="B17" s="4" t="s">
        <v>29</v>
      </c>
      <c r="C17" s="4" t="s">
        <v>30</v>
      </c>
      <c r="D17" s="6">
        <f>_xlfn.IFNA(VLOOKUP(A17,Source_Data!$A$2:$C$15,2,FALSE),"No Rate")</f>
        <v>4.0999999999999996</v>
      </c>
      <c r="E17" s="6">
        <f>_xlfn.IFNA(_xlfn.XLOOKUP(A17,Source_Data!$A$2:$A$15,Source_Data!$B$2:$B$15),"No Rate")</f>
        <v>4.0999999999999996</v>
      </c>
    </row>
    <row r="18" spans="1:5" x14ac:dyDescent="0.35">
      <c r="A18" s="10">
        <v>115</v>
      </c>
      <c r="B18" s="11" t="s">
        <v>31</v>
      </c>
      <c r="C18" s="11" t="s">
        <v>32</v>
      </c>
      <c r="D18" s="6">
        <f>_xlfn.IFNA(VLOOKUP(A18,Source_Data!$A$2:$C$15,2,FALSE),"No Rate")</f>
        <v>4.9000000000000004</v>
      </c>
      <c r="E18" s="12">
        <f>_xlfn.IFNA(_xlfn.XLOOKUP(A18,Source_Data!$A$2:$A$15,Source_Data!$B$2:$B$15),"No Rate")</f>
        <v>4.9000000000000004</v>
      </c>
    </row>
    <row r="19" spans="1:5" x14ac:dyDescent="0.35">
      <c r="D19" s="6"/>
    </row>
    <row r="20" spans="1:5" x14ac:dyDescent="0.35">
      <c r="D20" s="6"/>
    </row>
    <row r="21" spans="1:5" x14ac:dyDescent="0.35">
      <c r="D21" s="6"/>
    </row>
    <row r="22" spans="1:5" x14ac:dyDescent="0.35">
      <c r="D22" s="6"/>
    </row>
    <row r="23" spans="1:5" x14ac:dyDescent="0.35">
      <c r="D23" s="6"/>
    </row>
    <row r="24" spans="1:5" x14ac:dyDescent="0.35">
      <c r="D24" s="6"/>
    </row>
    <row r="25" spans="1:5" x14ac:dyDescent="0.35">
      <c r="D25" s="6"/>
    </row>
    <row r="26" spans="1:5" x14ac:dyDescent="0.35">
      <c r="D26" s="6"/>
    </row>
    <row r="27" spans="1:5" x14ac:dyDescent="0.35">
      <c r="D27" s="6"/>
    </row>
    <row r="28" spans="1:5" x14ac:dyDescent="0.35">
      <c r="D28" s="6"/>
    </row>
    <row r="29" spans="1:5" x14ac:dyDescent="0.35">
      <c r="D29" s="12"/>
    </row>
  </sheetData>
  <mergeCells count="1">
    <mergeCell ref="A1:E2"/>
  </mergeCells>
  <conditionalFormatting sqref="D19:D29 D4:E18">
    <cfRule type="dataBar" priority="4">
      <dataBar>
        <cfvo type="num" val="0"/>
        <cfvo type="num" val="5"/>
        <color rgb="FF638EC6"/>
      </dataBar>
      <extLst>
        <ext xmlns:x14="http://schemas.microsoft.com/office/spreadsheetml/2009/9/main" uri="{B025F937-C7B1-47D3-B67F-A62EFF666E3E}">
          <x14:id>{E868F503-AA66-418F-B1F5-905670362C06}</x14:id>
        </ext>
      </extLst>
    </cfRule>
  </conditionalFormatting>
  <pageMargins left="0.7" right="0.7" top="0.75" bottom="0.75" header="0.3" footer="0.3"/>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iconSet" priority="3" id="{036E025A-267A-47C6-B6E7-729E77BE034F}">
            <x14:iconSet iconSet="3Stars">
              <x14:cfvo type="percent">
                <xm:f>0</xm:f>
              </x14:cfvo>
              <x14:cfvo type="percent">
                <xm:f>33</xm:f>
              </x14:cfvo>
              <x14:cfvo type="percent">
                <xm:f>67</xm:f>
              </x14:cfvo>
            </x14:iconSet>
          </x14:cfRule>
          <x14:cfRule type="dataBar" id="{E868F503-AA66-418F-B1F5-905670362C06}">
            <x14:dataBar minLength="0" maxLength="100" gradient="0">
              <x14:cfvo type="num">
                <xm:f>0</xm:f>
              </x14:cfvo>
              <x14:cfvo type="num">
                <xm:f>5</xm:f>
              </x14:cfvo>
              <x14:negativeFillColor rgb="FFFF0000"/>
              <x14:axisColor rgb="FF000000"/>
            </x14:dataBar>
          </x14:cfRule>
          <xm:sqref>D19:D29 D4:E18</xm:sqref>
        </x14:conditionalFormatting>
      </x14:conditionalFormattings>
    </ex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BD8B4B-9D12-492B-AFB6-26F142AE76D7}">
  <dimension ref="A1:C15"/>
  <sheetViews>
    <sheetView workbookViewId="0">
      <selection activeCell="F14" sqref="F14"/>
    </sheetView>
  </sheetViews>
  <sheetFormatPr defaultRowHeight="14.5" x14ac:dyDescent="0.35"/>
  <sheetData>
    <row r="1" spans="1:3" x14ac:dyDescent="0.35">
      <c r="A1" s="2" t="s">
        <v>0</v>
      </c>
      <c r="B1" s="2" t="s">
        <v>33</v>
      </c>
      <c r="C1" s="2" t="s">
        <v>34</v>
      </c>
    </row>
    <row r="2" spans="1:3" x14ac:dyDescent="0.35">
      <c r="A2" s="2">
        <v>101</v>
      </c>
      <c r="B2" s="2">
        <v>4.9000000000000004</v>
      </c>
      <c r="C2" s="2">
        <v>320</v>
      </c>
    </row>
    <row r="3" spans="1:3" x14ac:dyDescent="0.35">
      <c r="A3" s="2">
        <v>102</v>
      </c>
      <c r="B3" s="2">
        <v>4.7</v>
      </c>
      <c r="C3" s="2">
        <v>150</v>
      </c>
    </row>
    <row r="4" spans="1:3" x14ac:dyDescent="0.35">
      <c r="A4" s="2">
        <v>103</v>
      </c>
      <c r="B4" s="2">
        <v>4.5</v>
      </c>
      <c r="C4" s="2">
        <v>90</v>
      </c>
    </row>
    <row r="5" spans="1:3" x14ac:dyDescent="0.35">
      <c r="A5" s="2">
        <v>104</v>
      </c>
      <c r="B5" s="2">
        <v>4.8</v>
      </c>
      <c r="C5" s="2">
        <v>410</v>
      </c>
    </row>
    <row r="6" spans="1:3" x14ac:dyDescent="0.35">
      <c r="A6" s="2">
        <v>105</v>
      </c>
      <c r="B6" s="2">
        <v>4.2</v>
      </c>
      <c r="C6" s="2">
        <v>65</v>
      </c>
    </row>
    <row r="7" spans="1:3" x14ac:dyDescent="0.35">
      <c r="A7" s="2">
        <v>106</v>
      </c>
      <c r="B7" s="2">
        <v>4.9000000000000004</v>
      </c>
      <c r="C7" s="2">
        <v>500</v>
      </c>
    </row>
    <row r="8" spans="1:3" x14ac:dyDescent="0.35">
      <c r="A8" s="2">
        <v>107</v>
      </c>
      <c r="B8" s="2">
        <v>4.5999999999999996</v>
      </c>
      <c r="C8" s="2">
        <v>180</v>
      </c>
    </row>
    <row r="9" spans="1:3" x14ac:dyDescent="0.35">
      <c r="A9" s="2">
        <v>108</v>
      </c>
      <c r="B9" s="2">
        <v>4.4000000000000004</v>
      </c>
      <c r="C9" s="2">
        <v>120</v>
      </c>
    </row>
    <row r="10" spans="1:3" x14ac:dyDescent="0.35">
      <c r="A10" s="2">
        <v>109</v>
      </c>
      <c r="B10" s="2">
        <v>4.8</v>
      </c>
      <c r="C10" s="2">
        <v>230</v>
      </c>
    </row>
    <row r="11" spans="1:3" x14ac:dyDescent="0.35">
      <c r="A11" s="2">
        <v>110</v>
      </c>
      <c r="B11" s="2">
        <v>3.9</v>
      </c>
      <c r="C11" s="2">
        <v>45</v>
      </c>
    </row>
    <row r="12" spans="1:3" x14ac:dyDescent="0.35">
      <c r="A12" s="2">
        <v>113</v>
      </c>
      <c r="B12" s="2">
        <v>4.7</v>
      </c>
      <c r="C12" s="2">
        <v>140</v>
      </c>
    </row>
    <row r="13" spans="1:3" x14ac:dyDescent="0.35">
      <c r="A13" s="2">
        <v>114</v>
      </c>
      <c r="B13" s="2">
        <v>4.0999999999999996</v>
      </c>
      <c r="C13" s="2">
        <v>85</v>
      </c>
    </row>
    <row r="14" spans="1:3" x14ac:dyDescent="0.35">
      <c r="A14" s="2">
        <v>115</v>
      </c>
      <c r="B14" s="2">
        <v>4.9000000000000004</v>
      </c>
      <c r="C14" s="2">
        <v>610</v>
      </c>
    </row>
    <row r="15" spans="1:3" x14ac:dyDescent="0.35">
      <c r="A15" s="2">
        <v>120</v>
      </c>
      <c r="B15" s="2">
        <v>4.5999999999999996</v>
      </c>
      <c r="C15" s="2">
        <v>95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75CCA8C93D93A43A1AC488E2F0D8821" ma:contentTypeVersion="5" ma:contentTypeDescription="Create a new document." ma:contentTypeScope="" ma:versionID="5345ce98933d9ec1471464f61cd0e19e">
  <xsd:schema xmlns:xsd="http://www.w3.org/2001/XMLSchema" xmlns:xs="http://www.w3.org/2001/XMLSchema" xmlns:p="http://schemas.microsoft.com/office/2006/metadata/properties" xmlns:ns3="d6bf451c-e3aa-4dd1-b5a6-a95183d31bdf" targetNamespace="http://schemas.microsoft.com/office/2006/metadata/properties" ma:root="true" ma:fieldsID="22654faffaec1724d19dfafa100f8372" ns3:_="">
    <xsd:import namespace="d6bf451c-e3aa-4dd1-b5a6-a95183d31bdf"/>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6bf451c-e3aa-4dd1-b5a6-a95183d31bdf"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d6bf451c-e3aa-4dd1-b5a6-a95183d31bdf" xsi:nil="true"/>
  </documentManagement>
</p:properties>
</file>

<file path=customXml/itemProps1.xml><?xml version="1.0" encoding="utf-8"?>
<ds:datastoreItem xmlns:ds="http://schemas.openxmlformats.org/officeDocument/2006/customXml" ds:itemID="{6CEF5BAA-57C4-45AA-B470-D9FC978495C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6bf451c-e3aa-4dd1-b5a6-a95183d31bd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E6F7B04-A9D6-4AE5-9FC5-8EF8E8ACB60D}">
  <ds:schemaRefs>
    <ds:schemaRef ds:uri="http://schemas.microsoft.com/sharepoint/v3/contenttype/forms"/>
  </ds:schemaRefs>
</ds:datastoreItem>
</file>

<file path=customXml/itemProps3.xml><?xml version="1.0" encoding="utf-8"?>
<ds:datastoreItem xmlns:ds="http://schemas.openxmlformats.org/officeDocument/2006/customXml" ds:itemID="{7AC1D7C8-B82F-4208-A83D-EBCD484A412F}">
  <ds:schemaRefs>
    <ds:schemaRef ds:uri="http://schemas.microsoft.com/office/2006/documentManagement/types"/>
    <ds:schemaRef ds:uri="http://www.w3.org/XML/1998/namespace"/>
    <ds:schemaRef ds:uri="http://schemas.openxmlformats.org/package/2006/metadata/core-properties"/>
    <ds:schemaRef ds:uri="http://purl.org/dc/terms/"/>
    <ds:schemaRef ds:uri="http://purl.org/dc/dcmitype/"/>
    <ds:schemaRef ds:uri="http://schemas.microsoft.com/office/2006/metadata/properties"/>
    <ds:schemaRef ds:uri="http://purl.org/dc/elements/1.1/"/>
    <ds:schemaRef ds:uri="http://schemas.microsoft.com/office/infopath/2007/PartnerControls"/>
    <ds:schemaRef ds:uri="d6bf451c-e3aa-4dd1-b5a6-a95183d31bd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Performance_Analysis</vt:lpstr>
      <vt:lpstr>Source_Data</vt:lpstr>
      <vt:lpstr>id</vt:lpstr>
      <vt:lpstr>Rate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Mohamed Ahmed Abdellateef Saleh</dc:creator>
  <cp:lastModifiedBy>Ahmed Mohamed Ahmed Abdellateef Saleh</cp:lastModifiedBy>
  <dcterms:created xsi:type="dcterms:W3CDTF">2026-07-05T17:55:04Z</dcterms:created>
  <dcterms:modified xsi:type="dcterms:W3CDTF">2026-07-07T15:13:30Z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0x010100C75CCA8C93D93A43A1AC488E2F0D8821</vt:lpwstr>
  </property>
</Properties>
</file>