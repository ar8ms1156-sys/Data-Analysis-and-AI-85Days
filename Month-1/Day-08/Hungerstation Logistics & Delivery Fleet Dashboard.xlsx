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ata-Analysis-and-AI-85Days\Month-1\Day-08\"/>
    </mc:Choice>
  </mc:AlternateContent>
  <xr:revisionPtr revIDLastSave="0" documentId="13_ncr:1_{5759392E-966E-48B6-95F9-4CC92F993FCD}" xr6:coauthVersionLast="47" xr6:coauthVersionMax="47" xr10:uidLastSave="{00000000-0000-0000-0000-000000000000}"/>
  <bookViews>
    <workbookView xWindow="-110" yWindow="-110" windowWidth="19420" windowHeight="11500" xr2:uid="{88D4364E-7EF7-4403-A28E-AC9F1EAAC678}"/>
  </bookViews>
  <sheets>
    <sheet name="Sheet1" sheetId="1" r:id="rId1"/>
  </sheets>
  <definedNames>
    <definedName name="_xlnm._FilterDatabase" localSheetId="0" hidden="1">Sheet1!$B$3:$G$23</definedName>
    <definedName name="Slicer_أسم_المندوب">#N/A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4" i="1" l="1"/>
  <c r="C24" i="1"/>
  <c r="D24" i="1"/>
  <c r="F24" i="1"/>
  <c r="G24" i="1"/>
</calcChain>
</file>

<file path=xl/sharedStrings.xml><?xml version="1.0" encoding="utf-8"?>
<sst xmlns="http://schemas.openxmlformats.org/spreadsheetml/2006/main" count="76" uniqueCount="56">
  <si>
    <t>ahmed_Al-Otaibi</t>
  </si>
  <si>
    <t>Riyadh</t>
  </si>
  <si>
    <t>KHaled_Dawsari</t>
  </si>
  <si>
    <t>Jeddah</t>
  </si>
  <si>
    <t>mohammed_Qahtani</t>
  </si>
  <si>
    <t>Dammam</t>
  </si>
  <si>
    <t>Faisal_Shammari</t>
  </si>
  <si>
    <t>sultan_Harbi</t>
  </si>
  <si>
    <t>Makkah</t>
  </si>
  <si>
    <t>abdullah_Zahrani</t>
  </si>
  <si>
    <t>Mishari_Anazi</t>
  </si>
  <si>
    <t>Medina</t>
  </si>
  <si>
    <t>Saud_Buqami</t>
  </si>
  <si>
    <t>rkan_mutairi</t>
  </si>
  <si>
    <t>Qassim</t>
  </si>
  <si>
    <t>turki_subaie</t>
  </si>
  <si>
    <t>Khobar</t>
  </si>
  <si>
    <t>nasser_shahrani</t>
  </si>
  <si>
    <t>Abha</t>
  </si>
  <si>
    <t>yasser_dosari</t>
  </si>
  <si>
    <t>Tabuk</t>
  </si>
  <si>
    <t>bandar_otaibi</t>
  </si>
  <si>
    <t>Taif</t>
  </si>
  <si>
    <t>fahad_harthi</t>
  </si>
  <si>
    <t>Jizan</t>
  </si>
  <si>
    <t>nawaf_sahli</t>
  </si>
  <si>
    <t>Hail</t>
  </si>
  <si>
    <t>sami_qahtani</t>
  </si>
  <si>
    <t>Najran</t>
  </si>
  <si>
    <t>badr_shammari</t>
  </si>
  <si>
    <t>Jubail</t>
  </si>
  <si>
    <t>naif_harbi</t>
  </si>
  <si>
    <t>Yanbu</t>
  </si>
  <si>
    <t>majed_anazi</t>
  </si>
  <si>
    <t>رقم المندوب</t>
  </si>
  <si>
    <t>أسم المندوب</t>
  </si>
  <si>
    <t>المدينة</t>
  </si>
  <si>
    <t>الطلبات المُسلمة</t>
  </si>
  <si>
    <t>رسوم التوصيل</t>
  </si>
  <si>
    <t>مصاريف البنزين</t>
  </si>
  <si>
    <t>📊 تقرير أداء وكفاءة أسطول التوصيل اليومي - هنجرستيشن 📊</t>
  </si>
  <si>
    <t>الشركة: هنجرستيشن | العملة: ريال سعودي (SAR)</t>
  </si>
  <si>
    <t>ملخص الأداء التشغيلي للاسطول</t>
  </si>
  <si>
    <t>اجمالي عدد الطلبات المسلمة ⇐</t>
  </si>
  <si>
    <t>اجمالي تكلفة التوصيل ⇐</t>
  </si>
  <si>
    <t>اجمالي مصاريف البنزين ⇐</t>
  </si>
  <si>
    <t>متوسط عدد الطلبات لكل مندوب ⇐</t>
  </si>
  <si>
    <t>متوسط مصاريف البنزين ⇐</t>
  </si>
  <si>
    <t>عدد المناديل النشطيين ⇐</t>
  </si>
  <si>
    <t>Total</t>
  </si>
  <si>
    <t>Row Labels</t>
  </si>
  <si>
    <t>Grand Total</t>
  </si>
  <si>
    <t>اجمالي الطلبات</t>
  </si>
  <si>
    <t>اجمالي البنزين</t>
  </si>
  <si>
    <t>اجمالي رسوم التوصيل</t>
  </si>
  <si>
    <t>waleed_zahrani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</si>
</sst>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1]\ #,##0.00"/>
    <numFmt numFmtId="165" formatCode="0.0"/>
  </numFmts>
  <fonts count="6">
    <font>
      <sz val="11"/>
      <color theme="1"/>
      <name val="Aptos Narrow"/>
      <family val="2"/>
      <scheme val="minor"/>
    </font>
    <font>
      <b/>
      <sz val="16"/>
      <color theme="0"/>
      <name val="Aptos Narrow"/>
      <family val="2"/>
      <scheme val="minor"/>
    </font>
    <font>
      <b/>
      <sz val="16"/>
      <color theme="1"/>
      <name val="Aptos Narrow"/>
      <family val="2"/>
      <scheme val="minor"/>
    </font>
    <font>
      <sz val="11"/>
      <color theme="1" tint="4.9989318521683403E-2"/>
      <name val="Aptos Narrow"/>
      <family val="2"/>
      <scheme val="minor"/>
    </font>
    <font>
      <sz val="14"/>
      <color theme="1" tint="4.9989318521683403E-2"/>
      <name val="Aptos Narrow"/>
      <family val="2"/>
      <scheme val="minor"/>
    </font>
    <font>
      <b/>
      <sz val="20"/>
      <color theme="0"/>
      <name val="Aptos Narrow"/>
      <family val="2"/>
      <scheme val="minor"/>
    </font>
  </fonts>
  <fills count="5">
    <fill>
      <patternFill patternType="none"/>
    </fill>
    <fill>
      <patternFill patternType="gray125"/>
    </fill>
    <fill>
      <patternFill patternType="solid">
        <fgColor theme="5" tint="-0.499984740745262"/>
        <bgColor indexed="64"/>
      </patternFill>
    </fill>
    <fill>
      <patternFill patternType="solid">
        <fgColor theme="2" tint="-9.9978637043366805E-2"/>
        <bgColor indexed="64"/>
      </patternFill>
    </fill>
    <fill>
      <patternFill patternType="solid">
        <fgColor theme="5"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theme="2" tint="-0.249977111117893"/>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style="thin">
        <color theme="2" tint="-0.249977111117893"/>
      </left>
      <right style="thin">
        <color theme="2" tint="-0.249977111117893"/>
      </right>
      <top style="thin">
        <color theme="2" tint="-0.249977111117893"/>
      </top>
      <bottom/>
      <diagonal/>
    </border>
  </borders>
  <cellStyleXfs count="1">
    <xf numFmtId="0" fontId="0" fillId="0" borderId="0"/>
  </cellStyleXfs>
  <cellXfs count="34">
    <xf numFmtId="0" fontId="0" fillId="0" borderId="0" xfId="0"/>
    <xf numFmtId="0" fontId="0" fillId="0" borderId="1" xfId="0" applyBorder="1" applyAlignment="1">
      <alignment horizontal="center"/>
    </xf>
    <xf numFmtId="164" fontId="0" fillId="0" borderId="1" xfId="0" applyNumberFormat="1" applyBorder="1" applyAlignment="1">
      <alignment horizontal="center"/>
    </xf>
    <xf numFmtId="0" fontId="0" fillId="0" borderId="3" xfId="0" applyBorder="1" applyAlignment="1">
      <alignment horizontal="center"/>
    </xf>
    <xf numFmtId="164" fontId="0" fillId="0" borderId="4"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64" fontId="0" fillId="0" borderId="9" xfId="0" applyNumberFormat="1" applyBorder="1" applyAlignment="1">
      <alignment horizontal="center"/>
    </xf>
    <xf numFmtId="164" fontId="0" fillId="0" borderId="10" xfId="0" applyNumberFormat="1" applyBorder="1" applyAlignment="1">
      <alignment horizontal="center"/>
    </xf>
    <xf numFmtId="0" fontId="0" fillId="0" borderId="11" xfId="0" applyBorder="1"/>
    <xf numFmtId="0" fontId="0" fillId="0" borderId="11" xfId="0" applyBorder="1" applyAlignment="1">
      <alignment horizontal="center" vertical="center"/>
    </xf>
    <xf numFmtId="0" fontId="0" fillId="0" borderId="14" xfId="0" applyBorder="1"/>
    <xf numFmtId="164" fontId="0" fillId="0" borderId="0" xfId="0" applyNumberFormat="1"/>
    <xf numFmtId="0" fontId="0" fillId="0" borderId="0" xfId="0" pivotButton="1"/>
    <xf numFmtId="0" fontId="0" fillId="0" borderId="0" xfId="0" applyAlignment="1">
      <alignment horizontal="left"/>
    </xf>
    <xf numFmtId="164" fontId="3" fillId="4" borderId="12" xfId="0" applyNumberFormat="1" applyFont="1" applyFill="1" applyBorder="1" applyAlignment="1">
      <alignment horizontal="center" vertical="center"/>
    </xf>
    <xf numFmtId="165" fontId="3" fillId="4" borderId="12" xfId="0" applyNumberFormat="1" applyFont="1" applyFill="1" applyBorder="1" applyAlignment="1">
      <alignment horizontal="center" vertical="center"/>
    </xf>
    <xf numFmtId="0" fontId="3" fillId="4" borderId="12" xfId="0" applyFont="1" applyFill="1" applyBorder="1" applyAlignment="1">
      <alignment horizontal="center" vertical="center"/>
    </xf>
    <xf numFmtId="0" fontId="3" fillId="4" borderId="17" xfId="0" applyFont="1" applyFill="1" applyBorder="1" applyAlignment="1">
      <alignment horizontal="center" vertical="center"/>
    </xf>
    <xf numFmtId="0" fontId="5" fillId="2" borderId="13" xfId="0" applyFont="1" applyFill="1" applyBorder="1" applyAlignment="1">
      <alignment horizontal="center"/>
    </xf>
    <xf numFmtId="0" fontId="5" fillId="2" borderId="14" xfId="0" applyFont="1" applyFill="1" applyBorder="1" applyAlignment="1">
      <alignment horizontal="center"/>
    </xf>
    <xf numFmtId="0" fontId="5" fillId="2" borderId="15" xfId="0" applyFont="1" applyFill="1" applyBorder="1" applyAlignment="1">
      <alignment horizontal="center"/>
    </xf>
    <xf numFmtId="0" fontId="5" fillId="2" borderId="16" xfId="0" applyFont="1" applyFill="1" applyBorder="1" applyAlignment="1">
      <alignment horizontal="center"/>
    </xf>
    <xf numFmtId="0" fontId="5" fillId="2" borderId="0" xfId="0" applyFont="1" applyFill="1" applyAlignment="1">
      <alignment horizontal="center"/>
    </xf>
    <xf numFmtId="0" fontId="5" fillId="2" borderId="11" xfId="0" applyFont="1" applyFill="1" applyBorder="1" applyAlignment="1">
      <alignment horizontal="center"/>
    </xf>
    <xf numFmtId="0" fontId="4" fillId="4" borderId="12" xfId="0" applyFont="1" applyFill="1" applyBorder="1" applyAlignment="1">
      <alignment horizontal="center" vertical="center"/>
    </xf>
    <xf numFmtId="0" fontId="1" fillId="2" borderId="0" xfId="0" applyFont="1" applyFill="1" applyAlignment="1">
      <alignment horizontal="center"/>
    </xf>
    <xf numFmtId="0" fontId="1" fillId="2" borderId="2" xfId="0" applyFont="1" applyFill="1" applyBorder="1" applyAlignment="1">
      <alignment horizontal="center"/>
    </xf>
    <xf numFmtId="0" fontId="2" fillId="3" borderId="0" xfId="0" applyFont="1" applyFill="1" applyAlignment="1">
      <alignment horizontal="center" vertical="center" textRotation="90"/>
    </xf>
    <xf numFmtId="0" fontId="0" fillId="0" borderId="0" xfId="0" applyAlignment="1">
      <alignment horizontal="center"/>
    </xf>
    <xf numFmtId="0" fontId="0" fillId="0" borderId="0" xfId="0" applyNumberFormat="1"/>
  </cellXfs>
  <cellStyles count="1">
    <cellStyle name="Normal" xfId="0" builtinId="0"/>
  </cellStyles>
  <dxfs count="17">
    <dxf>
      <numFmt numFmtId="164" formatCode="[$⃁-401]\ #,##0.00"/>
      <alignment horizontal="center" vertical="bottom" textRotation="0" wrapText="0" indent="0" justifyLastLine="0" shrinkToFit="0" readingOrder="0"/>
      <border diagonalUp="0" diagonalDown="0" outline="0">
        <left style="thin">
          <color indexed="64"/>
        </left>
        <right/>
        <top style="thin">
          <color indexed="64"/>
        </top>
        <bottom/>
      </border>
    </dxf>
    <dxf>
      <numFmt numFmtId="164" formatCode="[$⃁-401]\ #,##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4" formatCode="[$⃁-401]\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401]\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[Hungerstation Logistics &amp; Delivery Fleet Dashboard.xlsx]Sheet1!PivotTable3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 </a:t>
            </a:r>
            <a:r>
              <a:rPr lang="ar-EG"/>
              <a:t>مقارنة أداء المدن تشغيلياً ومالياً</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Sheet1!$L$14</c:f>
              <c:strCache>
                <c:ptCount val="1"/>
                <c:pt idx="0">
                  <c:v>اجمالي الطلبات</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BarType val="both"/>
            <c:errValType val="stdErr"/>
            <c:noEndCap val="0"/>
            <c:spPr>
              <a:noFill/>
              <a:ln w="9525">
                <a:solidFill>
                  <a:schemeClr val="lt1">
                    <a:lumMod val="50000"/>
                  </a:schemeClr>
                </a:solidFill>
                <a:round/>
              </a:ln>
              <a:effectLst/>
            </c:spPr>
          </c:errBars>
          <c:cat>
            <c:strRef>
              <c:f>Sheet1!$K$15:$K$30</c:f>
              <c:strCache>
                <c:ptCount val="15"/>
                <c:pt idx="0">
                  <c:v>Abha</c:v>
                </c:pt>
                <c:pt idx="1">
                  <c:v>Dammam</c:v>
                </c:pt>
                <c:pt idx="2">
                  <c:v>Hail</c:v>
                </c:pt>
                <c:pt idx="3">
                  <c:v>Jeddah</c:v>
                </c:pt>
                <c:pt idx="4">
                  <c:v>Jizan</c:v>
                </c:pt>
                <c:pt idx="5">
                  <c:v>Jubail</c:v>
                </c:pt>
                <c:pt idx="6">
                  <c:v>Khobar</c:v>
                </c:pt>
                <c:pt idx="7">
                  <c:v>Makkah</c:v>
                </c:pt>
                <c:pt idx="8">
                  <c:v>Medina</c:v>
                </c:pt>
                <c:pt idx="9">
                  <c:v>Najran</c:v>
                </c:pt>
                <c:pt idx="10">
                  <c:v>Qassim</c:v>
                </c:pt>
                <c:pt idx="11">
                  <c:v>Riyadh</c:v>
                </c:pt>
                <c:pt idx="12">
                  <c:v>Tabuk</c:v>
                </c:pt>
                <c:pt idx="13">
                  <c:v>Taif</c:v>
                </c:pt>
                <c:pt idx="14">
                  <c:v>Yanbu</c:v>
                </c:pt>
              </c:strCache>
            </c:strRef>
          </c:cat>
          <c:val>
            <c:numRef>
              <c:f>Sheet1!$L$15:$L$30</c:f>
              <c:numCache>
                <c:formatCode>General</c:formatCode>
                <c:ptCount val="15"/>
                <c:pt idx="0">
                  <c:v>13</c:v>
                </c:pt>
                <c:pt idx="1">
                  <c:v>12</c:v>
                </c:pt>
                <c:pt idx="2">
                  <c:v>8</c:v>
                </c:pt>
                <c:pt idx="3">
                  <c:v>43</c:v>
                </c:pt>
                <c:pt idx="4">
                  <c:v>15</c:v>
                </c:pt>
                <c:pt idx="5">
                  <c:v>21</c:v>
                </c:pt>
                <c:pt idx="6">
                  <c:v>17</c:v>
                </c:pt>
                <c:pt idx="7">
                  <c:v>14</c:v>
                </c:pt>
                <c:pt idx="8">
                  <c:v>16</c:v>
                </c:pt>
                <c:pt idx="9">
                  <c:v>14</c:v>
                </c:pt>
                <c:pt idx="10">
                  <c:v>11</c:v>
                </c:pt>
                <c:pt idx="11">
                  <c:v>82</c:v>
                </c:pt>
                <c:pt idx="12">
                  <c:v>19</c:v>
                </c:pt>
                <c:pt idx="13">
                  <c:v>10</c:v>
                </c:pt>
                <c:pt idx="14">
                  <c:v>12</c:v>
                </c:pt>
              </c:numCache>
            </c:numRef>
          </c:val>
          <c:extLst>
            <c:ext xmlns:c16="http://schemas.microsoft.com/office/drawing/2014/chart" uri="{C3380CC4-5D6E-409C-BE32-E72D297353CC}">
              <c16:uniqueId val="{00000000-D9B8-4BEF-8B30-80324D2504BC}"/>
            </c:ext>
          </c:extLst>
        </c:ser>
        <c:ser>
          <c:idx val="1"/>
          <c:order val="1"/>
          <c:tx>
            <c:strRef>
              <c:f>Sheet1!$M$14</c:f>
              <c:strCache>
                <c:ptCount val="1"/>
                <c:pt idx="0">
                  <c:v>اجمالي البنزين</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BarType val="both"/>
            <c:errValType val="stdErr"/>
            <c:noEndCap val="0"/>
            <c:spPr>
              <a:noFill/>
              <a:ln w="9525">
                <a:solidFill>
                  <a:schemeClr val="lt1">
                    <a:lumMod val="50000"/>
                  </a:schemeClr>
                </a:solidFill>
                <a:round/>
              </a:ln>
              <a:effectLst/>
            </c:spPr>
          </c:errBars>
          <c:cat>
            <c:strRef>
              <c:f>Sheet1!$K$15:$K$30</c:f>
              <c:strCache>
                <c:ptCount val="15"/>
                <c:pt idx="0">
                  <c:v>Abha</c:v>
                </c:pt>
                <c:pt idx="1">
                  <c:v>Dammam</c:v>
                </c:pt>
                <c:pt idx="2">
                  <c:v>Hail</c:v>
                </c:pt>
                <c:pt idx="3">
                  <c:v>Jeddah</c:v>
                </c:pt>
                <c:pt idx="4">
                  <c:v>Jizan</c:v>
                </c:pt>
                <c:pt idx="5">
                  <c:v>Jubail</c:v>
                </c:pt>
                <c:pt idx="6">
                  <c:v>Khobar</c:v>
                </c:pt>
                <c:pt idx="7">
                  <c:v>Makkah</c:v>
                </c:pt>
                <c:pt idx="8">
                  <c:v>Medina</c:v>
                </c:pt>
                <c:pt idx="9">
                  <c:v>Najran</c:v>
                </c:pt>
                <c:pt idx="10">
                  <c:v>Qassim</c:v>
                </c:pt>
                <c:pt idx="11">
                  <c:v>Riyadh</c:v>
                </c:pt>
                <c:pt idx="12">
                  <c:v>Tabuk</c:v>
                </c:pt>
                <c:pt idx="13">
                  <c:v>Taif</c:v>
                </c:pt>
                <c:pt idx="14">
                  <c:v>Yanbu</c:v>
                </c:pt>
              </c:strCache>
            </c:strRef>
          </c:cat>
          <c:val>
            <c:numRef>
              <c:f>Sheet1!$M$15:$M$30</c:f>
              <c:numCache>
                <c:formatCode>[$⃁-401]\ #,##0.00</c:formatCode>
                <c:ptCount val="15"/>
                <c:pt idx="0">
                  <c:v>40</c:v>
                </c:pt>
                <c:pt idx="1">
                  <c:v>35</c:v>
                </c:pt>
                <c:pt idx="2">
                  <c:v>25</c:v>
                </c:pt>
                <c:pt idx="3">
                  <c:v>125</c:v>
                </c:pt>
                <c:pt idx="4">
                  <c:v>45</c:v>
                </c:pt>
                <c:pt idx="5">
                  <c:v>60</c:v>
                </c:pt>
                <c:pt idx="6">
                  <c:v>50</c:v>
                </c:pt>
                <c:pt idx="7">
                  <c:v>40</c:v>
                </c:pt>
                <c:pt idx="8">
                  <c:v>45</c:v>
                </c:pt>
                <c:pt idx="9">
                  <c:v>40</c:v>
                </c:pt>
                <c:pt idx="10">
                  <c:v>35</c:v>
                </c:pt>
                <c:pt idx="11">
                  <c:v>230</c:v>
                </c:pt>
                <c:pt idx="12">
                  <c:v>55</c:v>
                </c:pt>
                <c:pt idx="13">
                  <c:v>30</c:v>
                </c:pt>
                <c:pt idx="14">
                  <c:v>35</c:v>
                </c:pt>
              </c:numCache>
            </c:numRef>
          </c:val>
          <c:extLst>
            <c:ext xmlns:c16="http://schemas.microsoft.com/office/drawing/2014/chart" uri="{C3380CC4-5D6E-409C-BE32-E72D297353CC}">
              <c16:uniqueId val="{00000001-D9B8-4BEF-8B30-80324D2504BC}"/>
            </c:ext>
          </c:extLst>
        </c:ser>
        <c:ser>
          <c:idx val="2"/>
          <c:order val="2"/>
          <c:tx>
            <c:strRef>
              <c:f>Sheet1!$N$14</c:f>
              <c:strCache>
                <c:ptCount val="1"/>
                <c:pt idx="0">
                  <c:v>اجمالي رسوم التوصيل</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BarType val="both"/>
            <c:errValType val="stdErr"/>
            <c:noEndCap val="0"/>
            <c:spPr>
              <a:noFill/>
              <a:ln w="9525">
                <a:solidFill>
                  <a:schemeClr val="lt1">
                    <a:lumMod val="50000"/>
                  </a:schemeClr>
                </a:solidFill>
                <a:round/>
              </a:ln>
              <a:effectLst/>
            </c:spPr>
          </c:errBars>
          <c:cat>
            <c:strRef>
              <c:f>Sheet1!$K$15:$K$30</c:f>
              <c:strCache>
                <c:ptCount val="15"/>
                <c:pt idx="0">
                  <c:v>Abha</c:v>
                </c:pt>
                <c:pt idx="1">
                  <c:v>Dammam</c:v>
                </c:pt>
                <c:pt idx="2">
                  <c:v>Hail</c:v>
                </c:pt>
                <c:pt idx="3">
                  <c:v>Jeddah</c:v>
                </c:pt>
                <c:pt idx="4">
                  <c:v>Jizan</c:v>
                </c:pt>
                <c:pt idx="5">
                  <c:v>Jubail</c:v>
                </c:pt>
                <c:pt idx="6">
                  <c:v>Khobar</c:v>
                </c:pt>
                <c:pt idx="7">
                  <c:v>Makkah</c:v>
                </c:pt>
                <c:pt idx="8">
                  <c:v>Medina</c:v>
                </c:pt>
                <c:pt idx="9">
                  <c:v>Najran</c:v>
                </c:pt>
                <c:pt idx="10">
                  <c:v>Qassim</c:v>
                </c:pt>
                <c:pt idx="11">
                  <c:v>Riyadh</c:v>
                </c:pt>
                <c:pt idx="12">
                  <c:v>Tabuk</c:v>
                </c:pt>
                <c:pt idx="13">
                  <c:v>Taif</c:v>
                </c:pt>
                <c:pt idx="14">
                  <c:v>Yanbu</c:v>
                </c:pt>
              </c:strCache>
            </c:strRef>
          </c:cat>
          <c:val>
            <c:numRef>
              <c:f>Sheet1!$N$15:$N$30</c:f>
              <c:numCache>
                <c:formatCode>[$⃁-401]\ #,##0.00</c:formatCode>
                <c:ptCount val="15"/>
                <c:pt idx="0">
                  <c:v>195</c:v>
                </c:pt>
                <c:pt idx="1">
                  <c:v>180</c:v>
                </c:pt>
                <c:pt idx="2">
                  <c:v>120</c:v>
                </c:pt>
                <c:pt idx="3">
                  <c:v>645</c:v>
                </c:pt>
                <c:pt idx="4">
                  <c:v>225</c:v>
                </c:pt>
                <c:pt idx="5">
                  <c:v>315</c:v>
                </c:pt>
                <c:pt idx="6">
                  <c:v>255</c:v>
                </c:pt>
                <c:pt idx="7">
                  <c:v>210</c:v>
                </c:pt>
                <c:pt idx="8">
                  <c:v>240</c:v>
                </c:pt>
                <c:pt idx="9">
                  <c:v>210</c:v>
                </c:pt>
                <c:pt idx="10">
                  <c:v>165</c:v>
                </c:pt>
                <c:pt idx="11">
                  <c:v>1230</c:v>
                </c:pt>
                <c:pt idx="12">
                  <c:v>285</c:v>
                </c:pt>
                <c:pt idx="13">
                  <c:v>150</c:v>
                </c:pt>
                <c:pt idx="14">
                  <c:v>180</c:v>
                </c:pt>
              </c:numCache>
            </c:numRef>
          </c:val>
          <c:extLst>
            <c:ext xmlns:c16="http://schemas.microsoft.com/office/drawing/2014/chart" uri="{C3380CC4-5D6E-409C-BE32-E72D297353CC}">
              <c16:uniqueId val="{00000002-D9B8-4BEF-8B30-80324D2504BC}"/>
            </c:ext>
          </c:extLst>
        </c:ser>
        <c:dLbls>
          <c:dLblPos val="outEnd"/>
          <c:showLegendKey val="0"/>
          <c:showVal val="1"/>
          <c:showCatName val="0"/>
          <c:showSerName val="0"/>
          <c:showPercent val="0"/>
          <c:showBubbleSize val="0"/>
        </c:dLbls>
        <c:gapWidth val="315"/>
        <c:overlap val="-40"/>
        <c:axId val="1962750816"/>
        <c:axId val="1036691120"/>
      </c:barChart>
      <c:catAx>
        <c:axId val="19627508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6691120"/>
        <c:crosses val="autoZero"/>
        <c:auto val="1"/>
        <c:lblAlgn val="ctr"/>
        <c:lblOffset val="100"/>
        <c:noMultiLvlLbl val="0"/>
      </c:catAx>
      <c:valAx>
        <c:axId val="10366911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275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14</xdr:col>
      <xdr:colOff>570034</xdr:colOff>
      <xdr:row>13</xdr:row>
      <xdr:rowOff>54707</xdr:rowOff>
    </xdr:from>
    <xdr:to>
      <xdr:col>19</xdr:col>
      <xdr:colOff>402979</xdr:colOff>
      <xdr:row>29</xdr:row>
      <xdr:rowOff>109904</xdr:rowOff>
    </xdr:to>
    <mc:AlternateContent xmlns:mc="http://schemas.openxmlformats.org/markup-compatibility/2006" xmlns:a14="http://schemas.microsoft.com/office/drawing/2010/main">
      <mc:Choice Requires="a14">
        <xdr:graphicFrame macro="">
          <xdr:nvGraphicFramePr>
            <xdr:cNvPr id="5" name="أسم المندوب">
              <a:extLst>
                <a:ext uri="{FF2B5EF4-FFF2-40B4-BE49-F238E27FC236}">
                  <a16:creationId xmlns:a16="http://schemas.microsoft.com/office/drawing/2014/main" id="{5B1B61C5-ECA1-3713-D4FE-D6784DB441EA}"/>
                </a:ext>
              </a:extLst>
            </xdr:cNvPr>
            <xdr:cNvGraphicFramePr/>
          </xdr:nvGraphicFramePr>
          <xdr:xfrm>
            <a:off x="0" y="0"/>
            <a:ext cx="0" cy="0"/>
          </xdr:xfrm>
          <a:graphic>
            <a:graphicData uri="http://schemas.microsoft.com/office/drawing/2010/slicer">
              <sle:slicer xmlns:sle="http://schemas.microsoft.com/office/drawing/2010/slicer" name="أسم المندوب"/>
            </a:graphicData>
          </a:graphic>
        </xdr:graphicFrame>
      </mc:Choice>
      <mc:Fallback xmlns="">
        <xdr:sp macro="" textlink="">
          <xdr:nvSpPr>
            <xdr:cNvPr id="0" name=""/>
            <xdr:cNvSpPr>
              <a:spLocks noTextEdit="1"/>
            </xdr:cNvSpPr>
          </xdr:nvSpPr>
          <xdr:spPr>
            <a:xfrm>
              <a:off x="15157872" y="2817815"/>
              <a:ext cx="2922134" cy="3075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1062405</xdr:colOff>
      <xdr:row>35</xdr:row>
      <xdr:rowOff>20515</xdr:rowOff>
    </xdr:from>
    <xdr:to>
      <xdr:col>26</xdr:col>
      <xdr:colOff>489857</xdr:colOff>
      <xdr:row>73</xdr:row>
      <xdr:rowOff>129887</xdr:rowOff>
    </xdr:to>
    <xdr:graphicFrame macro="">
      <xdr:nvGraphicFramePr>
        <xdr:cNvPr id="7" name="Chart 6">
          <a:extLst>
            <a:ext uri="{FF2B5EF4-FFF2-40B4-BE49-F238E27FC236}">
              <a16:creationId xmlns:a16="http://schemas.microsoft.com/office/drawing/2014/main" id="{AE0A7A29-EA04-5E00-A5CA-96D7ABC03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06.831037847223" createdVersion="8" refreshedVersion="8" minRefreshableVersion="3" recordCount="20" xr:uid="{42EAB3BC-5CE0-48BB-A587-776CF9E4191A}">
  <cacheSource type="worksheet">
    <worksheetSource name="Table1"/>
  </cacheSource>
  <cacheFields count="6">
    <cacheField name="رقم المندوب" numFmtId="0">
      <sharedItems containsSemiMixedTypes="0" containsString="0" containsNumber="1" containsInteger="1" minValue="101" maxValue="120"/>
    </cacheField>
    <cacheField name="أسم المندوب" numFmtId="0">
      <sharedItems count="21">
        <s v="abdullah_Zahrani"/>
        <s v="ahmed_Al-Otaibi"/>
        <s v="badr_shammari"/>
        <s v="bandar_otaibi"/>
        <s v="fahad_harthi"/>
        <s v="Faisal_Shammari"/>
        <s v="KHaled_Dawsari"/>
        <s v="majed_anazi"/>
        <s v="Mishari_Anazi"/>
        <s v="mohammed_Qahtani"/>
        <s v="naif_harbi"/>
        <s v="nasser_shahrani"/>
        <s v="nawaf_sahli"/>
        <s v="rkan_mutairi"/>
        <s v="sami_qahtani"/>
        <s v="Saud_Buqami"/>
        <s v="sultan_Harbi"/>
        <s v="turki_subaie"/>
        <s v="waleed_zahrani"/>
        <s v="yasser_dosari"/>
        <s v="w値eed_zahrani" u="1"/>
      </sharedItems>
    </cacheField>
    <cacheField name="المدينة" numFmtId="0">
      <sharedItems count="15">
        <s v="Jeddah"/>
        <s v="Riyadh"/>
        <s v="Jubail"/>
        <s v="Taif"/>
        <s v="Jizan"/>
        <s v="Medina"/>
        <s v="Dammam"/>
        <s v="Yanbu"/>
        <s v="Abha"/>
        <s v="Hail"/>
        <s v="Qassim"/>
        <s v="Najran"/>
        <s v="Makkah"/>
        <s v="Khobar"/>
        <s v="Tabuk"/>
      </sharedItems>
    </cacheField>
    <cacheField name="الطلبات المُسلمة" numFmtId="0">
      <sharedItems containsSemiMixedTypes="0" containsString="0" containsNumber="1" containsInteger="1" minValue="8" maxValue="25"/>
    </cacheField>
    <cacheField name="رسوم التوصيل" numFmtId="164">
      <sharedItems containsSemiMixedTypes="0" containsString="0" containsNumber="1" containsInteger="1" minValue="120" maxValue="375"/>
    </cacheField>
    <cacheField name="مصاريف البنزين" numFmtId="164">
      <sharedItems containsSemiMixedTypes="0" containsString="0" containsNumber="1" containsInteger="1" minValue="25" maxValue="70"/>
    </cacheField>
  </cacheFields>
  <extLst>
    <ext xmlns:x14="http://schemas.microsoft.com/office/spreadsheetml/2009/9/main" uri="{725AE2AE-9491-48be-B2B4-4EB974FC3084}">
      <x14:pivotCacheDefinition pivotCacheId="647512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6"/>
    <x v="0"/>
    <x v="0"/>
    <n v="9"/>
    <n v="135"/>
    <n v="30"/>
  </r>
  <r>
    <n v="101"/>
    <x v="1"/>
    <x v="1"/>
    <n v="15"/>
    <n v="225"/>
    <n v="45"/>
  </r>
  <r>
    <n v="117"/>
    <x v="2"/>
    <x v="2"/>
    <n v="21"/>
    <n v="315"/>
    <n v="60"/>
  </r>
  <r>
    <n v="113"/>
    <x v="3"/>
    <x v="3"/>
    <n v="10"/>
    <n v="150"/>
    <n v="30"/>
  </r>
  <r>
    <n v="114"/>
    <x v="4"/>
    <x v="4"/>
    <n v="15"/>
    <n v="225"/>
    <n v="45"/>
  </r>
  <r>
    <n v="104"/>
    <x v="5"/>
    <x v="1"/>
    <n v="22"/>
    <n v="330"/>
    <n v="60"/>
  </r>
  <r>
    <n v="102"/>
    <x v="6"/>
    <x v="0"/>
    <n v="18"/>
    <n v="270"/>
    <n v="50"/>
  </r>
  <r>
    <n v="120"/>
    <x v="7"/>
    <x v="1"/>
    <n v="25"/>
    <n v="375"/>
    <n v="70"/>
  </r>
  <r>
    <n v="107"/>
    <x v="8"/>
    <x v="5"/>
    <n v="16"/>
    <n v="240"/>
    <n v="45"/>
  </r>
  <r>
    <n v="103"/>
    <x v="9"/>
    <x v="6"/>
    <n v="12"/>
    <n v="180"/>
    <n v="35"/>
  </r>
  <r>
    <n v="118"/>
    <x v="10"/>
    <x v="7"/>
    <n v="12"/>
    <n v="180"/>
    <n v="35"/>
  </r>
  <r>
    <n v="111"/>
    <x v="11"/>
    <x v="8"/>
    <n v="13"/>
    <n v="195"/>
    <n v="40"/>
  </r>
  <r>
    <n v="115"/>
    <x v="12"/>
    <x v="9"/>
    <n v="8"/>
    <n v="120"/>
    <n v="25"/>
  </r>
  <r>
    <n v="109"/>
    <x v="13"/>
    <x v="10"/>
    <n v="11"/>
    <n v="165"/>
    <n v="35"/>
  </r>
  <r>
    <n v="116"/>
    <x v="14"/>
    <x v="11"/>
    <n v="14"/>
    <n v="210"/>
    <n v="40"/>
  </r>
  <r>
    <n v="108"/>
    <x v="15"/>
    <x v="1"/>
    <n v="20"/>
    <n v="300"/>
    <n v="55"/>
  </r>
  <r>
    <n v="105"/>
    <x v="16"/>
    <x v="12"/>
    <n v="14"/>
    <n v="210"/>
    <n v="40"/>
  </r>
  <r>
    <n v="110"/>
    <x v="17"/>
    <x v="13"/>
    <n v="17"/>
    <n v="255"/>
    <n v="50"/>
  </r>
  <r>
    <n v="119"/>
    <x v="18"/>
    <x v="0"/>
    <n v="16"/>
    <n v="240"/>
    <n v="45"/>
  </r>
  <r>
    <n v="112"/>
    <x v="19"/>
    <x v="14"/>
    <n v="19"/>
    <n v="285"/>
    <n v="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47ACA9-1307-4349-8E24-EFF2EDC22A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4:N30" firstHeaderRow="0" firstDataRow="1" firstDataCol="1"/>
  <pivotFields count="6">
    <pivotField showAll="0"/>
    <pivotField showAll="0">
      <items count="22">
        <item x="0"/>
        <item x="1"/>
        <item x="2"/>
        <item x="3"/>
        <item x="4"/>
        <item x="5"/>
        <item x="6"/>
        <item x="7"/>
        <item x="8"/>
        <item x="9"/>
        <item x="10"/>
        <item x="11"/>
        <item x="12"/>
        <item x="13"/>
        <item x="14"/>
        <item x="15"/>
        <item x="16"/>
        <item x="17"/>
        <item x="18"/>
        <item m="1" x="20"/>
        <item x="19"/>
        <item t="default"/>
      </items>
    </pivotField>
    <pivotField axis="axisRow" showAll="0">
      <items count="16">
        <item x="8"/>
        <item x="6"/>
        <item x="9"/>
        <item x="0"/>
        <item x="4"/>
        <item x="2"/>
        <item x="13"/>
        <item x="12"/>
        <item x="5"/>
        <item x="11"/>
        <item x="10"/>
        <item x="1"/>
        <item x="14"/>
        <item x="3"/>
        <item x="7"/>
        <item t="default"/>
      </items>
    </pivotField>
    <pivotField dataField="1" showAll="0"/>
    <pivotField dataField="1" numFmtId="164" showAll="0"/>
    <pivotField dataField="1" numFmtId="164" showAll="0"/>
  </pivotFields>
  <rowFields count="1">
    <field x="2"/>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اجمالي الطلبات" fld="3" baseField="2" baseItem="0"/>
    <dataField name="اجمالي البنزين" fld="5" baseField="2" baseItem="0" numFmtId="164"/>
    <dataField name="اجمالي رسوم التوصيل" fld="4" baseField="2" baseItem="0" numFmtId="164"/>
  </dataFields>
  <chartFormats count="4">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أسم_المندوب" xr10:uid="{3789B4F3-5B3E-40D1-8C97-9209EEF20D52}" sourceName="أسم المندوب">
  <pivotTables>
    <pivotTable tabId="1" name="PivotTable3"/>
  </pivotTables>
  <data>
    <tabular pivotCacheId="647512839">
      <items count="21">
        <i x="0" s="1"/>
        <i x="1" s="1"/>
        <i x="2" s="1"/>
        <i x="3" s="1"/>
        <i x="4" s="1"/>
        <i x="5" s="1"/>
        <i x="6" s="1"/>
        <i x="7" s="1"/>
        <i x="8" s="1"/>
        <i x="9" s="1"/>
        <i x="10" s="1"/>
        <i x="11" s="1"/>
        <i x="12" s="1"/>
        <i x="13" s="1"/>
        <i x="14" s="1"/>
        <i x="15" s="1"/>
        <i x="16" s="1"/>
        <i x="17" s="1"/>
        <i x="18" s="1"/>
        <i x="19" s="1"/>
        <i x="2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أسم المندوب" xr10:uid="{FFE9C142-0A66-4B0A-936C-BBA7029F6AF1}" cache="Slicer_أسم_المندوب" caption="أسم المندوب" startItem="10"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BA4B2E-7849-4E58-869B-D228FEFE2729}" name="Table1" displayName="Table1" ref="B3:G24" totalsRowCount="1" headerRowDxfId="16" dataDxfId="14" headerRowBorderDxfId="15" tableBorderDxfId="13" totalsRowBorderDxfId="12">
  <autoFilter ref="B3:G23" xr:uid="{58BA4B2E-7849-4E58-869B-D228FEFE2729}">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B4:G23">
    <sortCondition ref="C3:C23"/>
  </sortState>
  <tableColumns count="6">
    <tableColumn id="1" xr3:uid="{C34EED98-9A92-4FF7-AB37-6ADC9C301B53}" name="رقم المندوب" totalsRowLabel="Total" dataDxfId="11" totalsRowDxfId="10"/>
    <tableColumn id="2" xr3:uid="{51234773-63CE-47AC-B284-79F8D8152598}" name="أسم المندوب" totalsRowFunction="count" dataDxfId="9" totalsRowDxfId="8"/>
    <tableColumn id="3" xr3:uid="{9E5135DB-CC42-4C59-BF4F-DFEB65644E35}" name="المدينة" totalsRowFunction="count" dataDxfId="7" totalsRowDxfId="6"/>
    <tableColumn id="4" xr3:uid="{736F6384-6E94-4C41-A203-667E35CC0424}" name="الطلبات المُسلمة" totalsRowFunction="count" dataDxfId="5" totalsRowDxfId="4"/>
    <tableColumn id="5" xr3:uid="{A9B3A1FA-75CA-4C5C-83E9-69B6C560E928}" name="رسوم التوصيل" totalsRowFunction="sum" dataDxfId="3" totalsRowDxfId="2"/>
    <tableColumn id="6" xr3:uid="{A709B46A-E791-4DBE-99AB-9ED8B2B4613E}" name="مصاريف البنزين" totalsRowFunction="custom" dataDxfId="1" totalsRowDxfId="0">
      <totalsRowFormula>SUM(G4:G23)</totalsRow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4DE04-05D7-4D54-A5D1-300078CB69CC}">
  <dimension ref="A1:Q30"/>
  <sheetViews>
    <sheetView showGridLines="0" tabSelected="1" topLeftCell="A3" zoomScale="29" zoomScaleNormal="30" workbookViewId="0">
      <selection activeCell="AU4" sqref="AU4"/>
    </sheetView>
  </sheetViews>
  <sheetFormatPr defaultRowHeight="14.5"/>
  <cols>
    <col min="1" max="1" width="21.54296875" bestFit="1" customWidth="1"/>
    <col min="2" max="2" width="15.08984375" customWidth="1"/>
    <col min="3" max="3" width="18.54296875" bestFit="1" customWidth="1"/>
    <col min="4" max="4" width="11.54296875" customWidth="1"/>
    <col min="5" max="5" width="17.90625" bestFit="1" customWidth="1"/>
    <col min="6" max="6" width="16.7265625" bestFit="1" customWidth="1"/>
    <col min="7" max="7" width="18" bestFit="1" customWidth="1"/>
    <col min="11" max="11" width="19.81640625" bestFit="1" customWidth="1"/>
    <col min="12" max="12" width="10.54296875" bestFit="1" customWidth="1"/>
    <col min="13" max="13" width="10.36328125" bestFit="1" customWidth="1"/>
    <col min="14" max="14" width="15.54296875" bestFit="1" customWidth="1"/>
  </cols>
  <sheetData>
    <row r="1" spans="1:17">
      <c r="A1" s="31" t="s">
        <v>41</v>
      </c>
      <c r="B1" s="29" t="s">
        <v>40</v>
      </c>
      <c r="C1" s="29"/>
      <c r="D1" s="29"/>
      <c r="E1" s="29"/>
      <c r="F1" s="29"/>
      <c r="G1" s="29"/>
    </row>
    <row r="2" spans="1:17" ht="14.5" customHeight="1">
      <c r="A2" s="31"/>
      <c r="B2" s="30"/>
      <c r="C2" s="30"/>
      <c r="D2" s="30"/>
      <c r="E2" s="30"/>
      <c r="F2" s="30"/>
      <c r="G2" s="30"/>
      <c r="J2" s="12"/>
      <c r="K2" s="22" t="s">
        <v>42</v>
      </c>
      <c r="L2" s="23"/>
      <c r="M2" s="23"/>
      <c r="N2" s="23"/>
      <c r="O2" s="23"/>
      <c r="P2" s="23"/>
      <c r="Q2" s="24"/>
    </row>
    <row r="3" spans="1:17" ht="14.5" customHeight="1">
      <c r="A3" s="31"/>
      <c r="B3" s="5" t="s">
        <v>34</v>
      </c>
      <c r="C3" s="6" t="s">
        <v>35</v>
      </c>
      <c r="D3" s="6" t="s">
        <v>36</v>
      </c>
      <c r="E3" s="6" t="s">
        <v>37</v>
      </c>
      <c r="F3" s="6" t="s">
        <v>38</v>
      </c>
      <c r="G3" s="7" t="s">
        <v>39</v>
      </c>
      <c r="J3" s="12"/>
      <c r="K3" s="25"/>
      <c r="L3" s="26"/>
      <c r="M3" s="26"/>
      <c r="N3" s="26"/>
      <c r="O3" s="26"/>
      <c r="P3" s="26"/>
      <c r="Q3" s="27"/>
    </row>
    <row r="4" spans="1:17" ht="18.5">
      <c r="A4" s="31"/>
      <c r="B4" s="3">
        <v>106</v>
      </c>
      <c r="C4" s="1" t="s">
        <v>9</v>
      </c>
      <c r="D4" s="1" t="s">
        <v>3</v>
      </c>
      <c r="E4" s="1">
        <v>9</v>
      </c>
      <c r="F4" s="2">
        <v>135</v>
      </c>
      <c r="G4" s="4">
        <v>30</v>
      </c>
      <c r="J4" s="13"/>
      <c r="K4" s="20">
        <v>307</v>
      </c>
      <c r="L4" s="20"/>
      <c r="M4" s="28" t="s">
        <v>43</v>
      </c>
      <c r="N4" s="28"/>
      <c r="O4" s="28"/>
      <c r="P4" s="28"/>
      <c r="Q4" s="28"/>
    </row>
    <row r="5" spans="1:17" ht="18.5">
      <c r="A5" s="31"/>
      <c r="B5" s="3">
        <v>101</v>
      </c>
      <c r="C5" s="1" t="s">
        <v>0</v>
      </c>
      <c r="D5" s="1" t="s">
        <v>1</v>
      </c>
      <c r="E5" s="1">
        <v>15</v>
      </c>
      <c r="F5" s="2">
        <v>225</v>
      </c>
      <c r="G5" s="4">
        <v>45</v>
      </c>
      <c r="J5" s="13"/>
      <c r="K5" s="18">
        <v>4605</v>
      </c>
      <c r="L5" s="18"/>
      <c r="M5" s="28" t="s">
        <v>44</v>
      </c>
      <c r="N5" s="28"/>
      <c r="O5" s="28"/>
      <c r="P5" s="28"/>
      <c r="Q5" s="28"/>
    </row>
    <row r="6" spans="1:17" ht="18.5">
      <c r="A6" s="31"/>
      <c r="B6" s="3">
        <v>117</v>
      </c>
      <c r="C6" s="1" t="s">
        <v>29</v>
      </c>
      <c r="D6" s="1" t="s">
        <v>30</v>
      </c>
      <c r="E6" s="1">
        <v>21</v>
      </c>
      <c r="F6" s="2">
        <v>315</v>
      </c>
      <c r="G6" s="4">
        <v>60</v>
      </c>
      <c r="J6" s="13"/>
      <c r="K6" s="18">
        <v>890</v>
      </c>
      <c r="L6" s="18"/>
      <c r="M6" s="28" t="s">
        <v>45</v>
      </c>
      <c r="N6" s="28"/>
      <c r="O6" s="28"/>
      <c r="P6" s="28"/>
      <c r="Q6" s="28"/>
    </row>
    <row r="7" spans="1:17" ht="18.5">
      <c r="A7" s="31"/>
      <c r="B7" s="3">
        <v>113</v>
      </c>
      <c r="C7" s="1" t="s">
        <v>21</v>
      </c>
      <c r="D7" s="1" t="s">
        <v>22</v>
      </c>
      <c r="E7" s="1">
        <v>10</v>
      </c>
      <c r="F7" s="2">
        <v>150</v>
      </c>
      <c r="G7" s="4">
        <v>30</v>
      </c>
      <c r="J7" s="13"/>
      <c r="K7" s="19">
        <v>15.35</v>
      </c>
      <c r="L7" s="19"/>
      <c r="M7" s="28" t="s">
        <v>46</v>
      </c>
      <c r="N7" s="28"/>
      <c r="O7" s="28"/>
      <c r="P7" s="28"/>
      <c r="Q7" s="28"/>
    </row>
    <row r="8" spans="1:17" ht="18.5">
      <c r="A8" s="31"/>
      <c r="B8" s="3">
        <v>114</v>
      </c>
      <c r="C8" s="1" t="s">
        <v>23</v>
      </c>
      <c r="D8" s="1" t="s">
        <v>24</v>
      </c>
      <c r="E8" s="1">
        <v>15</v>
      </c>
      <c r="F8" s="2">
        <v>225</v>
      </c>
      <c r="G8" s="4">
        <v>45</v>
      </c>
      <c r="J8" s="13"/>
      <c r="K8" s="20">
        <v>44.5</v>
      </c>
      <c r="L8" s="20"/>
      <c r="M8" s="28" t="s">
        <v>47</v>
      </c>
      <c r="N8" s="28"/>
      <c r="O8" s="28"/>
      <c r="P8" s="28"/>
      <c r="Q8" s="28"/>
    </row>
    <row r="9" spans="1:17" ht="18.5">
      <c r="A9" s="31"/>
      <c r="B9" s="3">
        <v>104</v>
      </c>
      <c r="C9" s="1" t="s">
        <v>6</v>
      </c>
      <c r="D9" s="1" t="s">
        <v>1</v>
      </c>
      <c r="E9" s="1">
        <v>22</v>
      </c>
      <c r="F9" s="2">
        <v>330</v>
      </c>
      <c r="G9" s="4">
        <v>60</v>
      </c>
      <c r="J9" s="13"/>
      <c r="K9" s="21">
        <v>20</v>
      </c>
      <c r="L9" s="20"/>
      <c r="M9" s="28" t="s">
        <v>48</v>
      </c>
      <c r="N9" s="28"/>
      <c r="O9" s="28"/>
      <c r="P9" s="28"/>
      <c r="Q9" s="28"/>
    </row>
    <row r="10" spans="1:17">
      <c r="A10" s="31"/>
      <c r="B10" s="3">
        <v>102</v>
      </c>
      <c r="C10" s="1" t="s">
        <v>2</v>
      </c>
      <c r="D10" s="1" t="s">
        <v>3</v>
      </c>
      <c r="E10" s="1">
        <v>18</v>
      </c>
      <c r="F10" s="2">
        <v>270</v>
      </c>
      <c r="G10" s="4">
        <v>50</v>
      </c>
      <c r="L10" s="14"/>
      <c r="M10" s="14"/>
      <c r="N10" s="14"/>
      <c r="O10" s="14"/>
      <c r="P10" s="14"/>
      <c r="Q10" s="14"/>
    </row>
    <row r="11" spans="1:17">
      <c r="A11" s="31"/>
      <c r="B11" s="3">
        <v>120</v>
      </c>
      <c r="C11" s="1" t="s">
        <v>33</v>
      </c>
      <c r="D11" s="1" t="s">
        <v>1</v>
      </c>
      <c r="E11" s="1">
        <v>25</v>
      </c>
      <c r="F11" s="2">
        <v>375</v>
      </c>
      <c r="G11" s="4">
        <v>70</v>
      </c>
    </row>
    <row r="12" spans="1:17">
      <c r="A12" s="31"/>
      <c r="B12" s="3">
        <v>107</v>
      </c>
      <c r="C12" s="1" t="s">
        <v>10</v>
      </c>
      <c r="D12" s="1" t="s">
        <v>11</v>
      </c>
      <c r="E12" s="1">
        <v>16</v>
      </c>
      <c r="F12" s="2">
        <v>240</v>
      </c>
      <c r="G12" s="4">
        <v>45</v>
      </c>
    </row>
    <row r="13" spans="1:17">
      <c r="A13" s="31"/>
      <c r="B13" s="3">
        <v>103</v>
      </c>
      <c r="C13" s="1" t="s">
        <v>4</v>
      </c>
      <c r="D13" s="1" t="s">
        <v>5</v>
      </c>
      <c r="E13" s="1">
        <v>12</v>
      </c>
      <c r="F13" s="2">
        <v>180</v>
      </c>
      <c r="G13" s="4">
        <v>35</v>
      </c>
    </row>
    <row r="14" spans="1:17">
      <c r="A14" s="31"/>
      <c r="B14" s="3">
        <v>118</v>
      </c>
      <c r="C14" s="1" t="s">
        <v>31</v>
      </c>
      <c r="D14" s="1" t="s">
        <v>32</v>
      </c>
      <c r="E14" s="1">
        <v>12</v>
      </c>
      <c r="F14" s="2">
        <v>180</v>
      </c>
      <c r="G14" s="4">
        <v>35</v>
      </c>
      <c r="K14" s="16" t="s">
        <v>50</v>
      </c>
      <c r="L14" t="s">
        <v>52</v>
      </c>
      <c r="M14" t="s">
        <v>53</v>
      </c>
      <c r="N14" t="s">
        <v>54</v>
      </c>
    </row>
    <row r="15" spans="1:17">
      <c r="A15" s="31"/>
      <c r="B15" s="3">
        <v>111</v>
      </c>
      <c r="C15" s="1" t="s">
        <v>17</v>
      </c>
      <c r="D15" s="1" t="s">
        <v>18</v>
      </c>
      <c r="E15" s="1">
        <v>13</v>
      </c>
      <c r="F15" s="2">
        <v>195</v>
      </c>
      <c r="G15" s="4">
        <v>40</v>
      </c>
      <c r="K15" s="17" t="s">
        <v>18</v>
      </c>
      <c r="L15" s="33">
        <v>13</v>
      </c>
      <c r="M15" s="15">
        <v>40</v>
      </c>
      <c r="N15" s="15">
        <v>195</v>
      </c>
    </row>
    <row r="16" spans="1:17">
      <c r="A16" s="31"/>
      <c r="B16" s="3">
        <v>115</v>
      </c>
      <c r="C16" s="1" t="s">
        <v>25</v>
      </c>
      <c r="D16" s="1" t="s">
        <v>26</v>
      </c>
      <c r="E16" s="1">
        <v>8</v>
      </c>
      <c r="F16" s="2">
        <v>120</v>
      </c>
      <c r="G16" s="4">
        <v>25</v>
      </c>
      <c r="K16" s="17" t="s">
        <v>5</v>
      </c>
      <c r="L16" s="33">
        <v>12</v>
      </c>
      <c r="M16" s="15">
        <v>35</v>
      </c>
      <c r="N16" s="15">
        <v>180</v>
      </c>
    </row>
    <row r="17" spans="1:14">
      <c r="A17" s="31"/>
      <c r="B17" s="3">
        <v>109</v>
      </c>
      <c r="C17" s="1" t="s">
        <v>13</v>
      </c>
      <c r="D17" s="1" t="s">
        <v>14</v>
      </c>
      <c r="E17" s="1">
        <v>11</v>
      </c>
      <c r="F17" s="2">
        <v>165</v>
      </c>
      <c r="G17" s="4">
        <v>35</v>
      </c>
      <c r="K17" s="17" t="s">
        <v>26</v>
      </c>
      <c r="L17" s="33">
        <v>8</v>
      </c>
      <c r="M17" s="15">
        <v>25</v>
      </c>
      <c r="N17" s="15">
        <v>120</v>
      </c>
    </row>
    <row r="18" spans="1:14">
      <c r="A18" s="31"/>
      <c r="B18" s="3">
        <v>116</v>
      </c>
      <c r="C18" s="1" t="s">
        <v>27</v>
      </c>
      <c r="D18" s="1" t="s">
        <v>28</v>
      </c>
      <c r="E18" s="1">
        <v>14</v>
      </c>
      <c r="F18" s="2">
        <v>210</v>
      </c>
      <c r="G18" s="4">
        <v>40</v>
      </c>
      <c r="K18" s="17" t="s">
        <v>3</v>
      </c>
      <c r="L18" s="33">
        <v>43</v>
      </c>
      <c r="M18" s="15">
        <v>125</v>
      </c>
      <c r="N18" s="15">
        <v>645</v>
      </c>
    </row>
    <row r="19" spans="1:14">
      <c r="A19" s="31"/>
      <c r="B19" s="3">
        <v>108</v>
      </c>
      <c r="C19" s="1" t="s">
        <v>12</v>
      </c>
      <c r="D19" s="1" t="s">
        <v>1</v>
      </c>
      <c r="E19" s="1">
        <v>20</v>
      </c>
      <c r="F19" s="2">
        <v>300</v>
      </c>
      <c r="G19" s="4">
        <v>55</v>
      </c>
      <c r="K19" s="17" t="s">
        <v>24</v>
      </c>
      <c r="L19" s="33">
        <v>15</v>
      </c>
      <c r="M19" s="15">
        <v>45</v>
      </c>
      <c r="N19" s="15">
        <v>225</v>
      </c>
    </row>
    <row r="20" spans="1:14">
      <c r="A20" s="31"/>
      <c r="B20" s="3">
        <v>105</v>
      </c>
      <c r="C20" s="1" t="s">
        <v>7</v>
      </c>
      <c r="D20" s="1" t="s">
        <v>8</v>
      </c>
      <c r="E20" s="1">
        <v>14</v>
      </c>
      <c r="F20" s="2">
        <v>210</v>
      </c>
      <c r="G20" s="4">
        <v>40</v>
      </c>
      <c r="K20" s="17" t="s">
        <v>30</v>
      </c>
      <c r="L20" s="33">
        <v>21</v>
      </c>
      <c r="M20" s="15">
        <v>60</v>
      </c>
      <c r="N20" s="15">
        <v>315</v>
      </c>
    </row>
    <row r="21" spans="1:14">
      <c r="A21" s="31"/>
      <c r="B21" s="3">
        <v>110</v>
      </c>
      <c r="C21" s="1" t="s">
        <v>15</v>
      </c>
      <c r="D21" s="1" t="s">
        <v>16</v>
      </c>
      <c r="E21" s="1">
        <v>17</v>
      </c>
      <c r="F21" s="2">
        <v>255</v>
      </c>
      <c r="G21" s="4">
        <v>50</v>
      </c>
      <c r="K21" s="17" t="s">
        <v>16</v>
      </c>
      <c r="L21" s="33">
        <v>17</v>
      </c>
      <c r="M21" s="15">
        <v>50</v>
      </c>
      <c r="N21" s="15">
        <v>255</v>
      </c>
    </row>
    <row r="22" spans="1:14">
      <c r="A22" s="31"/>
      <c r="B22" s="3">
        <v>119</v>
      </c>
      <c r="C22" s="1" t="s">
        <v>55</v>
      </c>
      <c r="D22" s="1" t="s">
        <v>3</v>
      </c>
      <c r="E22" s="1">
        <v>16</v>
      </c>
      <c r="F22" s="2">
        <v>240</v>
      </c>
      <c r="G22" s="4">
        <v>45</v>
      </c>
      <c r="K22" s="17" t="s">
        <v>8</v>
      </c>
      <c r="L22" s="33">
        <v>14</v>
      </c>
      <c r="M22" s="15">
        <v>40</v>
      </c>
      <c r="N22" s="15">
        <v>210</v>
      </c>
    </row>
    <row r="23" spans="1:14">
      <c r="A23" s="31"/>
      <c r="B23" s="8">
        <v>112</v>
      </c>
      <c r="C23" s="9" t="s">
        <v>19</v>
      </c>
      <c r="D23" s="9" t="s">
        <v>20</v>
      </c>
      <c r="E23" s="9">
        <v>19</v>
      </c>
      <c r="F23" s="10">
        <v>285</v>
      </c>
      <c r="G23" s="11">
        <v>55</v>
      </c>
      <c r="K23" s="17" t="s">
        <v>11</v>
      </c>
      <c r="L23" s="33">
        <v>16</v>
      </c>
      <c r="M23" s="15">
        <v>45</v>
      </c>
      <c r="N23" s="15">
        <v>240</v>
      </c>
    </row>
    <row r="24" spans="1:14">
      <c r="B24" s="8" t="s">
        <v>49</v>
      </c>
      <c r="C24" s="9">
        <f>SUBTOTAL(103,Table1[أسم المندوب])</f>
        <v>20</v>
      </c>
      <c r="D24" s="9">
        <f>SUBTOTAL(103,Table1[المدينة])</f>
        <v>20</v>
      </c>
      <c r="E24" s="9">
        <f>SUBTOTAL(103,Table1[الطلبات المُسلمة])</f>
        <v>20</v>
      </c>
      <c r="F24" s="10">
        <f>SUBTOTAL(109,Table1[رسوم التوصيل])</f>
        <v>4605</v>
      </c>
      <c r="G24" s="11">
        <f>SUM(G4:G23)</f>
        <v>890</v>
      </c>
      <c r="K24" s="17" t="s">
        <v>28</v>
      </c>
      <c r="L24" s="33">
        <v>14</v>
      </c>
      <c r="M24" s="15">
        <v>40</v>
      </c>
      <c r="N24" s="15">
        <v>210</v>
      </c>
    </row>
    <row r="25" spans="1:14">
      <c r="K25" s="17" t="s">
        <v>14</v>
      </c>
      <c r="L25" s="33">
        <v>11</v>
      </c>
      <c r="M25" s="15">
        <v>35</v>
      </c>
      <c r="N25" s="15">
        <v>165</v>
      </c>
    </row>
    <row r="26" spans="1:14">
      <c r="K26" s="17" t="s">
        <v>1</v>
      </c>
      <c r="L26" s="33">
        <v>82</v>
      </c>
      <c r="M26" s="15">
        <v>230</v>
      </c>
      <c r="N26" s="15">
        <v>1230</v>
      </c>
    </row>
    <row r="27" spans="1:14">
      <c r="K27" s="17" t="s">
        <v>20</v>
      </c>
      <c r="L27" s="33">
        <v>19</v>
      </c>
      <c r="M27" s="15">
        <v>55</v>
      </c>
      <c r="N27" s="15">
        <v>285</v>
      </c>
    </row>
    <row r="28" spans="1:14">
      <c r="A28" s="32"/>
      <c r="B28" s="32"/>
      <c r="C28" s="32"/>
      <c r="K28" s="17" t="s">
        <v>22</v>
      </c>
      <c r="L28" s="33">
        <v>10</v>
      </c>
      <c r="M28" s="15">
        <v>30</v>
      </c>
      <c r="N28" s="15">
        <v>150</v>
      </c>
    </row>
    <row r="29" spans="1:14">
      <c r="K29" s="17" t="s">
        <v>32</v>
      </c>
      <c r="L29" s="33">
        <v>12</v>
      </c>
      <c r="M29" s="15">
        <v>35</v>
      </c>
      <c r="N29" s="15">
        <v>180</v>
      </c>
    </row>
    <row r="30" spans="1:14">
      <c r="K30" s="17" t="s">
        <v>51</v>
      </c>
      <c r="L30" s="33">
        <v>307</v>
      </c>
      <c r="M30" s="15">
        <v>890</v>
      </c>
      <c r="N30" s="15">
        <v>4605</v>
      </c>
    </row>
  </sheetData>
  <mergeCells count="16">
    <mergeCell ref="A28:C28"/>
    <mergeCell ref="M7:Q7"/>
    <mergeCell ref="M8:Q8"/>
    <mergeCell ref="M9:Q9"/>
    <mergeCell ref="B1:G2"/>
    <mergeCell ref="A1:A23"/>
    <mergeCell ref="K2:Q3"/>
    <mergeCell ref="K4:L4"/>
    <mergeCell ref="M4:Q4"/>
    <mergeCell ref="M5:Q5"/>
    <mergeCell ref="M6:Q6"/>
    <mergeCell ref="K5:L5"/>
    <mergeCell ref="K6:L6"/>
    <mergeCell ref="K7:L7"/>
    <mergeCell ref="K8:L8"/>
    <mergeCell ref="K9:L9"/>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5CCA8C93D93A43A1AC488E2F0D8821" ma:contentTypeVersion="4" ma:contentTypeDescription="Create a new document." ma:contentTypeScope="" ma:versionID="1e8fad8455d7b5c89a93d4178a3fc1c9">
  <xsd:schema xmlns:xsd="http://www.w3.org/2001/XMLSchema" xmlns:xs="http://www.w3.org/2001/XMLSchema" xmlns:p="http://schemas.microsoft.com/office/2006/metadata/properties" xmlns:ns3="d6bf451c-e3aa-4dd1-b5a6-a95183d31bdf" targetNamespace="http://schemas.microsoft.com/office/2006/metadata/properties" ma:root="true" ma:fieldsID="8408199938cbb8869539c7a2b993ecc3" ns3:_="">
    <xsd:import namespace="d6bf451c-e3aa-4dd1-b5a6-a95183d31b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bf451c-e3aa-4dd1-b5a6-a95183d31b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E743430-AB7C-4B0F-9CA5-32165851B7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bf451c-e3aa-4dd1-b5a6-a95183d31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F136B9-8709-45A0-B4A2-C966135F8893}">
  <ds:schemaRefs>
    <ds:schemaRef ds:uri="http://schemas.microsoft.com/sharepoint/v3/contenttype/forms"/>
  </ds:schemaRefs>
</ds:datastoreItem>
</file>

<file path=customXml/itemProps3.xml><?xml version="1.0" encoding="utf-8"?>
<ds:datastoreItem xmlns:ds="http://schemas.openxmlformats.org/officeDocument/2006/customXml" ds:itemID="{7090A6C6-DEB4-497C-9A03-DA796E8A5B7D}">
  <ds:schemaRefs>
    <ds:schemaRef ds:uri="http://purl.org/dc/terms/"/>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http://schemas.microsoft.com/office/2006/documentManagement/types"/>
    <ds:schemaRef ds:uri="d6bf451c-e3aa-4dd1-b5a6-a95183d31bdf"/>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Ahmed Abdellateef Saleh</dc:creator>
  <cp:lastModifiedBy>Ahmed Mohamed Ahmed Abdellateef Saleh</cp:lastModifiedBy>
  <dcterms:created xsi:type="dcterms:W3CDTF">2026-07-03T00:55:08Z</dcterms:created>
  <dcterms:modified xsi:type="dcterms:W3CDTF">2026-07-07T14:56:03Z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0x010100C75CCA8C93D93A43A1AC488E2F0D8821</vt:lpwstr>
  </property>
</Properties>
</file>