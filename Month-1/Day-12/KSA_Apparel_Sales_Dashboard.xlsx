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12\"/>
    </mc:Choice>
  </mc:AlternateContent>
  <xr:revisionPtr revIDLastSave="0" documentId="8_{5E094C5E-75A0-4832-BB25-4E8D236463B5}" xr6:coauthVersionLast="47" xr6:coauthVersionMax="47" xr10:uidLastSave="{00000000-0000-0000-0000-000000000000}"/>
  <bookViews>
    <workbookView xWindow="-110" yWindow="-110" windowWidth="19420" windowHeight="11500" xr2:uid="{1A69244C-5D45-426B-88ED-D214A52F9518}"/>
  </bookViews>
  <sheets>
    <sheet name="Saudia_Sales" sheetId="2" r:id="rId1"/>
    <sheet name="Dashboard" sheetId="1" r:id="rId2"/>
  </sheets>
  <definedNames>
    <definedName name="ExternalData_1" localSheetId="0" hidden="1">Saudia_Sales!$A$3:$F$43</definedName>
    <definedName name="Slicer_Source.Nam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4" i="2" l="1"/>
  <c r="C44" i="2"/>
  <c r="D44" i="2"/>
  <c r="E44" i="2"/>
  <c r="F44" i="2"/>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61F8FD-AB20-42FE-9637-4F88AB0BB90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36E268F0-9896-40C9-A4DC-E3831ACD00B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A7EE792B-6431-4665-9027-0AC334BB9FEC}" keepAlive="1" name="Query - Saudia_Sales" description="Connection to the 'Saudia_Sales' query in the workbook." type="5" refreshedVersion="8" background="1" saveData="1">
    <dbPr connection="Provider=Microsoft.Mashup.OleDb.1;Data Source=$Workbook$;Location=Saudia_Sales;Extended Properties=&quot;&quot;" command="SELECT * FROM [Saudia_Sales]"/>
  </connection>
  <connection id="4" xr16:uid="{C13D05BE-C956-429F-BA62-D142DF997ED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B527165E-5E5E-4F46-92F8-34976436088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<sst xmlns="http://schemas.openxmlformats.org/spreadsheetml/2006/main" count="100" uniqueCount="21">
  <si>
    <t>Source.Name</t>
  </si>
  <si>
    <t>Order Number</t>
  </si>
  <si>
    <t>Item</t>
  </si>
  <si>
    <t>Price</t>
  </si>
  <si>
    <t>Sold</t>
  </si>
  <si>
    <t>Total Sales</t>
  </si>
  <si>
    <t>Feb_Sales.xlsx</t>
  </si>
  <si>
    <t>Thobe</t>
  </si>
  <si>
    <t>Abaya</t>
  </si>
  <si>
    <t>Shemagh</t>
  </si>
  <si>
    <t>Oqal</t>
  </si>
  <si>
    <t>Ghutra</t>
  </si>
  <si>
    <t>Mar_Sales.xlsx</t>
  </si>
  <si>
    <t>Total</t>
  </si>
  <si>
    <t>Grand Total</t>
  </si>
  <si>
    <t>Sum of Total Sales</t>
  </si>
  <si>
    <t>iTem</t>
  </si>
  <si>
    <t>Feb_Sales</t>
  </si>
  <si>
    <t>Mar_Sales</t>
  </si>
  <si>
    <t>Month</t>
  </si>
  <si>
    <t>KSA Traditional Apparel: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</si>
</sst>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 #,##0"/>
  </numFmts>
  <fonts count="4" x14ac:knownFonts="1">
    <font>
      <sz val="11"/>
      <color theme="1"/>
      <name val="Aptos Narrow"/>
      <family val="2"/>
      <scheme val="minor"/>
    </font>
    <font>
      <sz val="11"/>
      <color theme="0"/>
      <name val="Aptos Narrow"/>
      <family val="2"/>
      <scheme val="minor"/>
    </font>
    <font>
      <b/>
      <sz val="16"/>
      <color theme="0"/>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vertical="center"/>
    </xf>
    <xf numFmtId="164" fontId="0" fillId="2" borderId="0" xfId="0" applyNumberFormat="1" applyFill="1" applyAlignment="1">
      <alignment horizontal="center" vertical="center"/>
    </xf>
    <xf numFmtId="0" fontId="0" fillId="0" borderId="0" xfId="0" pivotButton="1"/>
    <xf numFmtId="0" fontId="0" fillId="0" borderId="0" xfId="0" applyAlignment="1">
      <alignment horizontal="left"/>
    </xf>
    <xf numFmtId="0" fontId="3" fillId="0" borderId="0" xfId="0" applyFont="1"/>
    <xf numFmtId="164" fontId="1" fillId="0" borderId="0" xfId="0" applyNumberFormat="1" applyFont="1"/>
    <xf numFmtId="0" fontId="2" fillId="3" borderId="0" xfId="0" applyFont="1" applyFill="1" applyAlignment="1">
      <alignment horizontal="center" vertical="center"/>
    </xf>
  </cellXfs>
  <cellStyles count="1">
    <cellStyle name="Normal" xfId="0" builtinId="0"/>
  </cellStyles>
  <dxfs count="14">
    <dxf>
      <fill>
        <patternFill patternType="solid">
          <fgColor indexed="64"/>
          <bgColor theme="6" tint="0.59999389629810485"/>
        </patternFill>
      </fill>
      <alignment horizontal="center" vertical="center" textRotation="0" wrapText="0" indent="0" justifyLastLine="0" shrinkToFit="0" readingOrder="0"/>
    </dxf>
    <dxf>
      <numFmt numFmtId="164" formatCode="[$⃁-401]\ #,##0"/>
      <alignment horizontal="center"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numFmt numFmtId="164" formatCode="[$⃁-401]\ #,##0"/>
      <alignment horizontal="center"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patternType="solid">
          <fgColor indexed="64"/>
          <bgColor theme="6" tint="0.59999389629810485"/>
        </patternFill>
      </fill>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[KSA_Apparel_Sales_Dashboard.xlsx]Dashboard!PivotTable1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solidFill>
                  <a:schemeClr val="tx2">
                    <a:lumMod val="50000"/>
                    <a:lumOff val="50000"/>
                  </a:schemeClr>
                </a:solidFill>
              </a:rPr>
              <a:t>Product Sales Comparison (Feb vs Mar)</a:t>
            </a:r>
          </a:p>
        </c:rich>
      </c:tx>
      <c:layout>
        <c:manualLayout>
          <c:xMode val="edge"/>
          <c:yMode val="edge"/>
          <c:x val="0.33916053281533109"/>
          <c:y val="2.798388245887985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Dashboard!$B$2:$B$3</c:f>
              <c:strCache>
                <c:ptCount val="1"/>
                <c:pt idx="0">
                  <c:v>Feb_Sales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Dashboard!$A$4:$A$9</c:f>
              <c:strCache>
                <c:ptCount val="5"/>
                <c:pt idx="0">
                  <c:v>Abaya</c:v>
                </c:pt>
                <c:pt idx="1">
                  <c:v>Ghutra</c:v>
                </c:pt>
                <c:pt idx="2">
                  <c:v>Oqal</c:v>
                </c:pt>
                <c:pt idx="3">
                  <c:v>Shemagh</c:v>
                </c:pt>
                <c:pt idx="4">
                  <c:v>Thobe</c:v>
                </c:pt>
              </c:strCache>
            </c:strRef>
          </c:cat>
          <c:val>
            <c:numRef>
              <c:f>Dashboard!$B$4:$B$9</c:f>
              <c:numCache>
                <c:formatCode>[$⃁-401]\ #,##0</c:formatCode>
                <c:ptCount val="5"/>
                <c:pt idx="0">
                  <c:v>3200</c:v>
                </c:pt>
                <c:pt idx="1">
                  <c:v>1800</c:v>
                </c:pt>
                <c:pt idx="2">
                  <c:v>1760</c:v>
                </c:pt>
                <c:pt idx="3">
                  <c:v>2880</c:v>
                </c:pt>
                <c:pt idx="4">
                  <c:v>6250</c:v>
                </c:pt>
              </c:numCache>
            </c:numRef>
          </c:val>
          <c:extLst>
            <c:ext xmlns:c16="http://schemas.microsoft.com/office/drawing/2014/chart" uri="{C3380CC4-5D6E-409C-BE32-E72D297353CC}">
              <c16:uniqueId val="{00000000-F329-43ED-AB58-E1D60EFA07E7}"/>
            </c:ext>
          </c:extLst>
        </c:ser>
        <c:ser>
          <c:idx val="1"/>
          <c:order val="1"/>
          <c:tx>
            <c:strRef>
              <c:f>Dashboard!$C$2:$C$3</c:f>
              <c:strCache>
                <c:ptCount val="1"/>
                <c:pt idx="0">
                  <c:v>Mar_Sales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Dashboard!$A$4:$A$9</c:f>
              <c:strCache>
                <c:ptCount val="5"/>
                <c:pt idx="0">
                  <c:v>Abaya</c:v>
                </c:pt>
                <c:pt idx="1">
                  <c:v>Ghutra</c:v>
                </c:pt>
                <c:pt idx="2">
                  <c:v>Oqal</c:v>
                </c:pt>
                <c:pt idx="3">
                  <c:v>Shemagh</c:v>
                </c:pt>
                <c:pt idx="4">
                  <c:v>Thobe</c:v>
                </c:pt>
              </c:strCache>
            </c:strRef>
          </c:cat>
          <c:val>
            <c:numRef>
              <c:f>Dashboard!$C$4:$C$9</c:f>
              <c:numCache>
                <c:formatCode>[$⃁-401]\ #,##0</c:formatCode>
                <c:ptCount val="5"/>
                <c:pt idx="0">
                  <c:v>6800</c:v>
                </c:pt>
                <c:pt idx="1">
                  <c:v>1350</c:v>
                </c:pt>
                <c:pt idx="2">
                  <c:v>1920</c:v>
                </c:pt>
                <c:pt idx="3">
                  <c:v>2400</c:v>
                </c:pt>
                <c:pt idx="4">
                  <c:v>6000</c:v>
                </c:pt>
              </c:numCache>
            </c:numRef>
          </c:val>
          <c:extLst>
            <c:ext xmlns:c16="http://schemas.microsoft.com/office/drawing/2014/chart" uri="{C3380CC4-5D6E-409C-BE32-E72D297353CC}">
              <c16:uniqueId val="{00000008-F329-43ED-AB58-E1D60EFA07E7}"/>
            </c:ext>
          </c:extLst>
        </c:ser>
        <c:dLbls>
          <c:dLblPos val="outEnd"/>
          <c:showLegendKey val="0"/>
          <c:showVal val="1"/>
          <c:showCatName val="0"/>
          <c:showSerName val="0"/>
          <c:showPercent val="0"/>
          <c:showBubbleSize val="0"/>
        </c:dLbls>
        <c:gapWidth val="315"/>
        <c:overlap val="-40"/>
        <c:axId val="622296464"/>
        <c:axId val="138227760"/>
      </c:barChart>
      <c:catAx>
        <c:axId val="622296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227760"/>
        <c:crosses val="autoZero"/>
        <c:auto val="1"/>
        <c:lblAlgn val="ctr"/>
        <c:lblOffset val="100"/>
        <c:noMultiLvlLbl val="0"/>
      </c:catAx>
      <c:valAx>
        <c:axId val="138227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1]\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29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273050</xdr:colOff>
      <xdr:row>0</xdr:row>
      <xdr:rowOff>177800</xdr:rowOff>
    </xdr:from>
    <xdr:to>
      <xdr:col>7</xdr:col>
      <xdr:colOff>273050</xdr:colOff>
      <xdr:row>7</xdr:row>
      <xdr:rowOff>8659</xdr:rowOff>
    </xdr:to>
    <mc:AlternateContent xmlns:mc="http://schemas.openxmlformats.org/markup-compatibility/2006" xmlns:a14="http://schemas.microsoft.com/office/drawing/2010/main">
      <mc:Choice Requires="a14">
        <xdr:graphicFrame macro="">
          <xdr:nvGraphicFramePr>
            <xdr:cNvPr id="2" name="Source.Name">
              <a:extLst>
                <a:ext uri="{FF2B5EF4-FFF2-40B4-BE49-F238E27FC236}">
                  <a16:creationId xmlns:a16="http://schemas.microsoft.com/office/drawing/2014/main" id="{12AE9B06-470C-1DC2-9BF0-7071626F5E38}"/>
                </a:ext>
              </a:extLst>
            </xdr:cNvPr>
            <xdr:cNvGraphicFramePr/>
          </xdr:nvGraphicFramePr>
          <xdr:xfrm>
            <a:off x="0" y="0"/>
            <a:ext cx="0" cy="0"/>
          </xdr:xfrm>
          <a:graphic>
            <a:graphicData uri="http://schemas.microsoft.com/office/drawing/2010/slicer">
              <sle:slicer xmlns:sle="http://schemas.microsoft.com/office/drawing/2010/slicer" name="Source.Name"/>
            </a:graphicData>
          </a:graphic>
        </xdr:graphicFrame>
      </mc:Choice>
      <mc:Fallback xmlns="">
        <xdr:sp macro="" textlink="">
          <xdr:nvSpPr>
            <xdr:cNvPr id="0" name=""/>
            <xdr:cNvSpPr>
              <a:spLocks noTextEdit="1"/>
            </xdr:cNvSpPr>
          </xdr:nvSpPr>
          <xdr:spPr>
            <a:xfrm>
              <a:off x="3582747" y="177800"/>
              <a:ext cx="1818409" cy="1197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497031</xdr:colOff>
      <xdr:row>11</xdr:row>
      <xdr:rowOff>107853</xdr:rowOff>
    </xdr:from>
    <xdr:to>
      <xdr:col>14</xdr:col>
      <xdr:colOff>509923</xdr:colOff>
      <xdr:row>27</xdr:row>
      <xdr:rowOff>173181</xdr:rowOff>
    </xdr:to>
    <xdr:graphicFrame macro="">
      <xdr:nvGraphicFramePr>
        <xdr:cNvPr id="3" name="Chart 2">
          <a:extLst>
            <a:ext uri="{FF2B5EF4-FFF2-40B4-BE49-F238E27FC236}">
              <a16:creationId xmlns:a16="http://schemas.microsoft.com/office/drawing/2014/main" id="{61787546-F2BE-2FB7-C878-4810A7D60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211667</xdr:colOff>
      <xdr:row>1</xdr:row>
      <xdr:rowOff>125076</xdr:rowOff>
    </xdr:from>
    <xdr:to>
      <xdr:col>11</xdr:col>
      <xdr:colOff>394469</xdr:colOff>
      <xdr:row>4</xdr:row>
      <xdr:rowOff>125076</xdr:rowOff>
    </xdr:to>
    <xdr:sp macro="" textlink="$O$2">
      <xdr:nvSpPr>
        <xdr:cNvPr id="4" name="Rectangle: Rounded Corners 3">
          <a:extLst>
            <a:ext uri="{FF2B5EF4-FFF2-40B4-BE49-F238E27FC236}">
              <a16:creationId xmlns:a16="http://schemas.microsoft.com/office/drawing/2014/main" id="{F3F5BF85-22BB-01F1-F34E-5C068A117107}"/>
            </a:ext>
          </a:extLst>
        </xdr:cNvPr>
        <xdr:cNvSpPr/>
      </xdr:nvSpPr>
      <xdr:spPr>
        <a:xfrm>
          <a:off x="5945909" y="307879"/>
          <a:ext cx="2001212" cy="635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C2D7B140-19B8-4E62-803E-4DA02603A2CF}" type="TxLink">
            <a:rPr lang="en-US" sz="2800" b="0" i="0" u="none" strike="noStrike">
              <a:solidFill>
                <a:srgbClr val="000000"/>
              </a:solidFill>
              <a:effectLst>
                <a:glow rad="228600">
                  <a:schemeClr val="accent4">
                    <a:satMod val="175000"/>
                    <a:alpha val="40000"/>
                  </a:schemeClr>
                </a:glow>
              </a:effectLst>
              <a:latin typeface="Aptos Narrow"/>
            </a:rPr>
            <a:pPr algn="ctr"/>
            <a:t>⃁ 34,360</a:t>
          </a:fld>
          <a:endParaRPr lang="en-US" sz="4000" b="1">
            <a:solidFill>
              <a:schemeClr val="bg1"/>
            </a:solidFill>
            <a:effectLst>
              <a:glow rad="228600">
                <a:schemeClr val="accent4">
                  <a:satMod val="175000"/>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15.734777314814" createdVersion="8" refreshedVersion="8" minRefreshableVersion="3" recordCount="40" xr:uid="{17C63567-AD35-439A-961D-3EED5EA9A7A1}">
  <cacheSource type="worksheet">
    <worksheetSource name="Saudia_Sales"/>
  </cacheSource>
  <cacheFields count="6">
    <cacheField name="Source.Name" numFmtId="0">
      <sharedItems count="2">
        <s v="Feb_Sales.xlsx"/>
        <s v="Mar_Sales.xlsx"/>
      </sharedItems>
    </cacheField>
    <cacheField name="Order Number" numFmtId="0">
      <sharedItems containsSemiMixedTypes="0" containsString="0" containsNumber="1" containsInteger="1" minValue="20001" maxValue="30020"/>
    </cacheField>
    <cacheField name="Item" numFmtId="0">
      <sharedItems count="5">
        <s v="Thobe"/>
        <s v="Abaya"/>
        <s v="Shemagh"/>
        <s v="Oqal"/>
        <s v="Ghutra"/>
      </sharedItems>
    </cacheField>
    <cacheField name="Price" numFmtId="164">
      <sharedItems containsSemiMixedTypes="0" containsString="0" containsNumber="1" containsInteger="1" minValue="80" maxValue="400"/>
    </cacheField>
    <cacheField name="Sold" numFmtId="0">
      <sharedItems containsSemiMixedTypes="0" containsString="0" containsNumber="1" containsInteger="1" minValue="1" maxValue="10"/>
    </cacheField>
    <cacheField name="Total Sales" numFmtId="164">
      <sharedItems containsSemiMixedTypes="0" containsString="0" containsNumber="1" containsInteger="1" minValue="160" maxValue="2800"/>
    </cacheField>
  </cacheFields>
  <extLst>
    <ext xmlns:x14="http://schemas.microsoft.com/office/spreadsheetml/2009/9/main" uri="{725AE2AE-9491-48be-B2B4-4EB974FC3084}">
      <x14:pivotCacheDefinition pivotCacheId="1139288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20001"/>
    <x v="0"/>
    <n v="250"/>
    <n v="5"/>
    <n v="1250"/>
  </r>
  <r>
    <x v="0"/>
    <n v="20002"/>
    <x v="1"/>
    <n v="400"/>
    <n v="2"/>
    <n v="800"/>
  </r>
  <r>
    <x v="0"/>
    <n v="20003"/>
    <x v="2"/>
    <n v="120"/>
    <n v="8"/>
    <n v="960"/>
  </r>
  <r>
    <x v="0"/>
    <n v="20004"/>
    <x v="3"/>
    <n v="80"/>
    <n v="10"/>
    <n v="800"/>
  </r>
  <r>
    <x v="0"/>
    <n v="20005"/>
    <x v="4"/>
    <n v="90"/>
    <n v="7"/>
    <n v="630"/>
  </r>
  <r>
    <x v="0"/>
    <n v="20006"/>
    <x v="0"/>
    <n v="250"/>
    <n v="3"/>
    <n v="750"/>
  </r>
  <r>
    <x v="0"/>
    <n v="20007"/>
    <x v="1"/>
    <n v="400"/>
    <n v="1"/>
    <n v="400"/>
  </r>
  <r>
    <x v="0"/>
    <n v="20008"/>
    <x v="2"/>
    <n v="120"/>
    <n v="4"/>
    <n v="480"/>
  </r>
  <r>
    <x v="0"/>
    <n v="20009"/>
    <x v="3"/>
    <n v="80"/>
    <n v="2"/>
    <n v="160"/>
  </r>
  <r>
    <x v="0"/>
    <n v="20010"/>
    <x v="0"/>
    <n v="250"/>
    <n v="6"/>
    <n v="1500"/>
  </r>
  <r>
    <x v="0"/>
    <n v="20011"/>
    <x v="1"/>
    <n v="400"/>
    <n v="3"/>
    <n v="1200"/>
  </r>
  <r>
    <x v="0"/>
    <n v="20012"/>
    <x v="4"/>
    <n v="90"/>
    <n v="5"/>
    <n v="450"/>
  </r>
  <r>
    <x v="0"/>
    <n v="20013"/>
    <x v="2"/>
    <n v="120"/>
    <n v="9"/>
    <n v="1080"/>
  </r>
  <r>
    <x v="0"/>
    <n v="20014"/>
    <x v="0"/>
    <n v="250"/>
    <n v="4"/>
    <n v="1000"/>
  </r>
  <r>
    <x v="0"/>
    <n v="20015"/>
    <x v="1"/>
    <n v="400"/>
    <n v="2"/>
    <n v="800"/>
  </r>
  <r>
    <x v="0"/>
    <n v="20016"/>
    <x v="3"/>
    <n v="80"/>
    <n v="6"/>
    <n v="480"/>
  </r>
  <r>
    <x v="0"/>
    <n v="20017"/>
    <x v="4"/>
    <n v="90"/>
    <n v="8"/>
    <n v="720"/>
  </r>
  <r>
    <x v="0"/>
    <n v="20018"/>
    <x v="2"/>
    <n v="120"/>
    <n v="3"/>
    <n v="360"/>
  </r>
  <r>
    <x v="0"/>
    <n v="20019"/>
    <x v="0"/>
    <n v="250"/>
    <n v="7"/>
    <n v="1750"/>
  </r>
  <r>
    <x v="0"/>
    <n v="20020"/>
    <x v="3"/>
    <n v="80"/>
    <n v="4"/>
    <n v="320"/>
  </r>
  <r>
    <x v="1"/>
    <n v="30001"/>
    <x v="0"/>
    <n v="250"/>
    <n v="2"/>
    <n v="500"/>
  </r>
  <r>
    <x v="1"/>
    <n v="30002"/>
    <x v="1"/>
    <n v="400"/>
    <n v="4"/>
    <n v="1600"/>
  </r>
  <r>
    <x v="1"/>
    <n v="30003"/>
    <x v="2"/>
    <n v="120"/>
    <n v="6"/>
    <n v="720"/>
  </r>
  <r>
    <x v="1"/>
    <n v="30004"/>
    <x v="3"/>
    <n v="80"/>
    <n v="3"/>
    <n v="240"/>
  </r>
  <r>
    <x v="1"/>
    <n v="30005"/>
    <x v="4"/>
    <n v="90"/>
    <n v="9"/>
    <n v="810"/>
  </r>
  <r>
    <x v="1"/>
    <n v="30006"/>
    <x v="0"/>
    <n v="250"/>
    <n v="5"/>
    <n v="1250"/>
  </r>
  <r>
    <x v="1"/>
    <n v="30007"/>
    <x v="1"/>
    <n v="400"/>
    <n v="7"/>
    <n v="2800"/>
  </r>
  <r>
    <x v="1"/>
    <n v="30008"/>
    <x v="2"/>
    <n v="120"/>
    <n v="2"/>
    <n v="240"/>
  </r>
  <r>
    <x v="1"/>
    <n v="30009"/>
    <x v="3"/>
    <n v="80"/>
    <n v="5"/>
    <n v="400"/>
  </r>
  <r>
    <x v="1"/>
    <n v="30010"/>
    <x v="0"/>
    <n v="250"/>
    <n v="8"/>
    <n v="2000"/>
  </r>
  <r>
    <x v="1"/>
    <n v="30011"/>
    <x v="1"/>
    <n v="400"/>
    <n v="1"/>
    <n v="400"/>
  </r>
  <r>
    <x v="1"/>
    <n v="30012"/>
    <x v="4"/>
    <n v="90"/>
    <n v="4"/>
    <n v="360"/>
  </r>
  <r>
    <x v="1"/>
    <n v="30013"/>
    <x v="2"/>
    <n v="120"/>
    <n v="7"/>
    <n v="840"/>
  </r>
  <r>
    <x v="1"/>
    <n v="30014"/>
    <x v="0"/>
    <n v="250"/>
    <n v="3"/>
    <n v="750"/>
  </r>
  <r>
    <x v="1"/>
    <n v="30015"/>
    <x v="1"/>
    <n v="400"/>
    <n v="5"/>
    <n v="2000"/>
  </r>
  <r>
    <x v="1"/>
    <n v="30016"/>
    <x v="3"/>
    <n v="80"/>
    <n v="9"/>
    <n v="720"/>
  </r>
  <r>
    <x v="1"/>
    <n v="30017"/>
    <x v="4"/>
    <n v="90"/>
    <n v="2"/>
    <n v="180"/>
  </r>
  <r>
    <x v="1"/>
    <n v="30018"/>
    <x v="2"/>
    <n v="120"/>
    <n v="5"/>
    <n v="600"/>
  </r>
  <r>
    <x v="1"/>
    <n v="30019"/>
    <x v="0"/>
    <n v="250"/>
    <n v="6"/>
    <n v="1500"/>
  </r>
  <r>
    <x v="1"/>
    <n v="30020"/>
    <x v="3"/>
    <n v="80"/>
    <n v="7"/>
    <n v="5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2EF90-6E8A-4CC3-8695-01E0E1D116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 colHeaderCaption="Month">
  <location ref="A2:D9" firstHeaderRow="1" firstDataRow="2" firstDataCol="1"/>
  <pivotFields count="6">
    <pivotField axis="axisCol" showAll="0">
      <items count="3">
        <item n="Feb_Sales" x="0"/>
        <item n="Mar_Sales" x="1"/>
        <item t="default"/>
      </items>
    </pivotField>
    <pivotField showAll="0"/>
    <pivotField axis="axisRow" showAll="0">
      <items count="6">
        <item x="1"/>
        <item x="4"/>
        <item x="3"/>
        <item x="2"/>
        <item x="0"/>
        <item t="default"/>
      </items>
    </pivotField>
    <pivotField numFmtId="164" showAll="0"/>
    <pivotField showAll="0"/>
    <pivotField dataField="1" numFmtId="164" showAll="0"/>
  </pivotFields>
  <rowFields count="1">
    <field x="2"/>
  </rowFields>
  <rowItems count="6">
    <i>
      <x/>
    </i>
    <i>
      <x v="1"/>
    </i>
    <i>
      <x v="2"/>
    </i>
    <i>
      <x v="3"/>
    </i>
    <i>
      <x v="4"/>
    </i>
    <i t="grand">
      <x/>
    </i>
  </rowItems>
  <colFields count="1">
    <field x="0"/>
  </colFields>
  <colItems count="3">
    <i>
      <x/>
    </i>
    <i>
      <x v="1"/>
    </i>
    <i t="grand">
      <x/>
    </i>
  </colItems>
  <dataFields count="1">
    <dataField name="Sum of Total Sales" fld="5" baseField="0" baseItem="0" numFmtId="164"/>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1787091-31B2-45DA-BB52-64F20BB52534}" autoFormatId="16" applyNumberFormats="0" applyBorderFormats="0" applyFontFormats="0" applyPatternFormats="0" applyAlignmentFormats="0" applyWidthHeightFormats="0">
  <queryTableRefresh nextId="7">
    <queryTableFields count="6">
      <queryTableField id="1" name="Source.Name" tableColumnId="1"/>
      <queryTableField id="2" name="Order Number" tableColumnId="2"/>
      <queryTableField id="3" name="Item" tableColumnId="3"/>
      <queryTableField id="4" name="Price" tableColumnId="4"/>
      <queryTableField id="5" name="Sold" tableColumnId="5"/>
      <queryTableField id="6" name="Total Sale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ame" xr10:uid="{239741AC-931C-42C6-B725-DA7C2BDCB214}" sourceName="Source.Name">
  <pivotTables>
    <pivotTable tabId="1" name="PivotTable1"/>
  </pivotTables>
  <data>
    <tabular pivotCacheId="11392882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Name" xr10:uid="{F70711B9-A5A9-40B4-A6C2-5DDF3BC0F4A1}" cache="Slicer_Source.Name" caption="Source.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9CAF3A-832C-46EB-BE1C-B54A08B7CF17}" name="Saudia_Sales" displayName="Saudia_Sales" ref="A3:F44" tableType="queryTable" totalsRowCount="1" dataDxfId="13" totalsRowDxfId="12">
  <autoFilter ref="A3:F43" xr:uid="{1E9CAF3A-832C-46EB-BE1C-B54A08B7CF17}">
    <filterColumn colId="0" hiddenButton="1"/>
    <filterColumn colId="1" hiddenButton="1"/>
    <filterColumn colId="2" hiddenButton="1"/>
    <filterColumn colId="3" hiddenButton="1"/>
    <filterColumn colId="4" hiddenButton="1"/>
    <filterColumn colId="5" hiddenButton="1"/>
  </autoFilter>
  <tableColumns count="6">
    <tableColumn id="1" xr3:uid="{C3C9953C-3758-4BA0-AE83-0BB8D63173CA}" uniqueName="1" name="Source.Name" totalsRowLabel="Total" queryTableFieldId="1" dataDxfId="11" totalsRowDxfId="10"/>
    <tableColumn id="2" xr3:uid="{F0509D5B-915F-43FE-906D-51C12B7D6BF3}" uniqueName="2" name="Order Number" totalsRowFunction="count" queryTableFieldId="2" dataDxfId="9" totalsRowDxfId="8"/>
    <tableColumn id="3" xr3:uid="{D86B5021-2479-4A06-98E1-8BB8DF877388}" uniqueName="3" name="Item" totalsRowFunction="count" queryTableFieldId="3" dataDxfId="7" totalsRowDxfId="6"/>
    <tableColumn id="4" xr3:uid="{9023A1F5-5C18-42BB-B119-F39E21866D64}" uniqueName="4" name="Price" totalsRowFunction="sum" queryTableFieldId="4" dataDxfId="5" totalsRowDxfId="4"/>
    <tableColumn id="5" xr3:uid="{D544AC17-838A-43D7-B2DA-DF872336EE5A}" uniqueName="5" name="Sold" totalsRowFunction="sum" queryTableFieldId="5" dataDxfId="3" totalsRowDxfId="2"/>
    <tableColumn id="6" xr3:uid="{6FC51FCC-7879-4E45-AB0C-9343C7E1BA7C}" uniqueName="6" name="Total Sales" totalsRowFunction="sum" queryTableFieldId="6" dataDxfId="1" totalsRowDxfId="0"/>
  </tableColumns>
  <tableStyleInfo name="TableStyleMedium7"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2459-0F20-4D94-B641-3DA99D5B9327}">
  <dimension ref="A1:F44"/>
  <sheetViews>
    <sheetView showGridLines="0" tabSelected="1" workbookViewId="0">
      <selection activeCell="I4" sqref="I4"/>
    </sheetView>
  </sheetViews>
  <sheetFormatPr defaultRowHeight="14.5" x14ac:dyDescent="0.35"/>
  <cols>
    <col min="1" max="1" width="17.7265625" customWidth="1"/>
    <col min="2" max="2" width="18.1796875" customWidth="1"/>
    <col min="3" max="3" width="12.26953125" customWidth="1"/>
    <col min="4" max="4" width="11.81640625" customWidth="1"/>
    <col min="5" max="5" width="11" customWidth="1"/>
    <col min="6" max="6" width="12.90625" customWidth="1"/>
  </cols>
  <sheetData>
    <row r="1" spans="1:6" x14ac:dyDescent="0.35">
      <c r="A1" s="10" t="s">
        <v>20</v>
      </c>
      <c r="B1" s="10"/>
      <c r="C1" s="10"/>
      <c r="D1" s="10"/>
      <c r="E1" s="10"/>
      <c r="F1" s="10"/>
    </row>
    <row r="2" spans="1:6" x14ac:dyDescent="0.35">
      <c r="A2" s="10"/>
      <c r="B2" s="10"/>
      <c r="C2" s="10"/>
      <c r="D2" s="10"/>
      <c r="E2" s="10"/>
      <c r="F2" s="10"/>
    </row>
    <row r="3" spans="1:6" x14ac:dyDescent="0.35">
      <c r="A3" t="s">
        <v>0</v>
      </c>
      <c r="B3" t="s">
        <v>1</v>
      </c>
      <c r="C3" t="s">
        <v>2</v>
      </c>
      <c r="D3" t="s">
        <v>3</v>
      </c>
      <c r="E3" t="s">
        <v>4</v>
      </c>
      <c r="F3" t="s">
        <v>5</v>
      </c>
    </row>
    <row r="4" spans="1:6" x14ac:dyDescent="0.35">
      <c r="A4" s="2" t="s">
        <v>6</v>
      </c>
      <c r="B4" s="2">
        <v>20001</v>
      </c>
      <c r="C4" s="2" t="s">
        <v>7</v>
      </c>
      <c r="D4" s="3">
        <v>250</v>
      </c>
      <c r="E4" s="2">
        <v>5</v>
      </c>
      <c r="F4" s="3">
        <v>1250</v>
      </c>
    </row>
    <row r="5" spans="1:6" x14ac:dyDescent="0.35">
      <c r="A5" s="2" t="s">
        <v>6</v>
      </c>
      <c r="B5" s="2">
        <v>20002</v>
      </c>
      <c r="C5" s="2" t="s">
        <v>8</v>
      </c>
      <c r="D5" s="3">
        <v>400</v>
      </c>
      <c r="E5" s="2">
        <v>2</v>
      </c>
      <c r="F5" s="3">
        <v>800</v>
      </c>
    </row>
    <row r="6" spans="1:6" x14ac:dyDescent="0.35">
      <c r="A6" s="2" t="s">
        <v>6</v>
      </c>
      <c r="B6" s="2">
        <v>20003</v>
      </c>
      <c r="C6" s="2" t="s">
        <v>9</v>
      </c>
      <c r="D6" s="3">
        <v>120</v>
      </c>
      <c r="E6" s="2">
        <v>8</v>
      </c>
      <c r="F6" s="3">
        <v>960</v>
      </c>
    </row>
    <row r="7" spans="1:6" x14ac:dyDescent="0.35">
      <c r="A7" s="2" t="s">
        <v>6</v>
      </c>
      <c r="B7" s="2">
        <v>20004</v>
      </c>
      <c r="C7" s="2" t="s">
        <v>10</v>
      </c>
      <c r="D7" s="3">
        <v>80</v>
      </c>
      <c r="E7" s="2">
        <v>10</v>
      </c>
      <c r="F7" s="3">
        <v>800</v>
      </c>
    </row>
    <row r="8" spans="1:6" x14ac:dyDescent="0.35">
      <c r="A8" s="2" t="s">
        <v>6</v>
      </c>
      <c r="B8" s="2">
        <v>20005</v>
      </c>
      <c r="C8" s="2" t="s">
        <v>11</v>
      </c>
      <c r="D8" s="3">
        <v>90</v>
      </c>
      <c r="E8" s="2">
        <v>7</v>
      </c>
      <c r="F8" s="3">
        <v>630</v>
      </c>
    </row>
    <row r="9" spans="1:6" x14ac:dyDescent="0.35">
      <c r="A9" s="2" t="s">
        <v>6</v>
      </c>
      <c r="B9" s="2">
        <v>20006</v>
      </c>
      <c r="C9" s="2" t="s">
        <v>7</v>
      </c>
      <c r="D9" s="3">
        <v>250</v>
      </c>
      <c r="E9" s="2">
        <v>3</v>
      </c>
      <c r="F9" s="3">
        <v>750</v>
      </c>
    </row>
    <row r="10" spans="1:6" x14ac:dyDescent="0.35">
      <c r="A10" s="2" t="s">
        <v>6</v>
      </c>
      <c r="B10" s="2">
        <v>20007</v>
      </c>
      <c r="C10" s="2" t="s">
        <v>8</v>
      </c>
      <c r="D10" s="3">
        <v>400</v>
      </c>
      <c r="E10" s="2">
        <v>1</v>
      </c>
      <c r="F10" s="3">
        <v>400</v>
      </c>
    </row>
    <row r="11" spans="1:6" x14ac:dyDescent="0.35">
      <c r="A11" s="2" t="s">
        <v>6</v>
      </c>
      <c r="B11" s="2">
        <v>20008</v>
      </c>
      <c r="C11" s="2" t="s">
        <v>9</v>
      </c>
      <c r="D11" s="3">
        <v>120</v>
      </c>
      <c r="E11" s="2">
        <v>4</v>
      </c>
      <c r="F11" s="3">
        <v>480</v>
      </c>
    </row>
    <row r="12" spans="1:6" x14ac:dyDescent="0.35">
      <c r="A12" s="2" t="s">
        <v>6</v>
      </c>
      <c r="B12" s="2">
        <v>20009</v>
      </c>
      <c r="C12" s="2" t="s">
        <v>10</v>
      </c>
      <c r="D12" s="3">
        <v>80</v>
      </c>
      <c r="E12" s="2">
        <v>2</v>
      </c>
      <c r="F12" s="3">
        <v>160</v>
      </c>
    </row>
    <row r="13" spans="1:6" x14ac:dyDescent="0.35">
      <c r="A13" s="2" t="s">
        <v>6</v>
      </c>
      <c r="B13" s="2">
        <v>20010</v>
      </c>
      <c r="C13" s="2" t="s">
        <v>7</v>
      </c>
      <c r="D13" s="3">
        <v>250</v>
      </c>
      <c r="E13" s="2">
        <v>6</v>
      </c>
      <c r="F13" s="3">
        <v>1500</v>
      </c>
    </row>
    <row r="14" spans="1:6" x14ac:dyDescent="0.35">
      <c r="A14" s="2" t="s">
        <v>6</v>
      </c>
      <c r="B14" s="2">
        <v>20011</v>
      </c>
      <c r="C14" s="2" t="s">
        <v>8</v>
      </c>
      <c r="D14" s="3">
        <v>400</v>
      </c>
      <c r="E14" s="2">
        <v>3</v>
      </c>
      <c r="F14" s="3">
        <v>1200</v>
      </c>
    </row>
    <row r="15" spans="1:6" x14ac:dyDescent="0.35">
      <c r="A15" s="2" t="s">
        <v>6</v>
      </c>
      <c r="B15" s="2">
        <v>20012</v>
      </c>
      <c r="C15" s="2" t="s">
        <v>11</v>
      </c>
      <c r="D15" s="3">
        <v>90</v>
      </c>
      <c r="E15" s="2">
        <v>5</v>
      </c>
      <c r="F15" s="3">
        <v>450</v>
      </c>
    </row>
    <row r="16" spans="1:6" x14ac:dyDescent="0.35">
      <c r="A16" s="2" t="s">
        <v>6</v>
      </c>
      <c r="B16" s="2">
        <v>20013</v>
      </c>
      <c r="C16" s="2" t="s">
        <v>9</v>
      </c>
      <c r="D16" s="3">
        <v>120</v>
      </c>
      <c r="E16" s="2">
        <v>9</v>
      </c>
      <c r="F16" s="3">
        <v>1080</v>
      </c>
    </row>
    <row r="17" spans="1:6" x14ac:dyDescent="0.35">
      <c r="A17" s="2" t="s">
        <v>6</v>
      </c>
      <c r="B17" s="2">
        <v>20014</v>
      </c>
      <c r="C17" s="2" t="s">
        <v>7</v>
      </c>
      <c r="D17" s="3">
        <v>250</v>
      </c>
      <c r="E17" s="2">
        <v>4</v>
      </c>
      <c r="F17" s="3">
        <v>1000</v>
      </c>
    </row>
    <row r="18" spans="1:6" x14ac:dyDescent="0.35">
      <c r="A18" s="2" t="s">
        <v>6</v>
      </c>
      <c r="B18" s="2">
        <v>20015</v>
      </c>
      <c r="C18" s="2" t="s">
        <v>8</v>
      </c>
      <c r="D18" s="3">
        <v>400</v>
      </c>
      <c r="E18" s="2">
        <v>2</v>
      </c>
      <c r="F18" s="3">
        <v>800</v>
      </c>
    </row>
    <row r="19" spans="1:6" x14ac:dyDescent="0.35">
      <c r="A19" s="2" t="s">
        <v>6</v>
      </c>
      <c r="B19" s="2">
        <v>20016</v>
      </c>
      <c r="C19" s="2" t="s">
        <v>10</v>
      </c>
      <c r="D19" s="3">
        <v>80</v>
      </c>
      <c r="E19" s="2">
        <v>6</v>
      </c>
      <c r="F19" s="3">
        <v>480</v>
      </c>
    </row>
    <row r="20" spans="1:6" x14ac:dyDescent="0.35">
      <c r="A20" s="2" t="s">
        <v>6</v>
      </c>
      <c r="B20" s="2">
        <v>20017</v>
      </c>
      <c r="C20" s="2" t="s">
        <v>11</v>
      </c>
      <c r="D20" s="3">
        <v>90</v>
      </c>
      <c r="E20" s="2">
        <v>8</v>
      </c>
      <c r="F20" s="3">
        <v>720</v>
      </c>
    </row>
    <row r="21" spans="1:6" x14ac:dyDescent="0.35">
      <c r="A21" s="2" t="s">
        <v>6</v>
      </c>
      <c r="B21" s="2">
        <v>20018</v>
      </c>
      <c r="C21" s="2" t="s">
        <v>9</v>
      </c>
      <c r="D21" s="3">
        <v>120</v>
      </c>
      <c r="E21" s="2">
        <v>3</v>
      </c>
      <c r="F21" s="3">
        <v>360</v>
      </c>
    </row>
    <row r="22" spans="1:6" x14ac:dyDescent="0.35">
      <c r="A22" s="2" t="s">
        <v>6</v>
      </c>
      <c r="B22" s="2">
        <v>20019</v>
      </c>
      <c r="C22" s="2" t="s">
        <v>7</v>
      </c>
      <c r="D22" s="3">
        <v>250</v>
      </c>
      <c r="E22" s="2">
        <v>7</v>
      </c>
      <c r="F22" s="3">
        <v>1750</v>
      </c>
    </row>
    <row r="23" spans="1:6" x14ac:dyDescent="0.35">
      <c r="A23" s="2" t="s">
        <v>6</v>
      </c>
      <c r="B23" s="2">
        <v>20020</v>
      </c>
      <c r="C23" s="2" t="s">
        <v>10</v>
      </c>
      <c r="D23" s="3">
        <v>80</v>
      </c>
      <c r="E23" s="2">
        <v>4</v>
      </c>
      <c r="F23" s="3">
        <v>320</v>
      </c>
    </row>
    <row r="24" spans="1:6" x14ac:dyDescent="0.35">
      <c r="A24" s="2" t="s">
        <v>12</v>
      </c>
      <c r="B24" s="2">
        <v>30001</v>
      </c>
      <c r="C24" s="2" t="s">
        <v>7</v>
      </c>
      <c r="D24" s="3">
        <v>250</v>
      </c>
      <c r="E24" s="2">
        <v>2</v>
      </c>
      <c r="F24" s="3">
        <v>500</v>
      </c>
    </row>
    <row r="25" spans="1:6" x14ac:dyDescent="0.35">
      <c r="A25" s="2" t="s">
        <v>12</v>
      </c>
      <c r="B25" s="2">
        <v>30002</v>
      </c>
      <c r="C25" s="2" t="s">
        <v>8</v>
      </c>
      <c r="D25" s="3">
        <v>400</v>
      </c>
      <c r="E25" s="2">
        <v>4</v>
      </c>
      <c r="F25" s="3">
        <v>1600</v>
      </c>
    </row>
    <row r="26" spans="1:6" x14ac:dyDescent="0.35">
      <c r="A26" s="2" t="s">
        <v>12</v>
      </c>
      <c r="B26" s="2">
        <v>30003</v>
      </c>
      <c r="C26" s="2" t="s">
        <v>9</v>
      </c>
      <c r="D26" s="3">
        <v>120</v>
      </c>
      <c r="E26" s="2">
        <v>6</v>
      </c>
      <c r="F26" s="3">
        <v>720</v>
      </c>
    </row>
    <row r="27" spans="1:6" x14ac:dyDescent="0.35">
      <c r="A27" s="2" t="s">
        <v>12</v>
      </c>
      <c r="B27" s="2">
        <v>30004</v>
      </c>
      <c r="C27" s="2" t="s">
        <v>10</v>
      </c>
      <c r="D27" s="3">
        <v>80</v>
      </c>
      <c r="E27" s="2">
        <v>3</v>
      </c>
      <c r="F27" s="3">
        <v>240</v>
      </c>
    </row>
    <row r="28" spans="1:6" x14ac:dyDescent="0.35">
      <c r="A28" s="2" t="s">
        <v>12</v>
      </c>
      <c r="B28" s="2">
        <v>30005</v>
      </c>
      <c r="C28" s="2" t="s">
        <v>11</v>
      </c>
      <c r="D28" s="3">
        <v>90</v>
      </c>
      <c r="E28" s="2">
        <v>9</v>
      </c>
      <c r="F28" s="3">
        <v>810</v>
      </c>
    </row>
    <row r="29" spans="1:6" x14ac:dyDescent="0.35">
      <c r="A29" s="2" t="s">
        <v>12</v>
      </c>
      <c r="B29" s="2">
        <v>30006</v>
      </c>
      <c r="C29" s="2" t="s">
        <v>7</v>
      </c>
      <c r="D29" s="3">
        <v>250</v>
      </c>
      <c r="E29" s="2">
        <v>5</v>
      </c>
      <c r="F29" s="3">
        <v>1250</v>
      </c>
    </row>
    <row r="30" spans="1:6" x14ac:dyDescent="0.35">
      <c r="A30" s="2" t="s">
        <v>12</v>
      </c>
      <c r="B30" s="2">
        <v>30007</v>
      </c>
      <c r="C30" s="2" t="s">
        <v>8</v>
      </c>
      <c r="D30" s="3">
        <v>400</v>
      </c>
      <c r="E30" s="2">
        <v>7</v>
      </c>
      <c r="F30" s="3">
        <v>2800</v>
      </c>
    </row>
    <row r="31" spans="1:6" x14ac:dyDescent="0.35">
      <c r="A31" s="2" t="s">
        <v>12</v>
      </c>
      <c r="B31" s="2">
        <v>30008</v>
      </c>
      <c r="C31" s="2" t="s">
        <v>9</v>
      </c>
      <c r="D31" s="3">
        <v>120</v>
      </c>
      <c r="E31" s="2">
        <v>2</v>
      </c>
      <c r="F31" s="3">
        <v>240</v>
      </c>
    </row>
    <row r="32" spans="1:6" x14ac:dyDescent="0.35">
      <c r="A32" s="2" t="s">
        <v>12</v>
      </c>
      <c r="B32" s="2">
        <v>30009</v>
      </c>
      <c r="C32" s="2" t="s">
        <v>10</v>
      </c>
      <c r="D32" s="3">
        <v>80</v>
      </c>
      <c r="E32" s="2">
        <v>5</v>
      </c>
      <c r="F32" s="3">
        <v>400</v>
      </c>
    </row>
    <row r="33" spans="1:6" x14ac:dyDescent="0.35">
      <c r="A33" s="2" t="s">
        <v>12</v>
      </c>
      <c r="B33" s="2">
        <v>30010</v>
      </c>
      <c r="C33" s="2" t="s">
        <v>7</v>
      </c>
      <c r="D33" s="3">
        <v>250</v>
      </c>
      <c r="E33" s="2">
        <v>8</v>
      </c>
      <c r="F33" s="3">
        <v>2000</v>
      </c>
    </row>
    <row r="34" spans="1:6" x14ac:dyDescent="0.35">
      <c r="A34" s="2" t="s">
        <v>12</v>
      </c>
      <c r="B34" s="2">
        <v>30011</v>
      </c>
      <c r="C34" s="2" t="s">
        <v>8</v>
      </c>
      <c r="D34" s="3">
        <v>400</v>
      </c>
      <c r="E34" s="2">
        <v>1</v>
      </c>
      <c r="F34" s="3">
        <v>400</v>
      </c>
    </row>
    <row r="35" spans="1:6" x14ac:dyDescent="0.35">
      <c r="A35" s="2" t="s">
        <v>12</v>
      </c>
      <c r="B35" s="2">
        <v>30012</v>
      </c>
      <c r="C35" s="2" t="s">
        <v>11</v>
      </c>
      <c r="D35" s="3">
        <v>90</v>
      </c>
      <c r="E35" s="2">
        <v>4</v>
      </c>
      <c r="F35" s="3">
        <v>360</v>
      </c>
    </row>
    <row r="36" spans="1:6" x14ac:dyDescent="0.35">
      <c r="A36" s="2" t="s">
        <v>12</v>
      </c>
      <c r="B36" s="2">
        <v>30013</v>
      </c>
      <c r="C36" s="2" t="s">
        <v>9</v>
      </c>
      <c r="D36" s="3">
        <v>120</v>
      </c>
      <c r="E36" s="2">
        <v>7</v>
      </c>
      <c r="F36" s="3">
        <v>840</v>
      </c>
    </row>
    <row r="37" spans="1:6" x14ac:dyDescent="0.35">
      <c r="A37" s="2" t="s">
        <v>12</v>
      </c>
      <c r="B37" s="2">
        <v>30014</v>
      </c>
      <c r="C37" s="2" t="s">
        <v>7</v>
      </c>
      <c r="D37" s="3">
        <v>250</v>
      </c>
      <c r="E37" s="2">
        <v>3</v>
      </c>
      <c r="F37" s="3">
        <v>750</v>
      </c>
    </row>
    <row r="38" spans="1:6" x14ac:dyDescent="0.35">
      <c r="A38" s="2" t="s">
        <v>12</v>
      </c>
      <c r="B38" s="2">
        <v>30015</v>
      </c>
      <c r="C38" s="2" t="s">
        <v>8</v>
      </c>
      <c r="D38" s="3">
        <v>400</v>
      </c>
      <c r="E38" s="2">
        <v>5</v>
      </c>
      <c r="F38" s="3">
        <v>2000</v>
      </c>
    </row>
    <row r="39" spans="1:6" x14ac:dyDescent="0.35">
      <c r="A39" s="2" t="s">
        <v>12</v>
      </c>
      <c r="B39" s="2">
        <v>30016</v>
      </c>
      <c r="C39" s="2" t="s">
        <v>10</v>
      </c>
      <c r="D39" s="3">
        <v>80</v>
      </c>
      <c r="E39" s="2">
        <v>9</v>
      </c>
      <c r="F39" s="3">
        <v>720</v>
      </c>
    </row>
    <row r="40" spans="1:6" x14ac:dyDescent="0.35">
      <c r="A40" s="2" t="s">
        <v>12</v>
      </c>
      <c r="B40" s="2">
        <v>30017</v>
      </c>
      <c r="C40" s="2" t="s">
        <v>11</v>
      </c>
      <c r="D40" s="3">
        <v>90</v>
      </c>
      <c r="E40" s="2">
        <v>2</v>
      </c>
      <c r="F40" s="3">
        <v>180</v>
      </c>
    </row>
    <row r="41" spans="1:6" x14ac:dyDescent="0.35">
      <c r="A41" s="2" t="s">
        <v>12</v>
      </c>
      <c r="B41" s="2">
        <v>30018</v>
      </c>
      <c r="C41" s="2" t="s">
        <v>9</v>
      </c>
      <c r="D41" s="3">
        <v>120</v>
      </c>
      <c r="E41" s="2">
        <v>5</v>
      </c>
      <c r="F41" s="3">
        <v>600</v>
      </c>
    </row>
    <row r="42" spans="1:6" x14ac:dyDescent="0.35">
      <c r="A42" s="2" t="s">
        <v>12</v>
      </c>
      <c r="B42" s="2">
        <v>30019</v>
      </c>
      <c r="C42" s="2" t="s">
        <v>7</v>
      </c>
      <c r="D42" s="3">
        <v>250</v>
      </c>
      <c r="E42" s="2">
        <v>6</v>
      </c>
      <c r="F42" s="3">
        <v>1500</v>
      </c>
    </row>
    <row r="43" spans="1:6" x14ac:dyDescent="0.35">
      <c r="A43" s="2" t="s">
        <v>12</v>
      </c>
      <c r="B43" s="2">
        <v>30020</v>
      </c>
      <c r="C43" s="2" t="s">
        <v>10</v>
      </c>
      <c r="D43" s="3">
        <v>80</v>
      </c>
      <c r="E43" s="2">
        <v>7</v>
      </c>
      <c r="F43" s="3">
        <v>560</v>
      </c>
    </row>
    <row r="44" spans="1:6" x14ac:dyDescent="0.35">
      <c r="A44" s="4" t="s">
        <v>13</v>
      </c>
      <c r="B44" s="4">
        <f>SUBTOTAL(103,Saudia_Sales[Order Number])</f>
        <v>40</v>
      </c>
      <c r="C44" s="4">
        <f>SUBTOTAL(103,Saudia_Sales[Item])</f>
        <v>40</v>
      </c>
      <c r="D44" s="5">
        <f>SUBTOTAL(109,Saudia_Sales[Price])</f>
        <v>7840</v>
      </c>
      <c r="E44" s="4">
        <f>SUBTOTAL(109,Saudia_Sales[Sold])</f>
        <v>199</v>
      </c>
      <c r="F44" s="5">
        <f>SUBTOTAL(109,Saudia_Sales[Total Sales])</f>
        <v>34360</v>
      </c>
    </row>
  </sheetData>
  <mergeCells count="1">
    <mergeCell ref="A1:F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648D-0D66-42B7-94D2-8FF3C7394160}">
  <dimension ref="A2:O9"/>
  <sheetViews>
    <sheetView showGridLines="0" zoomScale="66" workbookViewId="0">
      <selection activeCell="O4" sqref="O4"/>
    </sheetView>
  </sheetViews>
  <sheetFormatPr defaultRowHeight="14.5" x14ac:dyDescent="0.35"/>
  <cols>
    <col min="1" max="1" width="17" bestFit="1" customWidth="1"/>
    <col min="2" max="2" width="9.90625" bestFit="1" customWidth="1"/>
    <col min="3" max="3" width="9.6328125" bestFit="1" customWidth="1"/>
    <col min="4" max="4" width="10.81640625" bestFit="1" customWidth="1"/>
  </cols>
  <sheetData>
    <row r="2" spans="1:15" x14ac:dyDescent="0.35">
      <c r="A2" s="6" t="s">
        <v>15</v>
      </c>
      <c r="B2" s="6" t="s">
        <v>19</v>
      </c>
      <c r="O2" s="9">
        <f>GETPIVOTDATA("Total Sales",$A$2)</f>
        <v>34360</v>
      </c>
    </row>
    <row r="3" spans="1:15" x14ac:dyDescent="0.35">
      <c r="A3" s="6" t="s">
        <v>16</v>
      </c>
      <c r="B3" t="s">
        <v>17</v>
      </c>
      <c r="C3" t="s">
        <v>18</v>
      </c>
      <c r="D3" t="s">
        <v>14</v>
      </c>
    </row>
    <row r="4" spans="1:15" ht="21" x14ac:dyDescent="0.5">
      <c r="A4" s="7" t="s">
        <v>8</v>
      </c>
      <c r="B4" s="1">
        <v>3200</v>
      </c>
      <c r="C4" s="1">
        <v>6800</v>
      </c>
      <c r="D4" s="1">
        <v>10000</v>
      </c>
      <c r="N4" s="8"/>
    </row>
    <row r="5" spans="1:15" x14ac:dyDescent="0.35">
      <c r="A5" s="7" t="s">
        <v>11</v>
      </c>
      <c r="B5" s="1">
        <v>1800</v>
      </c>
      <c r="C5" s="1">
        <v>1350</v>
      </c>
      <c r="D5" s="1">
        <v>3150</v>
      </c>
    </row>
    <row r="6" spans="1:15" x14ac:dyDescent="0.35">
      <c r="A6" s="7" t="s">
        <v>10</v>
      </c>
      <c r="B6" s="1">
        <v>1760</v>
      </c>
      <c r="C6" s="1">
        <v>1920</v>
      </c>
      <c r="D6" s="1">
        <v>3680</v>
      </c>
    </row>
    <row r="7" spans="1:15" x14ac:dyDescent="0.35">
      <c r="A7" s="7" t="s">
        <v>9</v>
      </c>
      <c r="B7" s="1">
        <v>2880</v>
      </c>
      <c r="C7" s="1">
        <v>2400</v>
      </c>
      <c r="D7" s="1">
        <v>5280</v>
      </c>
    </row>
    <row r="8" spans="1:15" x14ac:dyDescent="0.35">
      <c r="A8" s="7" t="s">
        <v>7</v>
      </c>
      <c r="B8" s="1">
        <v>6250</v>
      </c>
      <c r="C8" s="1">
        <v>6000</v>
      </c>
      <c r="D8" s="1">
        <v>12250</v>
      </c>
    </row>
    <row r="9" spans="1:15" x14ac:dyDescent="0.35">
      <c r="A9" s="7" t="s">
        <v>14</v>
      </c>
      <c r="B9" s="1">
        <v>15890</v>
      </c>
      <c r="C9" s="1">
        <v>18470</v>
      </c>
      <c r="D9" s="1">
        <v>34360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5" ma:contentTypeDescription="Create a new document." ma:contentTypeScope="" ma:versionID="5345ce98933d9ec1471464f61cd0e19e">
  <xsd:schema xmlns:xsd="http://www.w3.org/2001/XMLSchema" xmlns:xs="http://www.w3.org/2001/XMLSchema" xmlns:p="http://schemas.microsoft.com/office/2006/metadata/properties" xmlns:ns3="d6bf451c-e3aa-4dd1-b5a6-a95183d31bdf" targetNamespace="http://schemas.microsoft.com/office/2006/metadata/properties" ma:root="true" ma:fieldsID="22654faffaec1724d19dfafa100f8372"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d6bf451c-e3aa-4dd1-b5a6-a95183d31bdf" xsi:nil="true"/>
  </documentManagement>
</p:properties>
</file>

<file path=customXml/itemProps1.xml><?xml version="1.0" encoding="utf-8"?>
<ds:datastoreItem xmlns:ds="http://schemas.openxmlformats.org/officeDocument/2006/customXml" ds:itemID="{AFFF415A-33D3-463B-BFA3-D9A19DE4E1BE}">
  <ds:schemaRefs>
    <ds:schemaRef ds:uri="http://schemas.microsoft.com/sharepoint/v3/contenttype/forms"/>
  </ds:schemaRefs>
</ds:datastoreItem>
</file>

<file path=customXml/itemProps2.xml><?xml version="1.0" encoding="utf-8"?>
<ds:datastoreItem xmlns:ds="http://schemas.openxmlformats.org/officeDocument/2006/customXml" ds:itemID="{109069CC-F5B0-41C8-A562-9A9F14DD66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CF33A2-6203-403A-A9A5-D6E7AA847389}">
  <ds:schemaRefs>
    <ds:schemaRef ds:uri="http://schemas.microsoft.com/DataMashup"/>
  </ds:schemaRefs>
</ds:datastoreItem>
</file>

<file path=customXml/itemProps4.xml><?xml version="1.0" encoding="utf-8"?>
<ds:datastoreItem xmlns:ds="http://schemas.openxmlformats.org/officeDocument/2006/customXml" ds:itemID="{6E47C62D-0056-4B13-A89C-A92189D6B2DB}">
  <ds:schemaRef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d6bf451c-e3aa-4dd1-b5a6-a95183d31bdf"/>
    <ds:schemaRef ds:uri="http://schemas.microsoft.com/office/2006/metadata/properties"/>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Saudia_Sales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2026-07-12T14:23:28Z</dcterms:created>
  <dcterms:modified xsi:type="dcterms:W3CDTF">2026-07-12T15:16:07Z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