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ata-Analysis-and-AI-85Days\Month-1\Day-10\"/>
    </mc:Choice>
  </mc:AlternateContent>
  <xr:revisionPtr revIDLastSave="0" documentId="8_{051CFDA1-583D-4A7B-8D08-9C7308FA900A}" xr6:coauthVersionLast="47" xr6:coauthVersionMax="47" xr10:uidLastSave="{00000000-0000-0000-0000-000000000000}"/>
  <bookViews>
    <workbookView xWindow="-110" yWindow="-110" windowWidth="19420" windowHeight="11500" xr2:uid="{32196388-CACF-4670-A430-723426D052A8}"/>
  </bookViews>
  <sheets>
    <sheet name="Sheet1" sheetId="1" r:id="rId1"/>
  </sheets>
  <definedNames>
    <definedName name="Slicer_Role">#N/A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<sst xmlns="http://schemas.openxmlformats.org/spreadsheetml/2006/main" count="79" uniqueCount="29">
  <si>
    <t>Employee_ID</t>
  </si>
  <si>
    <t>Role</t>
  </si>
  <si>
    <t>Salary_SAR</t>
  </si>
  <si>
    <t>Agent</t>
  </si>
  <si>
    <t>Senior_Agent</t>
  </si>
  <si>
    <t>Team_Lead</t>
  </si>
  <si>
    <t>Supervisor</t>
  </si>
  <si>
    <t>Manager</t>
  </si>
  <si>
    <t>Director</t>
  </si>
  <si>
    <t>Head</t>
  </si>
  <si>
    <t>Salary Analysis Report: Riyadh Customer Service</t>
  </si>
  <si>
    <t>Mean</t>
  </si>
  <si>
    <t>Standard Error</t>
  </si>
  <si>
    <t>Median</t>
  </si>
  <si>
    <t>Standard Deviation</t>
  </si>
  <si>
    <t>Sample Variance</t>
  </si>
  <si>
    <t>Kurtosis</t>
  </si>
  <si>
    <t>Skewness</t>
  </si>
  <si>
    <t>Range</t>
  </si>
  <si>
    <t>Minimum</t>
  </si>
  <si>
    <t>Maximum</t>
  </si>
  <si>
    <t>Sum</t>
  </si>
  <si>
    <t>Count</t>
  </si>
  <si>
    <t>Salary Descriptive Statistics</t>
  </si>
  <si>
    <t>Metric</t>
  </si>
  <si>
    <t>Value</t>
  </si>
  <si>
    <t>Grand Total</t>
  </si>
  <si>
    <t>Job Role</t>
  </si>
  <si>
    <t>Total of Salary (SAR)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</si>
</sst>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1]\ #,##0"/>
    <numFmt numFmtId="165" formatCode="0.0"/>
  </numFmts>
  <fonts count="4">
    <font>
      <sz val="11"/>
      <color theme="1"/>
      <name val="Aptos Narrow"/>
      <family val="2"/>
      <scheme val="minor"/>
    </font>
    <font>
      <b/>
      <sz val="12"/>
      <color theme="0"/>
      <name val="Aptos Narrow"/>
      <family val="2"/>
      <scheme val="minor"/>
    </font>
    <font>
      <i/>
      <sz val="11"/>
      <color theme="1"/>
      <name val="Aptos Narrow"/>
      <family val="2"/>
      <scheme val="minor"/>
    </font>
    <font>
      <b/>
      <i/>
      <sz val="12"/>
      <color theme="1"/>
      <name val="Aptos Narrow"/>
      <family val="2"/>
      <scheme val="minor"/>
    </font>
  </fonts>
  <fills count="5">
    <fill>
      <patternFill patternType="none"/>
    </fill>
    <fill>
      <patternFill patternType="gray125"/>
    </fill>
    <fill>
      <patternFill patternType="solid">
        <fgColor theme="6" tint="0.39997558519241921"/>
        <bgColor indexed="64"/>
      </patternFill>
    </fill>
    <fill>
      <patternFill patternType="solid">
        <fgColor theme="6" tint="-0.249977111117893"/>
        <bgColor indexed="64"/>
      </patternFill>
    </fill>
    <fill>
      <patternFill patternType="solid">
        <fgColor theme="9"/>
        <bgColor indexed="64"/>
      </patternFill>
    </fill>
  </fills>
  <borders count="3">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4" borderId="0" xfId="0" applyFill="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0" fillId="0" borderId="2" xfId="0" applyBorder="1"/>
    <xf numFmtId="0" fontId="0" fillId="0" borderId="2" xfId="0" applyBorder="1" applyAlignment="1">
      <alignment horizontal="center" vertical="center"/>
    </xf>
    <xf numFmtId="164" fontId="0" fillId="0" borderId="2" xfId="0" applyNumberFormat="1" applyBorder="1" applyAlignment="1">
      <alignment horizontal="center" vertical="center"/>
    </xf>
    <xf numFmtId="165" fontId="0" fillId="0" borderId="2" xfId="0" applyNumberFormat="1" applyBorder="1" applyAlignment="1">
      <alignment horizontal="center" vertical="center"/>
    </xf>
    <xf numFmtId="0" fontId="2" fillId="0" borderId="0" xfId="0" applyFont="1" applyAlignment="1">
      <alignment horizontal="center"/>
    </xf>
    <xf numFmtId="0" fontId="3" fillId="2" borderId="1" xfId="0" applyFont="1" applyFill="1" applyBorder="1" applyAlignment="1">
      <alignment horizontal="center"/>
    </xf>
    <xf numFmtId="0" fontId="1" fillId="3" borderId="0" xfId="0" applyFont="1" applyFill="1" applyAlignment="1">
      <alignment horizontal="center" vertical="center"/>
    </xf>
  </cellXfs>
  <cellStyles count="1">
    <cellStyle name="Normal" xfId="0" builtinId="0"/>
  </cellStyles>
  <dxfs count="8">
    <dxf>
      <numFmt numFmtId="164" formatCode="[$⃁-401]\ #,##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ttom style="medium">
          <color indexed="64"/>
        </bottom>
      </border>
    </dxf>
    <dxf>
      <fill>
        <patternFill patternType="none">
          <fgColor indexed="64"/>
          <bgColor indexed="65"/>
        </patternFill>
      </fill>
      <alignment horizontal="center" vertical="center" textRotation="0" wrapText="0" indent="0" justifyLastLine="0" shrinkToFit="0" readingOrder="0"/>
    </dxf>
    <dxf>
      <numFmt numFmtId="164" formatCode="[$⃁-401]\ #,##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9"/>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1.xml"/><Relationship Id="rId7" Type="http://schemas.microsoft.com/office/2017/10/relationships/person" Target="persons/perso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[Riyadh_Customer_Service_Salary_Analysis.xlsx]Sheet1!PivotTable1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tx2">
                    <a:lumMod val="50000"/>
                    <a:lumOff val="50000"/>
                  </a:schemeClr>
                </a:solidFill>
              </a:rPr>
              <a:t>Salary Distribution by Job Role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cat>
            <c:strRef>
              <c:f>Sheet1!$F$4:$F$11</c:f>
              <c:strCache>
                <c:ptCount val="7"/>
                <c:pt idx="0">
                  <c:v>Agent</c:v>
                </c:pt>
                <c:pt idx="1">
                  <c:v>Senior_Agent</c:v>
                </c:pt>
                <c:pt idx="2">
                  <c:v>Team_Lead</c:v>
                </c:pt>
                <c:pt idx="3">
                  <c:v>Supervisor</c:v>
                </c:pt>
                <c:pt idx="4">
                  <c:v>Manager</c:v>
                </c:pt>
                <c:pt idx="5">
                  <c:v>Director</c:v>
                </c:pt>
                <c:pt idx="6">
                  <c:v>Head</c:v>
                </c:pt>
              </c:strCache>
            </c:strRef>
          </c:cat>
          <c:val>
            <c:numRef>
              <c:f>Sheet1!$G$4:$G$11</c:f>
              <c:numCache>
                <c:formatCode>[$⃁-401]\ #,##0</c:formatCode>
                <c:ptCount val="7"/>
                <c:pt idx="0">
                  <c:v>5686.8</c:v>
                </c:pt>
                <c:pt idx="1">
                  <c:v>7784.6153846153848</c:v>
                </c:pt>
                <c:pt idx="2">
                  <c:v>11866.666666666666</c:v>
                </c:pt>
                <c:pt idx="3">
                  <c:v>15000</c:v>
                </c:pt>
                <c:pt idx="4">
                  <c:v>24000</c:v>
                </c:pt>
                <c:pt idx="5">
                  <c:v>30000</c:v>
                </c:pt>
                <c:pt idx="6">
                  <c:v>45000</c:v>
                </c:pt>
              </c:numCache>
            </c:numRef>
          </c:val>
          <c:extLst>
            <c:ext xmlns:c16="http://schemas.microsoft.com/office/drawing/2014/chart" uri="{C3380CC4-5D6E-409C-BE32-E72D297353CC}">
              <c16:uniqueId val="{00000000-FDCF-4FE9-A5E4-43CEFE357A49}"/>
            </c:ext>
          </c:extLst>
        </c:ser>
        <c:dLbls>
          <c:dLblPos val="outEnd"/>
          <c:showLegendKey val="0"/>
          <c:showVal val="1"/>
          <c:showCatName val="0"/>
          <c:showSerName val="0"/>
          <c:showPercent val="0"/>
          <c:showBubbleSize val="0"/>
        </c:dLbls>
        <c:gapWidth val="315"/>
        <c:overlap val="-40"/>
        <c:axId val="848251279"/>
        <c:axId val="598400975"/>
      </c:barChart>
      <c:catAx>
        <c:axId val="8482512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8400975"/>
        <c:crosses val="autoZero"/>
        <c:auto val="1"/>
        <c:lblAlgn val="ctr"/>
        <c:lblOffset val="100"/>
        <c:noMultiLvlLbl val="0"/>
      </c:catAx>
      <c:valAx>
        <c:axId val="5984009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01]\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825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228023</xdr:colOff>
      <xdr:row>1</xdr:row>
      <xdr:rowOff>66899</xdr:rowOff>
    </xdr:from>
    <xdr:to>
      <xdr:col>10</xdr:col>
      <xdr:colOff>228793</xdr:colOff>
      <xdr:row>14</xdr:row>
      <xdr:rowOff>32071</xdr:rowOff>
    </xdr:to>
    <mc:AlternateContent xmlns:mc="http://schemas.openxmlformats.org/markup-compatibility/2006" xmlns:a14="http://schemas.microsoft.com/office/drawing/2010/main">
      <mc:Choice Requires="a14">
        <xdr:graphicFrame macro="">
          <xdr:nvGraphicFramePr>
            <xdr:cNvPr id="2" name="Filter by Role">
              <a:extLst>
                <a:ext uri="{FF2B5EF4-FFF2-40B4-BE49-F238E27FC236}">
                  <a16:creationId xmlns:a16="http://schemas.microsoft.com/office/drawing/2014/main" id="{C20B84F4-4814-C48F-E04F-3FED9A39E696}"/>
                </a:ext>
              </a:extLst>
            </xdr:cNvPr>
            <xdr:cNvGraphicFramePr/>
          </xdr:nvGraphicFramePr>
          <xdr:xfrm>
            <a:off x="0" y="0"/>
            <a:ext cx="0" cy="0"/>
          </xdr:xfrm>
          <a:graphic>
            <a:graphicData uri="http://schemas.microsoft.com/office/drawing/2010/slicer">
              <sle:slicer xmlns:sle="http://schemas.microsoft.com/office/drawing/2010/slicer" name="Filter by Role"/>
            </a:graphicData>
          </a:graphic>
        </xdr:graphicFrame>
      </mc:Choice>
      <mc:Fallback xmlns="">
        <xdr:sp macro="" textlink="">
          <xdr:nvSpPr>
            <xdr:cNvPr id="0" name=""/>
            <xdr:cNvSpPr>
              <a:spLocks noTextEdit="1"/>
            </xdr:cNvSpPr>
          </xdr:nvSpPr>
          <xdr:spPr>
            <a:xfrm>
              <a:off x="6419273" y="257399"/>
              <a:ext cx="1810520" cy="24575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266829</xdr:colOff>
      <xdr:row>15</xdr:row>
      <xdr:rowOff>17063</xdr:rowOff>
    </xdr:from>
    <xdr:to>
      <xdr:col>11</xdr:col>
      <xdr:colOff>532373</xdr:colOff>
      <xdr:row>29</xdr:row>
      <xdr:rowOff>149708</xdr:rowOff>
    </xdr:to>
    <xdr:graphicFrame macro="">
      <xdr:nvGraphicFramePr>
        <xdr:cNvPr id="3" name="Chart 2">
          <a:extLst>
            <a:ext uri="{FF2B5EF4-FFF2-40B4-BE49-F238E27FC236}">
              <a16:creationId xmlns:a16="http://schemas.microsoft.com/office/drawing/2014/main" id="{2B80C6C3-D593-7595-3A0C-73E615574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10.674807870368" createdVersion="8" refreshedVersion="8" minRefreshableVersion="3" recordCount="50" xr:uid="{FA42F13D-1E93-4574-B0D2-AA761DEF8408}">
  <cacheSource type="worksheet">
    <worksheetSource name="Table2"/>
  </cacheSource>
  <cacheFields count="3">
    <cacheField name="Employee_ID" numFmtId="0">
      <sharedItems containsSemiMixedTypes="0" containsString="0" containsNumber="1" containsInteger="1" minValue="1" maxValue="50"/>
    </cacheField>
    <cacheField name="Role" numFmtId="0">
      <sharedItems count="7">
        <s v="Agent"/>
        <s v="Senior_Agent"/>
        <s v="Team_Lead"/>
        <s v="Supervisor"/>
        <s v="Manager"/>
        <s v="Director"/>
        <s v="Head"/>
      </sharedItems>
    </cacheField>
    <cacheField name="Salary_SAR" numFmtId="164">
      <sharedItems containsSemiMixedTypes="0" containsString="0" containsNumber="1" containsInteger="1" minValue="5100" maxValue="45000"/>
    </cacheField>
  </cacheFields>
  <extLst>
    <ext xmlns:x14="http://schemas.microsoft.com/office/spreadsheetml/2009/9/main" uri="{725AE2AE-9491-48be-B2B4-4EB974FC3084}">
      <x14:pivotCacheDefinition pivotCacheId="374523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n v="5400"/>
  </r>
  <r>
    <n v="2"/>
    <x v="0"/>
    <n v="5600"/>
  </r>
  <r>
    <n v="3"/>
    <x v="0"/>
    <n v="5200"/>
  </r>
  <r>
    <n v="4"/>
    <x v="0"/>
    <n v="5900"/>
  </r>
  <r>
    <n v="5"/>
    <x v="0"/>
    <n v="6100"/>
  </r>
  <r>
    <n v="6"/>
    <x v="0"/>
    <n v="5300"/>
  </r>
  <r>
    <n v="7"/>
    <x v="0"/>
    <n v="5800"/>
  </r>
  <r>
    <n v="8"/>
    <x v="0"/>
    <n v="5700"/>
  </r>
  <r>
    <n v="9"/>
    <x v="0"/>
    <n v="6000"/>
  </r>
  <r>
    <n v="10"/>
    <x v="0"/>
    <n v="5500"/>
  </r>
  <r>
    <n v="11"/>
    <x v="0"/>
    <n v="5450"/>
  </r>
  <r>
    <n v="12"/>
    <x v="0"/>
    <n v="6250"/>
  </r>
  <r>
    <n v="13"/>
    <x v="0"/>
    <n v="5100"/>
  </r>
  <r>
    <n v="14"/>
    <x v="0"/>
    <n v="5950"/>
  </r>
  <r>
    <n v="15"/>
    <x v="0"/>
    <n v="5350"/>
  </r>
  <r>
    <n v="16"/>
    <x v="0"/>
    <n v="5650"/>
  </r>
  <r>
    <n v="17"/>
    <x v="0"/>
    <n v="5850"/>
  </r>
  <r>
    <n v="18"/>
    <x v="0"/>
    <n v="5750"/>
  </r>
  <r>
    <n v="19"/>
    <x v="0"/>
    <n v="6050"/>
  </r>
  <r>
    <n v="20"/>
    <x v="0"/>
    <n v="5250"/>
  </r>
  <r>
    <n v="21"/>
    <x v="0"/>
    <n v="5550"/>
  </r>
  <r>
    <n v="22"/>
    <x v="0"/>
    <n v="5620"/>
  </r>
  <r>
    <n v="23"/>
    <x v="0"/>
    <n v="5780"/>
  </r>
  <r>
    <n v="24"/>
    <x v="0"/>
    <n v="5920"/>
  </r>
  <r>
    <n v="25"/>
    <x v="0"/>
    <n v="6150"/>
  </r>
  <r>
    <n v="26"/>
    <x v="1"/>
    <n v="7500"/>
  </r>
  <r>
    <n v="27"/>
    <x v="1"/>
    <n v="7800"/>
  </r>
  <r>
    <n v="28"/>
    <x v="1"/>
    <n v="7200"/>
  </r>
  <r>
    <n v="29"/>
    <x v="1"/>
    <n v="8100"/>
  </r>
  <r>
    <n v="30"/>
    <x v="1"/>
    <n v="7900"/>
  </r>
  <r>
    <n v="31"/>
    <x v="1"/>
    <n v="7600"/>
  </r>
  <r>
    <n v="32"/>
    <x v="1"/>
    <n v="8300"/>
  </r>
  <r>
    <n v="33"/>
    <x v="1"/>
    <n v="7400"/>
  </r>
  <r>
    <n v="34"/>
    <x v="1"/>
    <n v="8000"/>
  </r>
  <r>
    <n v="35"/>
    <x v="1"/>
    <n v="7700"/>
  </r>
  <r>
    <n v="36"/>
    <x v="1"/>
    <n v="8200"/>
  </r>
  <r>
    <n v="37"/>
    <x v="1"/>
    <n v="7550"/>
  </r>
  <r>
    <n v="38"/>
    <x v="1"/>
    <n v="7950"/>
  </r>
  <r>
    <n v="39"/>
    <x v="2"/>
    <n v="11500"/>
  </r>
  <r>
    <n v="40"/>
    <x v="2"/>
    <n v="12000"/>
  </r>
  <r>
    <n v="41"/>
    <x v="2"/>
    <n v="11800"/>
  </r>
  <r>
    <n v="42"/>
    <x v="2"/>
    <n v="12500"/>
  </r>
  <r>
    <n v="43"/>
    <x v="2"/>
    <n v="11200"/>
  </r>
  <r>
    <n v="44"/>
    <x v="2"/>
    <n v="12200"/>
  </r>
  <r>
    <n v="45"/>
    <x v="3"/>
    <n v="14500"/>
  </r>
  <r>
    <n v="46"/>
    <x v="3"/>
    <n v="15000"/>
  </r>
  <r>
    <n v="47"/>
    <x v="3"/>
    <n v="15500"/>
  </r>
  <r>
    <n v="48"/>
    <x v="4"/>
    <n v="24000"/>
  </r>
  <r>
    <n v="49"/>
    <x v="5"/>
    <n v="30000"/>
  </r>
  <r>
    <n v="50"/>
    <x v="6"/>
    <n v="4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432F8E-D67E-45A6-A353-2EF8F8A92C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Job Role">
  <location ref="F3:G11" firstHeaderRow="1" firstDataRow="1" firstDataCol="1"/>
  <pivotFields count="3">
    <pivotField showAll="0"/>
    <pivotField axis="axisRow" showAll="0" sortType="ascending">
      <items count="8">
        <item x="0"/>
        <item x="5"/>
        <item x="6"/>
        <item x="4"/>
        <item x="1"/>
        <item x="3"/>
        <item x="2"/>
        <item t="default"/>
      </items>
      <autoSortScope>
        <pivotArea dataOnly="0" outline="0" fieldPosition="0">
          <references count="1">
            <reference field="4294967294" count="1" selected="0">
              <x v="0"/>
            </reference>
          </references>
        </pivotArea>
      </autoSortScope>
    </pivotField>
    <pivotField dataField="1" numFmtId="164" showAll="0"/>
  </pivotFields>
  <rowFields count="1">
    <field x="1"/>
  </rowFields>
  <rowItems count="8">
    <i>
      <x/>
    </i>
    <i>
      <x v="4"/>
    </i>
    <i>
      <x v="6"/>
    </i>
    <i>
      <x v="5"/>
    </i>
    <i>
      <x v="3"/>
    </i>
    <i>
      <x v="1"/>
    </i>
    <i>
      <x v="2"/>
    </i>
    <i t="grand">
      <x/>
    </i>
  </rowItems>
  <colItems count="1">
    <i/>
  </colItems>
  <dataFields count="1">
    <dataField name="Total of Salary (SAR)" fld="2" subtotal="average" baseField="1"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F76DD197-37CE-4181-A63E-FF71EDE71BB2}" sourceName="Role">
  <pivotTables>
    <pivotTable tabId="1" name="PivotTable1"/>
  </pivotTables>
  <data>
    <tabular pivotCacheId="374523041">
      <items count="7">
        <i x="0" s="1"/>
        <i x="5" s="1"/>
        <i x="6"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Role" xr10:uid="{5C21BB87-E645-4691-AD0B-9AE2EFD3B26D}" cache="Slicer_Role" caption="Filter by Rol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B2A166-02C5-479B-A958-0A6E26984D04}" name="Table2" displayName="Table2" ref="A3:C53" totalsRowShown="0" headerRowDxfId="7">
  <autoFilter ref="A3:C53" xr:uid="{E7B2A166-02C5-479B-A958-0A6E26984D04}">
    <filterColumn colId="0" hiddenButton="1"/>
    <filterColumn colId="1" hiddenButton="1"/>
    <filterColumn colId="2" hiddenButton="1"/>
  </autoFilter>
  <tableColumns count="3">
    <tableColumn id="1" xr3:uid="{8C26EC55-72D0-4C06-8972-930F42293EEF}" name="Employee_ID" dataDxfId="6"/>
    <tableColumn id="2" xr3:uid="{64F2B3AE-F32F-478C-94B3-A70D797841A6}" name="Role" dataDxfId="5"/>
    <tableColumn id="3" xr3:uid="{F5136AB3-118A-4629-BF93-E4F4117F0A3E}" name="Salary_SAR" dataDxfId="4"/>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28F7C1-8EC1-43AE-B444-3A0BEDE4839E}" name="Table3" displayName="Table3" ref="M3:N15" totalsRowShown="0" headerRowDxfId="3" tableBorderDxfId="2">
  <autoFilter ref="M3:N15" xr:uid="{0C28F7C1-8EC1-43AE-B444-3A0BEDE4839E}">
    <filterColumn colId="0" hiddenButton="1"/>
    <filterColumn colId="1" hiddenButton="1"/>
  </autoFilter>
  <tableColumns count="2">
    <tableColumn id="1" xr3:uid="{25F78ED5-BB75-4BEC-B5E3-6019D0747931}" name="Metric" dataDxfId="1"/>
    <tableColumn id="2" xr3:uid="{ABAA37FC-D31B-441A-BAD0-7876386650AA}" name="Value" dataDxfId="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86F6A-1E93-49B4-931D-B0F83CAF701F}">
  <dimension ref="A1:N53"/>
  <sheetViews>
    <sheetView showGridLines="0" tabSelected="1" zoomScale="40" zoomScaleNormal="40" workbookViewId="0">
      <selection activeCell="AF18" sqref="AF18"/>
    </sheetView>
  </sheetViews>
  <sheetFormatPr defaultRowHeight="14.5"/>
  <cols>
    <col min="1" max="1" width="16.1796875" bestFit="1" customWidth="1"/>
    <col min="2" max="2" width="11.36328125" bestFit="1" customWidth="1"/>
    <col min="3" max="3" width="14.7265625" bestFit="1" customWidth="1"/>
    <col min="6" max="6" width="11.453125" bestFit="1" customWidth="1"/>
    <col min="7" max="7" width="17.81640625" bestFit="1" customWidth="1"/>
    <col min="13" max="13" width="16.36328125" bestFit="1" customWidth="1"/>
    <col min="14" max="14" width="12.453125" bestFit="1" customWidth="1"/>
  </cols>
  <sheetData>
    <row r="1" spans="1:14" ht="15" customHeight="1" thickBot="1">
      <c r="A1" s="12" t="s">
        <v>10</v>
      </c>
      <c r="B1" s="12"/>
      <c r="C1" s="12"/>
      <c r="D1" s="12"/>
      <c r="E1" s="12"/>
    </row>
    <row r="2" spans="1:14" ht="16">
      <c r="A2" s="12"/>
      <c r="B2" s="12"/>
      <c r="C2" s="12"/>
      <c r="D2" s="12"/>
      <c r="E2" s="12"/>
      <c r="M2" s="11" t="s">
        <v>23</v>
      </c>
      <c r="N2" s="11"/>
    </row>
    <row r="3" spans="1:14">
      <c r="A3" s="1" t="s">
        <v>0</v>
      </c>
      <c r="B3" s="1" t="s">
        <v>1</v>
      </c>
      <c r="C3" s="1" t="s">
        <v>2</v>
      </c>
      <c r="F3" s="3" t="s">
        <v>27</v>
      </c>
      <c r="G3" t="s">
        <v>28</v>
      </c>
      <c r="M3" s="2" t="s">
        <v>24</v>
      </c>
      <c r="N3" s="2" t="s">
        <v>25</v>
      </c>
    </row>
    <row r="4" spans="1:14">
      <c r="A4" s="7">
        <v>1</v>
      </c>
      <c r="B4" s="7" t="s">
        <v>3</v>
      </c>
      <c r="C4" s="8">
        <v>5400</v>
      </c>
      <c r="F4" s="4" t="s">
        <v>3</v>
      </c>
      <c r="G4" s="5">
        <v>5686.8</v>
      </c>
      <c r="M4" s="7" t="s">
        <v>11</v>
      </c>
      <c r="N4" s="8">
        <v>9171.4</v>
      </c>
    </row>
    <row r="5" spans="1:14">
      <c r="A5" s="7">
        <v>2</v>
      </c>
      <c r="B5" s="7" t="s">
        <v>3</v>
      </c>
      <c r="C5" s="8">
        <v>5600</v>
      </c>
      <c r="F5" s="4" t="s">
        <v>4</v>
      </c>
      <c r="G5" s="5">
        <v>7784.6153846153848</v>
      </c>
      <c r="M5" s="7" t="s">
        <v>12</v>
      </c>
      <c r="N5" s="8">
        <v>993.19579055055749</v>
      </c>
    </row>
    <row r="6" spans="1:14">
      <c r="A6" s="7">
        <v>3</v>
      </c>
      <c r="B6" s="7" t="s">
        <v>3</v>
      </c>
      <c r="C6" s="8">
        <v>5200</v>
      </c>
      <c r="F6" s="4" t="s">
        <v>5</v>
      </c>
      <c r="G6" s="5">
        <v>11866.666666666666</v>
      </c>
      <c r="M6" s="7" t="s">
        <v>13</v>
      </c>
      <c r="N6" s="8">
        <v>6725</v>
      </c>
    </row>
    <row r="7" spans="1:14">
      <c r="A7" s="7">
        <v>4</v>
      </c>
      <c r="B7" s="7" t="s">
        <v>3</v>
      </c>
      <c r="C7" s="8">
        <v>5900</v>
      </c>
      <c r="F7" s="4" t="s">
        <v>6</v>
      </c>
      <c r="G7" s="5">
        <v>15000</v>
      </c>
      <c r="M7" s="7" t="s">
        <v>14</v>
      </c>
      <c r="N7" s="8">
        <v>7022.9547854423317</v>
      </c>
    </row>
    <row r="8" spans="1:14">
      <c r="A8" s="7">
        <v>5</v>
      </c>
      <c r="B8" s="7" t="s">
        <v>3</v>
      </c>
      <c r="C8" s="8">
        <v>6100</v>
      </c>
      <c r="F8" s="4" t="s">
        <v>7</v>
      </c>
      <c r="G8" s="5">
        <v>24000</v>
      </c>
      <c r="M8" s="7" t="s">
        <v>15</v>
      </c>
      <c r="N8" s="9">
        <v>49321893.918367349</v>
      </c>
    </row>
    <row r="9" spans="1:14">
      <c r="A9" s="7">
        <v>6</v>
      </c>
      <c r="B9" s="7" t="s">
        <v>3</v>
      </c>
      <c r="C9" s="8">
        <v>5300</v>
      </c>
      <c r="F9" s="4" t="s">
        <v>8</v>
      </c>
      <c r="G9" s="5">
        <v>30000</v>
      </c>
      <c r="M9" s="7" t="s">
        <v>16</v>
      </c>
      <c r="N9" s="9">
        <v>14.750746578978276</v>
      </c>
    </row>
    <row r="10" spans="1:14">
      <c r="A10" s="7">
        <v>7</v>
      </c>
      <c r="B10" s="7" t="s">
        <v>3</v>
      </c>
      <c r="C10" s="8">
        <v>5800</v>
      </c>
      <c r="F10" s="4" t="s">
        <v>9</v>
      </c>
      <c r="G10" s="5">
        <v>45000</v>
      </c>
      <c r="M10" s="7" t="s">
        <v>17</v>
      </c>
      <c r="N10" s="9">
        <v>3.5531978281890599</v>
      </c>
    </row>
    <row r="11" spans="1:14">
      <c r="A11" s="7">
        <v>8</v>
      </c>
      <c r="B11" s="7" t="s">
        <v>3</v>
      </c>
      <c r="C11" s="8">
        <v>5700</v>
      </c>
      <c r="F11" s="4" t="s">
        <v>26</v>
      </c>
      <c r="G11" s="5">
        <v>9171.4</v>
      </c>
      <c r="M11" s="7" t="s">
        <v>18</v>
      </c>
      <c r="N11" s="8">
        <v>39900</v>
      </c>
    </row>
    <row r="12" spans="1:14">
      <c r="A12" s="7">
        <v>9</v>
      </c>
      <c r="B12" s="7" t="s">
        <v>3</v>
      </c>
      <c r="C12" s="8">
        <v>6000</v>
      </c>
      <c r="M12" s="7" t="s">
        <v>19</v>
      </c>
      <c r="N12" s="8">
        <v>5100</v>
      </c>
    </row>
    <row r="13" spans="1:14">
      <c r="A13" s="7">
        <v>10</v>
      </c>
      <c r="B13" s="7" t="s">
        <v>3</v>
      </c>
      <c r="C13" s="8">
        <v>5500</v>
      </c>
      <c r="M13" s="7" t="s">
        <v>20</v>
      </c>
      <c r="N13" s="8">
        <v>45000</v>
      </c>
    </row>
    <row r="14" spans="1:14">
      <c r="A14" s="7">
        <v>11</v>
      </c>
      <c r="B14" s="7" t="s">
        <v>3</v>
      </c>
      <c r="C14" s="8">
        <v>5450</v>
      </c>
      <c r="M14" s="7" t="s">
        <v>21</v>
      </c>
      <c r="N14" s="8">
        <v>458570</v>
      </c>
    </row>
    <row r="15" spans="1:14">
      <c r="A15" s="7">
        <v>12</v>
      </c>
      <c r="B15" s="7" t="s">
        <v>3</v>
      </c>
      <c r="C15" s="8">
        <v>6250</v>
      </c>
      <c r="M15" s="7" t="s">
        <v>22</v>
      </c>
      <c r="N15" s="7">
        <v>50</v>
      </c>
    </row>
    <row r="16" spans="1:14">
      <c r="A16" s="7">
        <v>13</v>
      </c>
      <c r="B16" s="7" t="s">
        <v>3</v>
      </c>
      <c r="C16" s="8">
        <v>5100</v>
      </c>
    </row>
    <row r="17" spans="1:14">
      <c r="A17" s="7">
        <v>14</v>
      </c>
      <c r="B17" s="7" t="s">
        <v>3</v>
      </c>
      <c r="C17" s="8">
        <v>5950</v>
      </c>
      <c r="M17" s="10"/>
      <c r="N17" s="10"/>
    </row>
    <row r="18" spans="1:14">
      <c r="A18" s="7">
        <v>15</v>
      </c>
      <c r="B18" s="7" t="s">
        <v>3</v>
      </c>
      <c r="C18" s="8">
        <v>5350</v>
      </c>
    </row>
    <row r="19" spans="1:14">
      <c r="A19" s="7">
        <v>16</v>
      </c>
      <c r="B19" s="7" t="s">
        <v>3</v>
      </c>
      <c r="C19" s="8">
        <v>5650</v>
      </c>
    </row>
    <row r="20" spans="1:14">
      <c r="A20" s="7">
        <v>17</v>
      </c>
      <c r="B20" s="7" t="s">
        <v>3</v>
      </c>
      <c r="C20" s="8">
        <v>5850</v>
      </c>
    </row>
    <row r="21" spans="1:14">
      <c r="A21" s="7">
        <v>18</v>
      </c>
      <c r="B21" s="7" t="s">
        <v>3</v>
      </c>
      <c r="C21" s="8">
        <v>5750</v>
      </c>
    </row>
    <row r="22" spans="1:14">
      <c r="A22" s="7">
        <v>19</v>
      </c>
      <c r="B22" s="7" t="s">
        <v>3</v>
      </c>
      <c r="C22" s="8">
        <v>6050</v>
      </c>
    </row>
    <row r="23" spans="1:14">
      <c r="A23" s="7">
        <v>20</v>
      </c>
      <c r="B23" s="7" t="s">
        <v>3</v>
      </c>
      <c r="C23" s="8">
        <v>5250</v>
      </c>
    </row>
    <row r="24" spans="1:14">
      <c r="A24" s="7">
        <v>21</v>
      </c>
      <c r="B24" s="7" t="s">
        <v>3</v>
      </c>
      <c r="C24" s="8">
        <v>5550</v>
      </c>
    </row>
    <row r="25" spans="1:14">
      <c r="A25" s="7">
        <v>22</v>
      </c>
      <c r="B25" s="7" t="s">
        <v>3</v>
      </c>
      <c r="C25" s="8">
        <v>5620</v>
      </c>
    </row>
    <row r="26" spans="1:14">
      <c r="A26" s="7">
        <v>23</v>
      </c>
      <c r="B26" s="7" t="s">
        <v>3</v>
      </c>
      <c r="C26" s="8">
        <v>5780</v>
      </c>
      <c r="F26" s="6"/>
    </row>
    <row r="27" spans="1:14">
      <c r="A27" s="7">
        <v>24</v>
      </c>
      <c r="B27" s="7" t="s">
        <v>3</v>
      </c>
      <c r="C27" s="8">
        <v>5920</v>
      </c>
    </row>
    <row r="28" spans="1:14">
      <c r="A28" s="7">
        <v>25</v>
      </c>
      <c r="B28" s="7" t="s">
        <v>3</v>
      </c>
      <c r="C28" s="8">
        <v>6150</v>
      </c>
    </row>
    <row r="29" spans="1:14">
      <c r="A29" s="7">
        <v>26</v>
      </c>
      <c r="B29" s="7" t="s">
        <v>4</v>
      </c>
      <c r="C29" s="8">
        <v>7500</v>
      </c>
    </row>
    <row r="30" spans="1:14">
      <c r="A30" s="7">
        <v>27</v>
      </c>
      <c r="B30" s="7" t="s">
        <v>4</v>
      </c>
      <c r="C30" s="8">
        <v>7800</v>
      </c>
    </row>
    <row r="31" spans="1:14">
      <c r="A31" s="7">
        <v>28</v>
      </c>
      <c r="B31" s="7" t="s">
        <v>4</v>
      </c>
      <c r="C31" s="8">
        <v>7200</v>
      </c>
    </row>
    <row r="32" spans="1:14">
      <c r="A32" s="7">
        <v>29</v>
      </c>
      <c r="B32" s="7" t="s">
        <v>4</v>
      </c>
      <c r="C32" s="8">
        <v>8100</v>
      </c>
    </row>
    <row r="33" spans="1:3">
      <c r="A33" s="7">
        <v>30</v>
      </c>
      <c r="B33" s="7" t="s">
        <v>4</v>
      </c>
      <c r="C33" s="8">
        <v>7900</v>
      </c>
    </row>
    <row r="34" spans="1:3">
      <c r="A34" s="7">
        <v>31</v>
      </c>
      <c r="B34" s="7" t="s">
        <v>4</v>
      </c>
      <c r="C34" s="8">
        <v>7600</v>
      </c>
    </row>
    <row r="35" spans="1:3">
      <c r="A35" s="7">
        <v>32</v>
      </c>
      <c r="B35" s="7" t="s">
        <v>4</v>
      </c>
      <c r="C35" s="8">
        <v>8300</v>
      </c>
    </row>
    <row r="36" spans="1:3">
      <c r="A36" s="7">
        <v>33</v>
      </c>
      <c r="B36" s="7" t="s">
        <v>4</v>
      </c>
      <c r="C36" s="8">
        <v>7400</v>
      </c>
    </row>
    <row r="37" spans="1:3">
      <c r="A37" s="7">
        <v>34</v>
      </c>
      <c r="B37" s="7" t="s">
        <v>4</v>
      </c>
      <c r="C37" s="8">
        <v>8000</v>
      </c>
    </row>
    <row r="38" spans="1:3">
      <c r="A38" s="7">
        <v>35</v>
      </c>
      <c r="B38" s="7" t="s">
        <v>4</v>
      </c>
      <c r="C38" s="8">
        <v>7700</v>
      </c>
    </row>
    <row r="39" spans="1:3">
      <c r="A39" s="7">
        <v>36</v>
      </c>
      <c r="B39" s="7" t="s">
        <v>4</v>
      </c>
      <c r="C39" s="8">
        <v>8200</v>
      </c>
    </row>
    <row r="40" spans="1:3">
      <c r="A40" s="7">
        <v>37</v>
      </c>
      <c r="B40" s="7" t="s">
        <v>4</v>
      </c>
      <c r="C40" s="8">
        <v>7550</v>
      </c>
    </row>
    <row r="41" spans="1:3">
      <c r="A41" s="7">
        <v>38</v>
      </c>
      <c r="B41" s="7" t="s">
        <v>4</v>
      </c>
      <c r="C41" s="8">
        <v>7950</v>
      </c>
    </row>
    <row r="42" spans="1:3">
      <c r="A42" s="7">
        <v>39</v>
      </c>
      <c r="B42" s="7" t="s">
        <v>5</v>
      </c>
      <c r="C42" s="8">
        <v>11500</v>
      </c>
    </row>
    <row r="43" spans="1:3">
      <c r="A43" s="7">
        <v>40</v>
      </c>
      <c r="B43" s="7" t="s">
        <v>5</v>
      </c>
      <c r="C43" s="8">
        <v>12000</v>
      </c>
    </row>
    <row r="44" spans="1:3">
      <c r="A44" s="7">
        <v>41</v>
      </c>
      <c r="B44" s="7" t="s">
        <v>5</v>
      </c>
      <c r="C44" s="8">
        <v>11800</v>
      </c>
    </row>
    <row r="45" spans="1:3">
      <c r="A45" s="7">
        <v>42</v>
      </c>
      <c r="B45" s="7" t="s">
        <v>5</v>
      </c>
      <c r="C45" s="8">
        <v>12500</v>
      </c>
    </row>
    <row r="46" spans="1:3">
      <c r="A46" s="7">
        <v>43</v>
      </c>
      <c r="B46" s="7" t="s">
        <v>5</v>
      </c>
      <c r="C46" s="8">
        <v>11200</v>
      </c>
    </row>
    <row r="47" spans="1:3">
      <c r="A47" s="7">
        <v>44</v>
      </c>
      <c r="B47" s="7" t="s">
        <v>5</v>
      </c>
      <c r="C47" s="8">
        <v>12200</v>
      </c>
    </row>
    <row r="48" spans="1:3">
      <c r="A48" s="7">
        <v>45</v>
      </c>
      <c r="B48" s="7" t="s">
        <v>6</v>
      </c>
      <c r="C48" s="8">
        <v>14500</v>
      </c>
    </row>
    <row r="49" spans="1:3">
      <c r="A49" s="7">
        <v>46</v>
      </c>
      <c r="B49" s="7" t="s">
        <v>6</v>
      </c>
      <c r="C49" s="8">
        <v>15000</v>
      </c>
    </row>
    <row r="50" spans="1:3">
      <c r="A50" s="7">
        <v>47</v>
      </c>
      <c r="B50" s="7" t="s">
        <v>6</v>
      </c>
      <c r="C50" s="8">
        <v>15500</v>
      </c>
    </row>
    <row r="51" spans="1:3">
      <c r="A51" s="7">
        <v>48</v>
      </c>
      <c r="B51" s="7" t="s">
        <v>7</v>
      </c>
      <c r="C51" s="8">
        <v>24000</v>
      </c>
    </row>
    <row r="52" spans="1:3">
      <c r="A52" s="7">
        <v>49</v>
      </c>
      <c r="B52" s="7" t="s">
        <v>8</v>
      </c>
      <c r="C52" s="8">
        <v>30000</v>
      </c>
    </row>
    <row r="53" spans="1:3">
      <c r="A53" s="7">
        <v>50</v>
      </c>
      <c r="B53" s="7" t="s">
        <v>9</v>
      </c>
      <c r="C53" s="8">
        <v>45000</v>
      </c>
    </row>
  </sheetData>
  <mergeCells count="3">
    <mergeCell ref="M17:N17"/>
    <mergeCell ref="M2:N2"/>
    <mergeCell ref="A1:E2"/>
  </mergeCells>
  <conditionalFormatting sqref="C4:C53">
    <cfRule type="dataBar" priority="1">
      <dataBar>
        <cfvo type="min"/>
        <cfvo type="max"/>
        <color rgb="FF63C384"/>
      </dataBar>
      <extLst>
        <ext xmlns:x14="http://schemas.microsoft.com/office/spreadsheetml/2009/9/main" uri="{B025F937-C7B1-47D3-B67F-A62EFF666E3E}">
          <x14:id>{E85FF634-A18B-4113-9B4F-077F9A3EE1E6}</x14:id>
        </ext>
      </extLst>
    </cfRule>
  </conditionalFormatting>
  <pageMargins left="0.7" right="0.7" top="0.75" bottom="0.75" header="0.3" footer="0.3"/>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E85FF634-A18B-4113-9B4F-077F9A3EE1E6}">
            <x14:dataBar minLength="0" maxLength="100" border="1" negativeBarBorderColorSameAsPositive="0">
              <x14:cfvo type="autoMin"/>
              <x14:cfvo type="autoMax"/>
              <x14:borderColor rgb="FF63C384"/>
              <x14:negativeFillColor rgb="FFFF0000"/>
              <x14:negativeBorderColor rgb="FFFF0000"/>
              <x14:axisColor rgb="FF000000"/>
            </x14:dataBar>
          </x14:cfRule>
          <xm:sqref>C4:C53</xm:sqref>
        </x14:conditionalFormatting>
      </x14:conditionalFormattings>
    </ex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6bf451c-e3aa-4dd1-b5a6-a95183d31b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5CCA8C93D93A43A1AC488E2F0D8821" ma:contentTypeVersion="5" ma:contentTypeDescription="Create a new document." ma:contentTypeScope="" ma:versionID="5345ce98933d9ec1471464f61cd0e19e">
  <xsd:schema xmlns:xsd="http://www.w3.org/2001/XMLSchema" xmlns:xs="http://www.w3.org/2001/XMLSchema" xmlns:p="http://schemas.microsoft.com/office/2006/metadata/properties" xmlns:ns3="d6bf451c-e3aa-4dd1-b5a6-a95183d31bdf" targetNamespace="http://schemas.microsoft.com/office/2006/metadata/properties" ma:root="true" ma:fieldsID="22654faffaec1724d19dfafa100f8372" ns3:_="">
    <xsd:import namespace="d6bf451c-e3aa-4dd1-b5a6-a95183d31b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bf451c-e3aa-4dd1-b5a6-a95183d31b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6ED1D6-A2C8-4A92-B59E-1A90CD0726A5}">
  <ds:schemaRefs>
    <ds:schemaRef ds:uri="http://purl.org/dc/dcmitype/"/>
    <ds:schemaRef ds:uri="http://schemas.microsoft.com/office/2006/documentManagement/types"/>
    <ds:schemaRef ds:uri="http://www.w3.org/XML/1998/namespace"/>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d6bf451c-e3aa-4dd1-b5a6-a95183d31bdf"/>
    <ds:schemaRef ds:uri="http://purl.org/dc/terms/"/>
  </ds:schemaRefs>
</ds:datastoreItem>
</file>

<file path=customXml/itemProps2.xml><?xml version="1.0" encoding="utf-8"?>
<ds:datastoreItem xmlns:ds="http://schemas.openxmlformats.org/officeDocument/2006/customXml" ds:itemID="{1FAA6EE3-6AEA-4AC3-BDFE-DD8C2CD0A3A4}">
  <ds:schemaRefs>
    <ds:schemaRef ds:uri="http://schemas.microsoft.com/sharepoint/v3/contenttype/forms"/>
  </ds:schemaRefs>
</ds:datastoreItem>
</file>

<file path=customXml/itemProps3.xml><?xml version="1.0" encoding="utf-8"?>
<ds:datastoreItem xmlns:ds="http://schemas.openxmlformats.org/officeDocument/2006/customXml" ds:itemID="{9C28B917-97FF-4E7F-8946-3A0FA44588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bf451c-e3aa-4dd1-b5a6-a95183d31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Ahmed Abdellateef Saleh</dc:creator>
  <cp:lastModifiedBy>Ahmed Mohamed Ahmed Abdellateef Saleh</cp:lastModifiedBy>
  <dcterms:created xsi:type="dcterms:W3CDTF">2026-07-07T12:54:33Z</dcterms:created>
  <dcterms:modified xsi:type="dcterms:W3CDTF">2026-07-07T13:29:41Z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0x010100C75CCA8C93D93A43A1AC488E2F0D8821</vt:lpwstr>
  </property>
</Properties>
</file>