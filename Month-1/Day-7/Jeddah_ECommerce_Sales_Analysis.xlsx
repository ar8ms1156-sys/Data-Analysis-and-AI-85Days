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ata-Analysis-and-AI-85Days\Month-1\Day-7\"/>
    </mc:Choice>
  </mc:AlternateContent>
  <xr:revisionPtr revIDLastSave="0" documentId="13_ncr:1_{5EF8902E-9C41-4F48-9EDB-46FEA4F03D38}" xr6:coauthVersionLast="47" xr6:coauthVersionMax="47" xr10:uidLastSave="{00000000-0000-0000-0000-000000000000}"/>
  <bookViews>
    <workbookView xWindow="-110" yWindow="-110" windowWidth="19420" windowHeight="11500" activeTab="1" xr2:uid="{FC9FCD97-1A9C-4E75-8C33-95C74EA81365}"/>
  </bookViews>
  <sheets>
    <sheet name="Sheet1" sheetId="1" r:id="rId1"/>
    <sheet name="Sheet2" sheetId="2" r:id="rId2"/>
  </sheets>
  <definedNames>
    <definedName name="Slicer_القسم">#N/A</definedName>
  </definedNames>
  <calcPr calcId="191029"/>
  <pivotCaches>
    <pivotCache cacheId="2"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6" i="2" l="1"/>
  <c r="I15" i="2"/>
  <c r="I5" i="2"/>
  <c r="I22" i="2"/>
  <c r="I19" i="2"/>
  <c r="I4" i="2"/>
  <c r="I20" i="2"/>
  <c r="I17" i="2"/>
  <c r="I16" i="2"/>
  <c r="I13" i="2"/>
  <c r="I10" i="2"/>
  <c r="I11" i="2"/>
  <c r="I18" i="2"/>
  <c r="I7" i="2"/>
  <c r="I9" i="2"/>
  <c r="I14" i="2"/>
  <c r="I8" i="2"/>
  <c r="I12" i="2"/>
  <c r="I23" i="2"/>
  <c r="I21" i="2"/>
  <c r="P2" i="2"/>
  <c r="I24" i="2" l="1"/>
</calcChain>
</file>

<file path=xl/sharedStrings.xml><?xml version="1.0" encoding="utf-8"?>
<sst xmlns="http://schemas.openxmlformats.org/spreadsheetml/2006/main" count="169" uniqueCount="51">
  <si>
    <t>رقم الطلب</t>
  </si>
  <si>
    <t>تاريخ الطلب</t>
  </si>
  <si>
    <t>المنتج</t>
  </si>
  <si>
    <t>القسم</t>
  </si>
  <si>
    <t>الكمية المباعة</t>
  </si>
  <si>
    <t>سعر الوحدة</t>
  </si>
  <si>
    <t>المدينة</t>
  </si>
  <si>
    <t>حليب المراعي 1 لتر</t>
  </si>
  <si>
    <t>ألبان وجبان</t>
  </si>
  <si>
    <t>جدة</t>
  </si>
  <si>
    <t>طماطم محلي كرتون</t>
  </si>
  <si>
    <t>خضار وفواكة</t>
  </si>
  <si>
    <t>جده</t>
  </si>
  <si>
    <t>مياه نوفا (كرتون)</t>
  </si>
  <si>
    <t>مشروبات</t>
  </si>
  <si>
    <t>جبنة كرافت شيدر</t>
  </si>
  <si>
    <t xml:space="preserve"> جده</t>
  </si>
  <si>
    <t>تفاح سكري كيلو</t>
  </si>
  <si>
    <t>أرز بسمتي الشعلان</t>
  </si>
  <si>
    <t>مواد غذائية</t>
  </si>
  <si>
    <t>مكة</t>
  </si>
  <si>
    <t>زيت صني للطبخ</t>
  </si>
  <si>
    <t>بصل كيس كبير</t>
  </si>
  <si>
    <t>دجاج ساديا مجمد</t>
  </si>
  <si>
    <t>لحوم ومجمدات</t>
  </si>
  <si>
    <t>صابون تايد 5 كيلو</t>
  </si>
  <si>
    <t>منظفات</t>
  </si>
  <si>
    <t>جّدة</t>
  </si>
  <si>
    <t>عطور فاخرة</t>
  </si>
  <si>
    <t>تجميل</t>
  </si>
  <si>
    <t>عباية سوداء</t>
  </si>
  <si>
    <t>أزياء</t>
  </si>
  <si>
    <t>قهوة عربية</t>
  </si>
  <si>
    <t>شاحن سريع</t>
  </si>
  <si>
    <t>إلكترونيات</t>
  </si>
  <si>
    <t>سماعات لاسلكية</t>
  </si>
  <si>
    <t>16/01/2026</t>
  </si>
  <si>
    <t>بخور دوسري</t>
  </si>
  <si>
    <t>تمر سكري ممتاز</t>
  </si>
  <si>
    <t>ثوب سعودي</t>
  </si>
  <si>
    <t>مناديل فاين</t>
  </si>
  <si>
    <t>شامبو صانصيلك</t>
  </si>
  <si>
    <t>الكمية المباعة(الريال)</t>
  </si>
  <si>
    <t>اجمالي المبيعات(الريال)</t>
  </si>
  <si>
    <t>الفرع: جدة | العملة: ريال سعودي (SAR)</t>
  </si>
  <si>
    <t>Total</t>
  </si>
  <si>
    <t>Row Labels</t>
  </si>
  <si>
    <t>Grand Total</t>
  </si>
  <si>
    <t>Sum of اجمالي المبيعات(الريال)</t>
  </si>
  <si>
    <t>اجمالي المبيعات يناير</t>
  </si>
  <si>
    <t>​📊تقرير حركة المنتجات وإجمالي الإيرادات - يناير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</si>
</sst>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401]\ #,##0.00"/>
  </numFmts>
  <fonts count="8" x14ac:knownFonts="1">
    <font>
      <sz val="11"/>
      <color theme="1"/>
      <name val="Aptos Narrow"/>
      <family val="2"/>
      <scheme val="minor"/>
    </font>
    <font>
      <sz val="8"/>
      <name val="Aptos Narrow"/>
      <family val="2"/>
      <scheme val="minor"/>
    </font>
    <font>
      <sz val="12"/>
      <color theme="1"/>
      <name val="Aptos Narrow"/>
      <family val="2"/>
      <scheme val="minor"/>
    </font>
    <font>
      <b/>
      <sz val="14"/>
      <color theme="9" tint="-0.499984740745262"/>
      <name val="Aptos Narrow"/>
      <family val="2"/>
      <scheme val="minor"/>
    </font>
    <font>
      <b/>
      <sz val="18"/>
      <color theme="1"/>
      <name val="Aptos Narrow"/>
      <family val="2"/>
      <scheme val="minor"/>
    </font>
    <font>
      <sz val="11"/>
      <color theme="1" tint="4.9989318521683403E-2"/>
      <name val="Aptos Narrow"/>
      <family val="2"/>
      <scheme val="minor"/>
    </font>
    <font>
      <b/>
      <sz val="20"/>
      <color theme="0"/>
      <name val="Aptos Narrow"/>
      <family val="2"/>
      <scheme val="minor"/>
    </font>
    <font>
      <sz val="20"/>
      <color theme="0"/>
      <name val="Aptos Narrow"/>
      <family val="2"/>
      <scheme val="minor"/>
    </font>
  </fonts>
  <fills count="6">
    <fill>
      <patternFill patternType="none"/>
    </fill>
    <fill>
      <patternFill patternType="gray125"/>
    </fill>
    <fill>
      <patternFill patternType="solid">
        <fgColor theme="9" tint="-0.49998474074526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21">
    <xf numFmtId="0" fontId="0" fillId="0" borderId="0" xfId="0"/>
    <xf numFmtId="14" fontId="0" fillId="0" borderId="0" xfId="0" applyNumberFormat="1"/>
    <xf numFmtId="15" fontId="0" fillId="0" borderId="0" xfId="0" applyNumberFormat="1"/>
    <xf numFmtId="165" fontId="0" fillId="0" borderId="0" xfId="0" applyNumberFormat="1"/>
    <xf numFmtId="165" fontId="0" fillId="0" borderId="0" xfId="0" applyNumberFormat="1" applyAlignment="1">
      <alignment horizontal="center"/>
    </xf>
    <xf numFmtId="0" fontId="0" fillId="0" borderId="1" xfId="0" applyBorder="1"/>
    <xf numFmtId="164" fontId="0" fillId="0" borderId="1" xfId="0" applyNumberFormat="1" applyBorder="1"/>
    <xf numFmtId="165" fontId="0" fillId="0" borderId="1" xfId="0" applyNumberFormat="1" applyBorder="1"/>
    <xf numFmtId="0" fontId="0" fillId="0" borderId="0" xfId="0" pivotButton="1"/>
    <xf numFmtId="0" fontId="0" fillId="0" borderId="0" xfId="0" applyAlignment="1">
      <alignment horizontal="left"/>
    </xf>
    <xf numFmtId="0" fontId="0" fillId="4" borderId="2" xfId="0" applyFill="1" applyBorder="1"/>
    <xf numFmtId="0" fontId="0" fillId="4" borderId="3" xfId="0" applyFill="1" applyBorder="1"/>
    <xf numFmtId="165" fontId="0" fillId="4" borderId="4" xfId="0" applyNumberFormat="1" applyFill="1" applyBorder="1"/>
    <xf numFmtId="0" fontId="2" fillId="0" borderId="0" xfId="0" applyFont="1"/>
    <xf numFmtId="0" fontId="5" fillId="0" borderId="0" xfId="0" applyFont="1"/>
    <xf numFmtId="0" fontId="3" fillId="3" borderId="1" xfId="0" applyFont="1" applyFill="1" applyBorder="1" applyAlignment="1">
      <alignment horizontal="center" vertical="center" textRotation="90"/>
    </xf>
    <xf numFmtId="0" fontId="6" fillId="2" borderId="1" xfId="0" applyFont="1" applyFill="1" applyBorder="1" applyAlignment="1">
      <alignment horizontal="center"/>
    </xf>
    <xf numFmtId="0" fontId="7" fillId="2" borderId="1" xfId="0" applyFont="1" applyFill="1" applyBorder="1" applyAlignment="1">
      <alignment horizontal="center"/>
    </xf>
    <xf numFmtId="165" fontId="4" fillId="5" borderId="5" xfId="0" applyNumberFormat="1" applyFont="1" applyFill="1" applyBorder="1" applyAlignment="1">
      <alignment horizontal="center"/>
    </xf>
    <xf numFmtId="0" fontId="4" fillId="5" borderId="6" xfId="0" applyFont="1" applyFill="1" applyBorder="1" applyAlignment="1">
      <alignment horizontal="center"/>
    </xf>
    <xf numFmtId="0" fontId="4" fillId="5" borderId="7" xfId="0" applyFont="1" applyFill="1" applyBorder="1" applyAlignment="1">
      <alignment horizontal="center"/>
    </xf>
  </cellXfs>
  <cellStyles count="1">
    <cellStyle name="Normal" xfId="0" builtinId="0"/>
  </cellStyles>
  <dxfs count="22">
    <dxf>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top/>
        <bottom/>
      </border>
    </dxf>
    <dxf>
      <numFmt numFmtId="165" formatCode="[$⃁-401]\ #,##0.0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numFmt numFmtId="165" formatCode="[$⃁-401]\ #,##0.0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numFmt numFmtId="164" formatCode="dd/mm/yyyy;@"/>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39997558519241921"/>
        </patternFill>
      </fill>
      <alignment horizontal="general" vertical="bottom" textRotation="0" wrapText="0" indent="0" justifyLastLine="0" shrinkToFit="0" readingOrder="0"/>
      <border diagonalUp="0" diagonalDown="0" outline="0">
        <left/>
        <right style="thin">
          <color indexed="64"/>
        </right>
        <top/>
        <bottom/>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fill>
        <patternFill patternType="solid">
          <fgColor indexed="64"/>
          <bgColor theme="6" tint="0.39997558519241921"/>
        </patternFill>
      </fill>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border outline="0">
        <bottom style="thin">
          <color indexed="64"/>
        </bottom>
      </border>
    </dxf>
    <dxf>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[Jeddah_ECommerce_Sales_Analysis.xlsx]Sheet2!PivotTable7</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Sheet2!$M$8:$M$28</c:f>
              <c:strCache>
                <c:ptCount val="20"/>
                <c:pt idx="0">
                  <c:v>أرز بسمتي الشعلان</c:v>
                </c:pt>
                <c:pt idx="1">
                  <c:v>بخور دوسري</c:v>
                </c:pt>
                <c:pt idx="2">
                  <c:v>بصل كيس كبير</c:v>
                </c:pt>
                <c:pt idx="3">
                  <c:v>تفاح سكري كيلو</c:v>
                </c:pt>
                <c:pt idx="4">
                  <c:v>تمر سكري ممتاز</c:v>
                </c:pt>
                <c:pt idx="5">
                  <c:v>ثوب سعودي</c:v>
                </c:pt>
                <c:pt idx="6">
                  <c:v>جبنة كرافت شيدر</c:v>
                </c:pt>
                <c:pt idx="7">
                  <c:v>حليب المراعي 1 لتر</c:v>
                </c:pt>
                <c:pt idx="8">
                  <c:v>دجاج ساديا مجمد</c:v>
                </c:pt>
                <c:pt idx="9">
                  <c:v>زيت صني للطبخ</c:v>
                </c:pt>
                <c:pt idx="10">
                  <c:v>سماعات لاسلكية</c:v>
                </c:pt>
                <c:pt idx="11">
                  <c:v>شاحن سريع</c:v>
                </c:pt>
                <c:pt idx="12">
                  <c:v>شامبو صانصيلك</c:v>
                </c:pt>
                <c:pt idx="13">
                  <c:v>صابون تايد 5 كيلو</c:v>
                </c:pt>
                <c:pt idx="14">
                  <c:v>طماطم محلي كرتون</c:v>
                </c:pt>
                <c:pt idx="15">
                  <c:v>عباية سوداء</c:v>
                </c:pt>
                <c:pt idx="16">
                  <c:v>عطور فاخرة</c:v>
                </c:pt>
                <c:pt idx="17">
                  <c:v>قهوة عربية</c:v>
                </c:pt>
                <c:pt idx="18">
                  <c:v>مناديل فاين</c:v>
                </c:pt>
                <c:pt idx="19">
                  <c:v>مياه نوفا (كرتون)</c:v>
                </c:pt>
              </c:strCache>
            </c:strRef>
          </c:cat>
          <c:val>
            <c:numRef>
              <c:f>Sheet2!$N$8:$N$28</c:f>
              <c:numCache>
                <c:formatCode>[$⃁-401]\ #,##0.00</c:formatCode>
                <c:ptCount val="20"/>
                <c:pt idx="0">
                  <c:v>2700</c:v>
                </c:pt>
                <c:pt idx="1">
                  <c:v>720</c:v>
                </c:pt>
                <c:pt idx="2">
                  <c:v>450</c:v>
                </c:pt>
                <c:pt idx="3">
                  <c:v>420</c:v>
                </c:pt>
                <c:pt idx="4">
                  <c:v>1400</c:v>
                </c:pt>
                <c:pt idx="5">
                  <c:v>1200</c:v>
                </c:pt>
                <c:pt idx="6">
                  <c:v>240</c:v>
                </c:pt>
                <c:pt idx="7">
                  <c:v>350</c:v>
                </c:pt>
                <c:pt idx="8">
                  <c:v>500</c:v>
                </c:pt>
                <c:pt idx="9">
                  <c:v>375</c:v>
                </c:pt>
                <c:pt idx="10">
                  <c:v>960</c:v>
                </c:pt>
                <c:pt idx="11">
                  <c:v>1200</c:v>
                </c:pt>
                <c:pt idx="12">
                  <c:v>180</c:v>
                </c:pt>
                <c:pt idx="13">
                  <c:v>720</c:v>
                </c:pt>
                <c:pt idx="14">
                  <c:v>600</c:v>
                </c:pt>
                <c:pt idx="15">
                  <c:v>750</c:v>
                </c:pt>
                <c:pt idx="16">
                  <c:v>750</c:v>
                </c:pt>
                <c:pt idx="17">
                  <c:v>450</c:v>
                </c:pt>
                <c:pt idx="18">
                  <c:v>750</c:v>
                </c:pt>
                <c:pt idx="19">
                  <c:v>1800</c:v>
                </c:pt>
              </c:numCache>
            </c:numRef>
          </c:val>
          <c:extLst>
            <c:ext xmlns:c16="http://schemas.microsoft.com/office/drawing/2014/chart" uri="{C3380CC4-5D6E-409C-BE32-E72D297353CC}">
              <c16:uniqueId val="{00000000-67AB-4918-89DD-BC4031B45526}"/>
            </c:ext>
          </c:extLst>
        </c:ser>
        <c:dLbls>
          <c:dLblPos val="outEnd"/>
          <c:showLegendKey val="0"/>
          <c:showVal val="1"/>
          <c:showCatName val="0"/>
          <c:showSerName val="0"/>
          <c:showPercent val="0"/>
          <c:showBubbleSize val="0"/>
        </c:dLbls>
        <c:gapWidth val="115"/>
        <c:overlap val="-20"/>
        <c:axId val="78437471"/>
        <c:axId val="247916784"/>
      </c:barChart>
      <c:catAx>
        <c:axId val="784374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7916784"/>
        <c:crosses val="autoZero"/>
        <c:auto val="1"/>
        <c:lblAlgn val="ctr"/>
        <c:lblOffset val="100"/>
        <c:noMultiLvlLbl val="0"/>
      </c:catAx>
      <c:valAx>
        <c:axId val="247916784"/>
        <c:scaling>
          <c:orientation val="minMax"/>
        </c:scaling>
        <c:delete val="0"/>
        <c:axPos val="b"/>
        <c:majorGridlines>
          <c:spPr>
            <a:ln w="9525" cap="flat" cmpd="sng" algn="ctr">
              <a:solidFill>
                <a:schemeClr val="lt1">
                  <a:lumMod val="95000"/>
                  <a:alpha val="10000"/>
                </a:schemeClr>
              </a:solidFill>
              <a:round/>
            </a:ln>
            <a:effectLst/>
          </c:spPr>
        </c:majorGridlines>
        <c:numFmt formatCode="[$⃁-40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43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15</xdr:col>
      <xdr:colOff>133462</xdr:colOff>
      <xdr:row>5</xdr:row>
      <xdr:rowOff>172340</xdr:rowOff>
    </xdr:from>
    <xdr:to>
      <xdr:col>17</xdr:col>
      <xdr:colOff>288424</xdr:colOff>
      <xdr:row>20</xdr:row>
      <xdr:rowOff>28905</xdr:rowOff>
    </xdr:to>
    <mc:AlternateContent xmlns:mc="http://schemas.openxmlformats.org/markup-compatibility/2006" xmlns:a14="http://schemas.microsoft.com/office/drawing/2010/main">
      <mc:Choice Requires="a14">
        <xdr:graphicFrame macro="">
          <xdr:nvGraphicFramePr>
            <xdr:cNvPr id="4" name="القسم">
              <a:extLst>
                <a:ext uri="{FF2B5EF4-FFF2-40B4-BE49-F238E27FC236}">
                  <a16:creationId xmlns:a16="http://schemas.microsoft.com/office/drawing/2014/main" id="{8C3A38FF-D87C-F422-2723-8DA72CFB8AE8}"/>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mlns="">
        <xdr:sp macro="" textlink="">
          <xdr:nvSpPr>
            <xdr:cNvPr id="0" name=""/>
            <xdr:cNvSpPr>
              <a:spLocks noTextEdit="1"/>
            </xdr:cNvSpPr>
          </xdr:nvSpPr>
          <xdr:spPr>
            <a:xfrm>
              <a:off x="13468462" y="1251840"/>
              <a:ext cx="1844062" cy="2714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6796</xdr:colOff>
      <xdr:row>21</xdr:row>
      <xdr:rowOff>22335</xdr:rowOff>
    </xdr:from>
    <xdr:to>
      <xdr:col>24</xdr:col>
      <xdr:colOff>31860</xdr:colOff>
      <xdr:row>44</xdr:row>
      <xdr:rowOff>161534</xdr:rowOff>
    </xdr:to>
    <xdr:graphicFrame macro="">
      <xdr:nvGraphicFramePr>
        <xdr:cNvPr id="5" name="Chart 4">
          <a:extLst>
            <a:ext uri="{FF2B5EF4-FFF2-40B4-BE49-F238E27FC236}">
              <a16:creationId xmlns:a16="http://schemas.microsoft.com/office/drawing/2014/main" id="{63F59CB6-CA26-DCD6-4795-E85308107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05.157411689812" createdVersion="8" refreshedVersion="8" minRefreshableVersion="3" recordCount="20" xr:uid="{6AC06ED4-794D-43DB-983D-45FE1CD86B1B}">
  <cacheSource type="worksheet">
    <worksheetSource name="Table2"/>
  </cacheSource>
  <cacheFields count="8">
    <cacheField name="رقم الطلب" numFmtId="0">
      <sharedItems containsSemiMixedTypes="0" containsString="0" containsNumber="1" containsInteger="1" minValue="1000" maxValue="1019"/>
    </cacheField>
    <cacheField name="تاريخ الطلب" numFmtId="164">
      <sharedItems containsSemiMixedTypes="0" containsNonDate="0" containsDate="1" containsString="0" minDate="2026-01-01T00:00:00" maxDate="2026-01-21T00:00:00" count="20">
        <d v="2026-01-06T00:00:00"/>
        <d v="2026-01-03T00:00:00"/>
        <d v="2026-01-17T00:00:00"/>
        <d v="2026-01-14T00:00:00"/>
        <d v="2026-01-18T00:00:00"/>
        <d v="2026-01-15T00:00:00"/>
        <d v="2026-01-11T00:00:00"/>
        <d v="2026-01-12T00:00:00"/>
        <d v="2026-01-19T00:00:00"/>
        <d v="2026-01-10T00:00:00"/>
        <d v="2026-01-16T00:00:00"/>
        <d v="2026-01-02T00:00:00"/>
        <d v="2026-01-09T00:00:00"/>
        <d v="2026-01-08T00:00:00"/>
        <d v="2026-01-13T00:00:00"/>
        <d v="2026-01-05T00:00:00"/>
        <d v="2026-01-07T00:00:00"/>
        <d v="2026-01-01T00:00:00"/>
        <d v="2026-01-04T00:00:00"/>
        <d v="2026-01-20T00:00:00"/>
      </sharedItems>
    </cacheField>
    <cacheField name="المنتج" numFmtId="0">
      <sharedItems count="20">
        <s v="أرز بسمتي الشعلان"/>
        <s v="مياه نوفا (كرتون)"/>
        <s v="تمر سكري ممتاز"/>
        <s v="شاحن سريع"/>
        <s v="ثوب سعودي"/>
        <s v="سماعات لاسلكية"/>
        <s v="عطور فاخرة"/>
        <s v="عباية سوداء"/>
        <s v="مناديل فاين"/>
        <s v="صابون تايد 5 كيلو"/>
        <s v="بخور دوسري"/>
        <s v="طماطم محلي كرتون"/>
        <s v="دجاج ساديا مجمد"/>
        <s v="بصل كيس كبير"/>
        <s v="قهوة عربية"/>
        <s v="تفاح سكري كيلو"/>
        <s v="زيت صني للطبخ"/>
        <s v="حليب المراعي 1 لتر"/>
        <s v="جبنة كرافت شيدر"/>
        <s v="شامبو صانصيلك"/>
      </sharedItems>
    </cacheField>
    <cacheField name="القسم" numFmtId="0">
      <sharedItems count="9">
        <s v="مواد غذائية"/>
        <s v="مشروبات"/>
        <s v="إلكترونيات"/>
        <s v="أزياء"/>
        <s v="تجميل"/>
        <s v="منظفات"/>
        <s v="خضار وفواكة"/>
        <s v="لحوم ومجمدات"/>
        <s v="ألبان وجبان"/>
      </sharedItems>
    </cacheField>
    <cacheField name="الكمية المباعة(الريال)" numFmtId="0">
      <sharedItems containsSemiMixedTypes="0" containsString="0" containsNumber="1" containsInteger="1" minValue="3" maxValue="100"/>
    </cacheField>
    <cacheField name="سعر الوحدة" numFmtId="165">
      <sharedItems containsSemiMixedTypes="0" containsString="0" containsNumber="1" containsInteger="1" minValue="7" maxValue="250"/>
    </cacheField>
    <cacheField name="المدينة" numFmtId="0">
      <sharedItems/>
    </cacheField>
    <cacheField name="اجمالي المبيعات(الريال)" numFmtId="165">
      <sharedItems containsSemiMixedTypes="0" containsString="0" containsNumber="1" containsInteger="1" minValue="180" maxValue="2700"/>
    </cacheField>
  </cacheFields>
  <extLst>
    <ext xmlns:x14="http://schemas.microsoft.com/office/spreadsheetml/2009/9/main" uri="{725AE2AE-9491-48be-B2B4-4EB974FC3084}">
      <x14:pivotCacheDefinition pivotCacheId="1194354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5"/>
    <x v="0"/>
    <x v="0"/>
    <x v="0"/>
    <n v="30"/>
    <n v="90"/>
    <s v="جدة"/>
    <n v="2700"/>
  </r>
  <r>
    <n v="1002"/>
    <x v="1"/>
    <x v="1"/>
    <x v="1"/>
    <n v="100"/>
    <n v="18"/>
    <s v="جدة"/>
    <n v="1800"/>
  </r>
  <r>
    <n v="1016"/>
    <x v="2"/>
    <x v="2"/>
    <x v="0"/>
    <n v="40"/>
    <n v="35"/>
    <s v="جدة"/>
    <n v="1400"/>
  </r>
  <r>
    <n v="1013"/>
    <x v="3"/>
    <x v="3"/>
    <x v="2"/>
    <n v="15"/>
    <n v="80"/>
    <s v="جده"/>
    <n v="1200"/>
  </r>
  <r>
    <n v="1017"/>
    <x v="4"/>
    <x v="4"/>
    <x v="3"/>
    <n v="6"/>
    <n v="200"/>
    <s v="جدة"/>
    <n v="1200"/>
  </r>
  <r>
    <n v="1014"/>
    <x v="5"/>
    <x v="5"/>
    <x v="2"/>
    <n v="8"/>
    <n v="120"/>
    <s v="جدة"/>
    <n v="960"/>
  </r>
  <r>
    <n v="1010"/>
    <x v="6"/>
    <x v="6"/>
    <x v="4"/>
    <n v="5"/>
    <n v="150"/>
    <s v="جدة"/>
    <n v="750"/>
  </r>
  <r>
    <n v="1011"/>
    <x v="7"/>
    <x v="7"/>
    <x v="3"/>
    <n v="3"/>
    <n v="250"/>
    <s v="جده"/>
    <n v="750"/>
  </r>
  <r>
    <n v="1018"/>
    <x v="8"/>
    <x v="8"/>
    <x v="5"/>
    <n v="50"/>
    <n v="15"/>
    <s v="جده"/>
    <n v="750"/>
  </r>
  <r>
    <n v="1009"/>
    <x v="9"/>
    <x v="9"/>
    <x v="5"/>
    <n v="12"/>
    <n v="60"/>
    <s v="جدة"/>
    <n v="720"/>
  </r>
  <r>
    <n v="1015"/>
    <x v="10"/>
    <x v="10"/>
    <x v="4"/>
    <n v="12"/>
    <n v="60"/>
    <s v="جدة"/>
    <n v="720"/>
  </r>
  <r>
    <n v="1001"/>
    <x v="11"/>
    <x v="11"/>
    <x v="6"/>
    <n v="40"/>
    <n v="15"/>
    <s v="جده"/>
    <n v="600"/>
  </r>
  <r>
    <n v="1008"/>
    <x v="12"/>
    <x v="12"/>
    <x v="7"/>
    <n v="25"/>
    <n v="20"/>
    <s v="جدة"/>
    <n v="500"/>
  </r>
  <r>
    <n v="1007"/>
    <x v="13"/>
    <x v="13"/>
    <x v="6"/>
    <n v="45"/>
    <n v="10"/>
    <s v="جده"/>
    <n v="450"/>
  </r>
  <r>
    <n v="1012"/>
    <x v="14"/>
    <x v="14"/>
    <x v="0"/>
    <n v="10"/>
    <n v="45"/>
    <s v="جدة"/>
    <n v="450"/>
  </r>
  <r>
    <n v="1004"/>
    <x v="15"/>
    <x v="15"/>
    <x v="6"/>
    <n v="35"/>
    <n v="12"/>
    <s v="جدة"/>
    <n v="420"/>
  </r>
  <r>
    <n v="1006"/>
    <x v="16"/>
    <x v="16"/>
    <x v="0"/>
    <n v="15"/>
    <n v="25"/>
    <s v="جدة"/>
    <n v="375"/>
  </r>
  <r>
    <n v="1000"/>
    <x v="17"/>
    <x v="17"/>
    <x v="8"/>
    <n v="50"/>
    <n v="7"/>
    <s v="جدة"/>
    <n v="350"/>
  </r>
  <r>
    <n v="1003"/>
    <x v="18"/>
    <x v="18"/>
    <x v="8"/>
    <n v="20"/>
    <n v="12"/>
    <s v=" جده"/>
    <n v="240"/>
  </r>
  <r>
    <n v="1019"/>
    <x v="19"/>
    <x v="19"/>
    <x v="4"/>
    <n v="10"/>
    <n v="18"/>
    <s v="جدة"/>
    <n v="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96FAA5-397F-4885-9681-3DADE1C43FA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7:N28" firstHeaderRow="1" firstDataRow="1" firstDataCol="1"/>
  <pivotFields count="8">
    <pivotField showAll="0"/>
    <pivotField numFmtId="164" showAll="0">
      <items count="21">
        <item x="17"/>
        <item x="11"/>
        <item x="1"/>
        <item x="18"/>
        <item x="15"/>
        <item x="0"/>
        <item x="16"/>
        <item x="13"/>
        <item x="12"/>
        <item x="9"/>
        <item x="6"/>
        <item x="7"/>
        <item x="14"/>
        <item x="3"/>
        <item x="5"/>
        <item x="10"/>
        <item x="2"/>
        <item x="4"/>
        <item x="8"/>
        <item x="19"/>
        <item t="default"/>
      </items>
    </pivotField>
    <pivotField axis="axisRow" showAll="0">
      <items count="21">
        <item x="0"/>
        <item x="10"/>
        <item x="13"/>
        <item x="15"/>
        <item x="2"/>
        <item x="4"/>
        <item x="18"/>
        <item x="17"/>
        <item x="12"/>
        <item x="16"/>
        <item x="5"/>
        <item x="3"/>
        <item x="19"/>
        <item x="9"/>
        <item x="11"/>
        <item x="7"/>
        <item x="6"/>
        <item x="14"/>
        <item x="8"/>
        <item x="1"/>
        <item t="default"/>
      </items>
    </pivotField>
    <pivotField showAll="0">
      <items count="10">
        <item x="3"/>
        <item x="8"/>
        <item x="2"/>
        <item x="4"/>
        <item x="6"/>
        <item x="7"/>
        <item x="1"/>
        <item x="5"/>
        <item x="0"/>
        <item t="default"/>
      </items>
    </pivotField>
    <pivotField showAll="0"/>
    <pivotField numFmtId="165" showAll="0"/>
    <pivotField showAll="0"/>
    <pivotField dataField="1" numFmtId="165"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اجمالي المبيعات(الريال)" fld="7" baseField="0" baseItem="0" numFmtId="165"/>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000EEB46-83C1-47D7-B33D-277B98139E69}" sourceName="القسم">
  <pivotTables>
    <pivotTable tabId="2" name="PivotTable7"/>
  </pivotTables>
  <data>
    <tabular pivotCacheId="1194354023">
      <items count="9">
        <i x="3" s="1"/>
        <i x="8" s="1"/>
        <i x="2" s="1"/>
        <i x="4" s="1"/>
        <i x="6" s="1"/>
        <i x="7" s="1"/>
        <i x="1"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قسم" xr10:uid="{87168840-8768-47BE-A6C8-AF87A838AA6C}" cache="Slicer_القسم" caption="القسم" startItem="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E5957E-9C83-463E-8756-B7ABECDF3653}" name="Table2" displayName="Table2" ref="B3:I24" totalsRowCount="1" headerRowDxfId="21" dataDxfId="19" totalsRowDxfId="17" headerRowBorderDxfId="20" tableBorderDxfId="18" totalsRowBorderDxfId="16">
  <autoFilter ref="B3:I23" xr:uid="{38E5957E-9C83-463E-8756-B7ABECDF365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B4:I23">
    <sortCondition descending="1" ref="I3:I23"/>
  </sortState>
  <tableColumns count="8">
    <tableColumn id="1" xr3:uid="{51C2908A-CAB9-4378-80DE-2A9AFB936FF8}" name="رقم الطلب" totalsRowLabel="Total" dataDxfId="15" totalsRowDxfId="14"/>
    <tableColumn id="2" xr3:uid="{36A35CCC-FD4E-44F9-940C-3F039164FAC8}" name="تاريخ الطلب" dataDxfId="13" totalsRowDxfId="12"/>
    <tableColumn id="3" xr3:uid="{E7AA801A-F4E5-4851-86F6-0DD46BD89BD4}" name="المنتج" dataDxfId="11" totalsRowDxfId="10"/>
    <tableColumn id="4" xr3:uid="{68B26B96-C9A8-4587-9557-35FE46486F3E}" name="القسم" dataDxfId="9" totalsRowDxfId="8"/>
    <tableColumn id="5" xr3:uid="{4121DBD8-7576-4C4F-B8B0-527D2C105012}" name="الكمية المباعة(الريال)" dataDxfId="7" totalsRowDxfId="6"/>
    <tableColumn id="6" xr3:uid="{3448A10E-2804-487A-A39D-48F406E8317C}" name="سعر الوحدة" dataDxfId="5" totalsRowDxfId="4"/>
    <tableColumn id="7" xr3:uid="{2CAFE97A-9D30-4EFA-A5A9-2A2479903057}" name="المدينة" dataDxfId="3" totalsRowDxfId="2"/>
    <tableColumn id="8" xr3:uid="{9C75ED14-02BC-405F-9FAE-CFEFE462EF17}" name="اجمالي المبيعات(الريال)" totalsRowFunction="sum" dataDxfId="1" totalsRowDxfId="0">
      <calculatedColumnFormula>F4*G4</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0AC97-509C-4DF2-ACD0-8C78518B1D7E}">
  <dimension ref="A1:G23"/>
  <sheetViews>
    <sheetView workbookViewId="0">
      <selection activeCell="J14" sqref="J14"/>
    </sheetView>
  </sheetViews>
  <sheetFormatPr defaultRowHeight="14.5" x14ac:dyDescent="0.35"/>
  <cols>
    <col min="1" max="1" width="7.54296875" bestFit="1" customWidth="1"/>
    <col min="2" max="2" width="10.08984375" bestFit="1" customWidth="1"/>
    <col min="3" max="3" width="14.36328125" bestFit="1" customWidth="1"/>
    <col min="4" max="4" width="10.6328125" bestFit="1" customWidth="1"/>
    <col min="5" max="5" width="9.54296875" bestFit="1" customWidth="1"/>
    <col min="6" max="6" width="8.36328125" bestFit="1" customWidth="1"/>
    <col min="7" max="7" width="4.81640625" bestFit="1" customWidth="1"/>
  </cols>
  <sheetData>
    <row r="1" spans="1:7" x14ac:dyDescent="0.35">
      <c r="A1" t="s">
        <v>0</v>
      </c>
      <c r="B1" t="s">
        <v>1</v>
      </c>
      <c r="C1" t="s">
        <v>2</v>
      </c>
      <c r="D1" t="s">
        <v>3</v>
      </c>
      <c r="E1" t="s">
        <v>4</v>
      </c>
      <c r="F1" t="s">
        <v>5</v>
      </c>
      <c r="G1" t="s">
        <v>6</v>
      </c>
    </row>
    <row r="2" spans="1:7" x14ac:dyDescent="0.35">
      <c r="A2">
        <v>1000</v>
      </c>
      <c r="B2" s="1">
        <v>46023</v>
      </c>
      <c r="C2" t="s">
        <v>7</v>
      </c>
      <c r="D2" t="s">
        <v>8</v>
      </c>
      <c r="E2">
        <v>50</v>
      </c>
      <c r="F2">
        <v>7</v>
      </c>
      <c r="G2" t="s">
        <v>9</v>
      </c>
    </row>
    <row r="3" spans="1:7" x14ac:dyDescent="0.35">
      <c r="A3">
        <v>1001</v>
      </c>
      <c r="B3" s="1">
        <v>46054</v>
      </c>
      <c r="C3" t="s">
        <v>10</v>
      </c>
      <c r="D3" t="s">
        <v>11</v>
      </c>
      <c r="E3">
        <v>40</v>
      </c>
      <c r="F3">
        <v>15</v>
      </c>
      <c r="G3" t="s">
        <v>12</v>
      </c>
    </row>
    <row r="4" spans="1:7" x14ac:dyDescent="0.35">
      <c r="A4">
        <v>1001</v>
      </c>
      <c r="B4" s="1">
        <v>46054</v>
      </c>
      <c r="C4" t="s">
        <v>10</v>
      </c>
      <c r="D4" t="s">
        <v>11</v>
      </c>
      <c r="E4">
        <v>40</v>
      </c>
      <c r="F4">
        <v>15</v>
      </c>
      <c r="G4" t="s">
        <v>12</v>
      </c>
    </row>
    <row r="5" spans="1:7" x14ac:dyDescent="0.35">
      <c r="A5">
        <v>1002</v>
      </c>
      <c r="B5" s="2">
        <v>46025</v>
      </c>
      <c r="C5" t="s">
        <v>13</v>
      </c>
      <c r="D5" t="s">
        <v>14</v>
      </c>
      <c r="E5">
        <v>100</v>
      </c>
      <c r="F5">
        <v>18</v>
      </c>
      <c r="G5" t="s">
        <v>9</v>
      </c>
    </row>
    <row r="6" spans="1:7" x14ac:dyDescent="0.35">
      <c r="A6">
        <v>1003</v>
      </c>
      <c r="B6" s="1">
        <v>46026</v>
      </c>
      <c r="C6" t="s">
        <v>15</v>
      </c>
      <c r="D6" t="s">
        <v>8</v>
      </c>
      <c r="E6">
        <v>20</v>
      </c>
      <c r="F6">
        <v>12</v>
      </c>
      <c r="G6" t="s">
        <v>16</v>
      </c>
    </row>
    <row r="7" spans="1:7" x14ac:dyDescent="0.35">
      <c r="A7">
        <v>1004</v>
      </c>
      <c r="B7" s="1">
        <v>46143</v>
      </c>
      <c r="C7" t="s">
        <v>17</v>
      </c>
      <c r="D7" t="s">
        <v>11</v>
      </c>
      <c r="E7">
        <v>35</v>
      </c>
      <c r="F7">
        <v>12</v>
      </c>
      <c r="G7" t="s">
        <v>9</v>
      </c>
    </row>
    <row r="8" spans="1:7" x14ac:dyDescent="0.35">
      <c r="A8">
        <v>1005</v>
      </c>
      <c r="B8" s="2">
        <v>46028</v>
      </c>
      <c r="C8" t="s">
        <v>18</v>
      </c>
      <c r="D8" t="s">
        <v>19</v>
      </c>
      <c r="E8">
        <v>30</v>
      </c>
      <c r="F8">
        <v>90</v>
      </c>
      <c r="G8" t="s">
        <v>20</v>
      </c>
    </row>
    <row r="9" spans="1:7" x14ac:dyDescent="0.35">
      <c r="A9">
        <v>1006</v>
      </c>
      <c r="B9" s="1">
        <v>46029</v>
      </c>
      <c r="C9" t="s">
        <v>21</v>
      </c>
      <c r="D9" t="s">
        <v>19</v>
      </c>
      <c r="F9">
        <v>25</v>
      </c>
      <c r="G9" t="s">
        <v>9</v>
      </c>
    </row>
    <row r="10" spans="1:7" x14ac:dyDescent="0.35">
      <c r="A10">
        <v>1007</v>
      </c>
      <c r="B10" s="1">
        <v>46235</v>
      </c>
      <c r="C10" t="s">
        <v>22</v>
      </c>
      <c r="D10" t="s">
        <v>11</v>
      </c>
      <c r="E10">
        <v>45</v>
      </c>
      <c r="G10" t="s">
        <v>12</v>
      </c>
    </row>
    <row r="11" spans="1:7" x14ac:dyDescent="0.35">
      <c r="A11">
        <v>1008</v>
      </c>
      <c r="B11" s="1">
        <v>46031</v>
      </c>
      <c r="C11" t="s">
        <v>23</v>
      </c>
      <c r="D11" t="s">
        <v>24</v>
      </c>
      <c r="E11">
        <v>25</v>
      </c>
      <c r="F11">
        <v>20</v>
      </c>
      <c r="G11" t="s">
        <v>9</v>
      </c>
    </row>
    <row r="12" spans="1:7" x14ac:dyDescent="0.35">
      <c r="A12">
        <v>1009</v>
      </c>
      <c r="B12" s="2">
        <v>46032</v>
      </c>
      <c r="C12" t="s">
        <v>25</v>
      </c>
      <c r="D12" t="s">
        <v>26</v>
      </c>
      <c r="E12">
        <v>12</v>
      </c>
      <c r="F12">
        <v>60</v>
      </c>
      <c r="G12" t="s">
        <v>27</v>
      </c>
    </row>
    <row r="13" spans="1:7" x14ac:dyDescent="0.35">
      <c r="A13">
        <v>1010</v>
      </c>
      <c r="B13" s="1">
        <v>46033</v>
      </c>
      <c r="C13" t="s">
        <v>28</v>
      </c>
      <c r="D13" t="s">
        <v>29</v>
      </c>
      <c r="E13">
        <v>5</v>
      </c>
      <c r="F13">
        <v>150</v>
      </c>
      <c r="G13" t="s">
        <v>9</v>
      </c>
    </row>
    <row r="14" spans="1:7" x14ac:dyDescent="0.35">
      <c r="A14">
        <v>1010</v>
      </c>
      <c r="B14" s="1">
        <v>46033</v>
      </c>
      <c r="C14" t="s">
        <v>28</v>
      </c>
      <c r="D14" t="s">
        <v>29</v>
      </c>
      <c r="E14">
        <v>5</v>
      </c>
      <c r="F14">
        <v>150</v>
      </c>
      <c r="G14" t="s">
        <v>9</v>
      </c>
    </row>
    <row r="15" spans="1:7" x14ac:dyDescent="0.35">
      <c r="A15">
        <v>1011</v>
      </c>
      <c r="B15" s="1">
        <v>46357</v>
      </c>
      <c r="C15" t="s">
        <v>30</v>
      </c>
      <c r="D15" t="s">
        <v>31</v>
      </c>
      <c r="E15">
        <v>3</v>
      </c>
      <c r="F15">
        <v>250</v>
      </c>
      <c r="G15" t="s">
        <v>12</v>
      </c>
    </row>
    <row r="16" spans="1:7" x14ac:dyDescent="0.35">
      <c r="A16">
        <v>1012</v>
      </c>
      <c r="B16" s="1">
        <v>46035</v>
      </c>
      <c r="C16" t="s">
        <v>32</v>
      </c>
      <c r="D16" t="s">
        <v>19</v>
      </c>
      <c r="E16">
        <v>10</v>
      </c>
      <c r="F16">
        <v>45</v>
      </c>
      <c r="G16" t="s">
        <v>9</v>
      </c>
    </row>
    <row r="17" spans="1:7" x14ac:dyDescent="0.35">
      <c r="A17">
        <v>1013</v>
      </c>
      <c r="B17" s="2">
        <v>46036</v>
      </c>
      <c r="C17" t="s">
        <v>33</v>
      </c>
      <c r="D17" t="s">
        <v>34</v>
      </c>
      <c r="E17">
        <v>15</v>
      </c>
      <c r="F17">
        <v>80</v>
      </c>
      <c r="G17" t="s">
        <v>12</v>
      </c>
    </row>
    <row r="18" spans="1:7" x14ac:dyDescent="0.35">
      <c r="A18">
        <v>1014</v>
      </c>
      <c r="B18" s="1">
        <v>46037</v>
      </c>
      <c r="C18" t="s">
        <v>35</v>
      </c>
      <c r="D18" t="s">
        <v>34</v>
      </c>
      <c r="E18">
        <v>8</v>
      </c>
      <c r="F18">
        <v>120</v>
      </c>
      <c r="G18" t="s">
        <v>9</v>
      </c>
    </row>
    <row r="19" spans="1:7" x14ac:dyDescent="0.35">
      <c r="A19">
        <v>1015</v>
      </c>
      <c r="B19" t="s">
        <v>36</v>
      </c>
      <c r="C19" t="s">
        <v>37</v>
      </c>
      <c r="D19" t="s">
        <v>29</v>
      </c>
      <c r="E19">
        <v>12</v>
      </c>
      <c r="F19">
        <v>60</v>
      </c>
      <c r="G19" t="s">
        <v>9</v>
      </c>
    </row>
    <row r="20" spans="1:7" x14ac:dyDescent="0.35">
      <c r="A20">
        <v>1016</v>
      </c>
      <c r="B20" s="1">
        <v>46039</v>
      </c>
      <c r="C20" t="s">
        <v>38</v>
      </c>
      <c r="D20" t="s">
        <v>19</v>
      </c>
      <c r="E20">
        <v>40</v>
      </c>
      <c r="F20">
        <v>35</v>
      </c>
      <c r="G20" t="s">
        <v>20</v>
      </c>
    </row>
    <row r="21" spans="1:7" x14ac:dyDescent="0.35">
      <c r="A21">
        <v>1017</v>
      </c>
      <c r="B21" s="2">
        <v>46040</v>
      </c>
      <c r="C21" t="s">
        <v>39</v>
      </c>
      <c r="D21" t="s">
        <v>31</v>
      </c>
      <c r="E21">
        <v>6</v>
      </c>
      <c r="F21">
        <v>200</v>
      </c>
      <c r="G21" t="s">
        <v>9</v>
      </c>
    </row>
    <row r="22" spans="1:7" x14ac:dyDescent="0.35">
      <c r="A22">
        <v>1018</v>
      </c>
      <c r="B22" s="1">
        <v>46041</v>
      </c>
      <c r="C22" t="s">
        <v>40</v>
      </c>
      <c r="D22" t="s">
        <v>26</v>
      </c>
      <c r="E22">
        <v>50</v>
      </c>
      <c r="F22">
        <v>15</v>
      </c>
      <c r="G22" t="s">
        <v>12</v>
      </c>
    </row>
    <row r="23" spans="1:7" x14ac:dyDescent="0.35">
      <c r="A23">
        <v>1019</v>
      </c>
      <c r="B23" s="2">
        <v>46042</v>
      </c>
      <c r="C23" t="s">
        <v>41</v>
      </c>
      <c r="D23" t="s">
        <v>29</v>
      </c>
      <c r="F23">
        <v>18</v>
      </c>
      <c r="G2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0875B-0C68-4959-B614-5874A7309CA9}">
  <dimension ref="A1:R28"/>
  <sheetViews>
    <sheetView showGridLines="0" tabSelected="1" topLeftCell="D6" zoomScale="58" zoomScaleNormal="60" workbookViewId="0">
      <selection activeCell="AJ14" sqref="AJ14"/>
    </sheetView>
  </sheetViews>
  <sheetFormatPr defaultRowHeight="14.5" x14ac:dyDescent="0.35"/>
  <cols>
    <col min="2" max="2" width="10.08984375" bestFit="1" customWidth="1"/>
    <col min="3" max="4" width="14.36328125" bestFit="1" customWidth="1"/>
    <col min="5" max="5" width="14.26953125" bestFit="1" customWidth="1"/>
    <col min="6" max="6" width="16.36328125" customWidth="1"/>
    <col min="7" max="7" width="10.54296875" customWidth="1"/>
    <col min="8" max="8" width="7.1796875" customWidth="1"/>
    <col min="9" max="9" width="17.6328125" customWidth="1"/>
    <col min="13" max="13" width="15" bestFit="1" customWidth="1"/>
    <col min="14" max="14" width="22.6328125" bestFit="1" customWidth="1"/>
    <col min="16" max="16" width="15.36328125" customWidth="1"/>
  </cols>
  <sheetData>
    <row r="1" spans="1:18" x14ac:dyDescent="0.35">
      <c r="A1" s="15" t="s">
        <v>44</v>
      </c>
      <c r="B1" s="16" t="s">
        <v>50</v>
      </c>
      <c r="C1" s="17"/>
      <c r="D1" s="17"/>
      <c r="E1" s="17"/>
      <c r="F1" s="17"/>
      <c r="G1" s="17"/>
      <c r="H1" s="17"/>
      <c r="I1" s="17"/>
      <c r="P1" s="14" t="s">
        <v>49</v>
      </c>
    </row>
    <row r="2" spans="1:18" ht="23.5" x14ac:dyDescent="0.55000000000000004">
      <c r="A2" s="15"/>
      <c r="B2" s="17"/>
      <c r="C2" s="17"/>
      <c r="D2" s="17"/>
      <c r="E2" s="17"/>
      <c r="F2" s="17"/>
      <c r="G2" s="17"/>
      <c r="H2" s="17"/>
      <c r="I2" s="17"/>
      <c r="P2" s="18">
        <f>GETPIVOTDATA("اجمالي المبيعات(الريال)",$M$7)</f>
        <v>16515</v>
      </c>
      <c r="Q2" s="19"/>
      <c r="R2" s="20"/>
    </row>
    <row r="3" spans="1:18" ht="16" x14ac:dyDescent="0.4">
      <c r="A3" s="15"/>
      <c r="B3" s="5" t="s">
        <v>0</v>
      </c>
      <c r="C3" s="5" t="s">
        <v>1</v>
      </c>
      <c r="D3" s="5" t="s">
        <v>2</v>
      </c>
      <c r="E3" s="5" t="s">
        <v>3</v>
      </c>
      <c r="F3" s="5" t="s">
        <v>42</v>
      </c>
      <c r="G3" s="5" t="s">
        <v>5</v>
      </c>
      <c r="H3" s="5" t="s">
        <v>6</v>
      </c>
      <c r="I3" s="5" t="s">
        <v>43</v>
      </c>
      <c r="P3" s="13"/>
    </row>
    <row r="4" spans="1:18" x14ac:dyDescent="0.35">
      <c r="A4" s="15"/>
      <c r="B4" s="5">
        <v>1005</v>
      </c>
      <c r="C4" s="6">
        <v>46028</v>
      </c>
      <c r="D4" s="5" t="s">
        <v>18</v>
      </c>
      <c r="E4" s="5" t="s">
        <v>19</v>
      </c>
      <c r="F4" s="5">
        <v>30</v>
      </c>
      <c r="G4" s="7">
        <v>90</v>
      </c>
      <c r="H4" s="5" t="s">
        <v>9</v>
      </c>
      <c r="I4" s="7">
        <f t="shared" ref="I4:I23" si="0">F4*G4</f>
        <v>2700</v>
      </c>
    </row>
    <row r="5" spans="1:18" x14ac:dyDescent="0.35">
      <c r="A5" s="15"/>
      <c r="B5" s="5">
        <v>1002</v>
      </c>
      <c r="C5" s="6">
        <v>46025</v>
      </c>
      <c r="D5" s="5" t="s">
        <v>13</v>
      </c>
      <c r="E5" s="5" t="s">
        <v>14</v>
      </c>
      <c r="F5" s="5">
        <v>100</v>
      </c>
      <c r="G5" s="7">
        <v>18</v>
      </c>
      <c r="H5" s="5" t="s">
        <v>9</v>
      </c>
      <c r="I5" s="7">
        <f t="shared" si="0"/>
        <v>1800</v>
      </c>
    </row>
    <row r="6" spans="1:18" x14ac:dyDescent="0.35">
      <c r="A6" s="15"/>
      <c r="B6" s="5">
        <v>1016</v>
      </c>
      <c r="C6" s="6">
        <v>46039</v>
      </c>
      <c r="D6" s="5" t="s">
        <v>38</v>
      </c>
      <c r="E6" s="5" t="s">
        <v>19</v>
      </c>
      <c r="F6" s="5">
        <v>40</v>
      </c>
      <c r="G6" s="7">
        <v>35</v>
      </c>
      <c r="H6" s="5" t="s">
        <v>9</v>
      </c>
      <c r="I6" s="7">
        <f t="shared" si="0"/>
        <v>1400</v>
      </c>
    </row>
    <row r="7" spans="1:18" x14ac:dyDescent="0.35">
      <c r="A7" s="15"/>
      <c r="B7" s="5">
        <v>1013</v>
      </c>
      <c r="C7" s="6">
        <v>46036</v>
      </c>
      <c r="D7" s="5" t="s">
        <v>33</v>
      </c>
      <c r="E7" s="5" t="s">
        <v>34</v>
      </c>
      <c r="F7" s="5">
        <v>15</v>
      </c>
      <c r="G7" s="7">
        <v>80</v>
      </c>
      <c r="H7" s="5" t="s">
        <v>12</v>
      </c>
      <c r="I7" s="7">
        <f t="shared" si="0"/>
        <v>1200</v>
      </c>
      <c r="M7" s="8" t="s">
        <v>46</v>
      </c>
      <c r="N7" t="s">
        <v>48</v>
      </c>
    </row>
    <row r="8" spans="1:18" x14ac:dyDescent="0.35">
      <c r="A8" s="15"/>
      <c r="B8" s="5">
        <v>1017</v>
      </c>
      <c r="C8" s="6">
        <v>46040</v>
      </c>
      <c r="D8" s="5" t="s">
        <v>39</v>
      </c>
      <c r="E8" s="5" t="s">
        <v>31</v>
      </c>
      <c r="F8" s="5">
        <v>6</v>
      </c>
      <c r="G8" s="7">
        <v>200</v>
      </c>
      <c r="H8" s="5" t="s">
        <v>9</v>
      </c>
      <c r="I8" s="7">
        <f t="shared" si="0"/>
        <v>1200</v>
      </c>
      <c r="M8" s="9" t="s">
        <v>18</v>
      </c>
      <c r="N8" s="3">
        <v>2700</v>
      </c>
    </row>
    <row r="9" spans="1:18" x14ac:dyDescent="0.35">
      <c r="A9" s="15"/>
      <c r="B9" s="5">
        <v>1014</v>
      </c>
      <c r="C9" s="6">
        <v>46037</v>
      </c>
      <c r="D9" s="5" t="s">
        <v>35</v>
      </c>
      <c r="E9" s="5" t="s">
        <v>34</v>
      </c>
      <c r="F9" s="5">
        <v>8</v>
      </c>
      <c r="G9" s="7">
        <v>120</v>
      </c>
      <c r="H9" s="5" t="s">
        <v>9</v>
      </c>
      <c r="I9" s="7">
        <f t="shared" si="0"/>
        <v>960</v>
      </c>
      <c r="M9" s="9" t="s">
        <v>37</v>
      </c>
      <c r="N9" s="3">
        <v>720</v>
      </c>
    </row>
    <row r="10" spans="1:18" x14ac:dyDescent="0.35">
      <c r="A10" s="15"/>
      <c r="B10" s="5">
        <v>1010</v>
      </c>
      <c r="C10" s="6">
        <v>46033</v>
      </c>
      <c r="D10" s="5" t="s">
        <v>28</v>
      </c>
      <c r="E10" s="5" t="s">
        <v>29</v>
      </c>
      <c r="F10" s="5">
        <v>5</v>
      </c>
      <c r="G10" s="7">
        <v>150</v>
      </c>
      <c r="H10" s="5" t="s">
        <v>9</v>
      </c>
      <c r="I10" s="7">
        <f t="shared" si="0"/>
        <v>750</v>
      </c>
      <c r="M10" s="9" t="s">
        <v>22</v>
      </c>
      <c r="N10" s="3">
        <v>450</v>
      </c>
    </row>
    <row r="11" spans="1:18" x14ac:dyDescent="0.35">
      <c r="A11" s="15"/>
      <c r="B11" s="5">
        <v>1011</v>
      </c>
      <c r="C11" s="6">
        <v>46034</v>
      </c>
      <c r="D11" s="5" t="s">
        <v>30</v>
      </c>
      <c r="E11" s="5" t="s">
        <v>31</v>
      </c>
      <c r="F11" s="5">
        <v>3</v>
      </c>
      <c r="G11" s="7">
        <v>250</v>
      </c>
      <c r="H11" s="5" t="s">
        <v>12</v>
      </c>
      <c r="I11" s="7">
        <f t="shared" si="0"/>
        <v>750</v>
      </c>
      <c r="M11" s="9" t="s">
        <v>17</v>
      </c>
      <c r="N11" s="3">
        <v>420</v>
      </c>
    </row>
    <row r="12" spans="1:18" x14ac:dyDescent="0.35">
      <c r="A12" s="15"/>
      <c r="B12" s="5">
        <v>1018</v>
      </c>
      <c r="C12" s="6">
        <v>46041</v>
      </c>
      <c r="D12" s="5" t="s">
        <v>40</v>
      </c>
      <c r="E12" s="5" t="s">
        <v>26</v>
      </c>
      <c r="F12" s="5">
        <v>50</v>
      </c>
      <c r="G12" s="7">
        <v>15</v>
      </c>
      <c r="H12" s="5" t="s">
        <v>12</v>
      </c>
      <c r="I12" s="7">
        <f t="shared" si="0"/>
        <v>750</v>
      </c>
      <c r="M12" s="9" t="s">
        <v>38</v>
      </c>
      <c r="N12" s="3">
        <v>1400</v>
      </c>
    </row>
    <row r="13" spans="1:18" x14ac:dyDescent="0.35">
      <c r="A13" s="15"/>
      <c r="B13" s="5">
        <v>1009</v>
      </c>
      <c r="C13" s="6">
        <v>46032</v>
      </c>
      <c r="D13" s="5" t="s">
        <v>25</v>
      </c>
      <c r="E13" s="5" t="s">
        <v>26</v>
      </c>
      <c r="F13" s="5">
        <v>12</v>
      </c>
      <c r="G13" s="7">
        <v>60</v>
      </c>
      <c r="H13" s="5" t="s">
        <v>9</v>
      </c>
      <c r="I13" s="7">
        <f t="shared" si="0"/>
        <v>720</v>
      </c>
      <c r="M13" s="9" t="s">
        <v>39</v>
      </c>
      <c r="N13" s="3">
        <v>1200</v>
      </c>
    </row>
    <row r="14" spans="1:18" x14ac:dyDescent="0.35">
      <c r="A14" s="15"/>
      <c r="B14" s="5">
        <v>1015</v>
      </c>
      <c r="C14" s="6">
        <v>46038</v>
      </c>
      <c r="D14" s="5" t="s">
        <v>37</v>
      </c>
      <c r="E14" s="5" t="s">
        <v>29</v>
      </c>
      <c r="F14" s="5">
        <v>12</v>
      </c>
      <c r="G14" s="7">
        <v>60</v>
      </c>
      <c r="H14" s="5" t="s">
        <v>9</v>
      </c>
      <c r="I14" s="7">
        <f t="shared" si="0"/>
        <v>720</v>
      </c>
      <c r="M14" s="9" t="s">
        <v>15</v>
      </c>
      <c r="N14" s="3">
        <v>240</v>
      </c>
    </row>
    <row r="15" spans="1:18" x14ac:dyDescent="0.35">
      <c r="A15" s="15"/>
      <c r="B15" s="5">
        <v>1001</v>
      </c>
      <c r="C15" s="6">
        <v>46024</v>
      </c>
      <c r="D15" s="5" t="s">
        <v>10</v>
      </c>
      <c r="E15" s="5" t="s">
        <v>11</v>
      </c>
      <c r="F15" s="5">
        <v>40</v>
      </c>
      <c r="G15" s="7">
        <v>15</v>
      </c>
      <c r="H15" s="5" t="s">
        <v>12</v>
      </c>
      <c r="I15" s="7">
        <f t="shared" si="0"/>
        <v>600</v>
      </c>
      <c r="M15" s="9" t="s">
        <v>7</v>
      </c>
      <c r="N15" s="3">
        <v>350</v>
      </c>
    </row>
    <row r="16" spans="1:18" x14ac:dyDescent="0.35">
      <c r="A16" s="15"/>
      <c r="B16" s="5">
        <v>1008</v>
      </c>
      <c r="C16" s="6">
        <v>46031</v>
      </c>
      <c r="D16" s="5" t="s">
        <v>23</v>
      </c>
      <c r="E16" s="5" t="s">
        <v>24</v>
      </c>
      <c r="F16" s="5">
        <v>25</v>
      </c>
      <c r="G16" s="7">
        <v>20</v>
      </c>
      <c r="H16" s="5" t="s">
        <v>9</v>
      </c>
      <c r="I16" s="7">
        <f t="shared" si="0"/>
        <v>500</v>
      </c>
      <c r="M16" s="9" t="s">
        <v>23</v>
      </c>
      <c r="N16" s="3">
        <v>500</v>
      </c>
    </row>
    <row r="17" spans="1:14" x14ac:dyDescent="0.35">
      <c r="A17" s="15"/>
      <c r="B17" s="5">
        <v>1007</v>
      </c>
      <c r="C17" s="6">
        <v>46030</v>
      </c>
      <c r="D17" s="5" t="s">
        <v>22</v>
      </c>
      <c r="E17" s="5" t="s">
        <v>11</v>
      </c>
      <c r="F17" s="5">
        <v>45</v>
      </c>
      <c r="G17" s="7">
        <v>10</v>
      </c>
      <c r="H17" s="5" t="s">
        <v>12</v>
      </c>
      <c r="I17" s="7">
        <f t="shared" si="0"/>
        <v>450</v>
      </c>
      <c r="M17" s="9" t="s">
        <v>21</v>
      </c>
      <c r="N17" s="3">
        <v>375</v>
      </c>
    </row>
    <row r="18" spans="1:14" x14ac:dyDescent="0.35">
      <c r="A18" s="15"/>
      <c r="B18" s="5">
        <v>1012</v>
      </c>
      <c r="C18" s="6">
        <v>46035</v>
      </c>
      <c r="D18" s="5" t="s">
        <v>32</v>
      </c>
      <c r="E18" s="5" t="s">
        <v>19</v>
      </c>
      <c r="F18" s="5">
        <v>10</v>
      </c>
      <c r="G18" s="7">
        <v>45</v>
      </c>
      <c r="H18" s="5" t="s">
        <v>9</v>
      </c>
      <c r="I18" s="7">
        <f t="shared" si="0"/>
        <v>450</v>
      </c>
      <c r="M18" s="9" t="s">
        <v>35</v>
      </c>
      <c r="N18" s="3">
        <v>960</v>
      </c>
    </row>
    <row r="19" spans="1:14" x14ac:dyDescent="0.35">
      <c r="A19" s="15"/>
      <c r="B19" s="5">
        <v>1004</v>
      </c>
      <c r="C19" s="6">
        <v>46027</v>
      </c>
      <c r="D19" s="5" t="s">
        <v>17</v>
      </c>
      <c r="E19" s="5" t="s">
        <v>11</v>
      </c>
      <c r="F19" s="5">
        <v>35</v>
      </c>
      <c r="G19" s="7">
        <v>12</v>
      </c>
      <c r="H19" s="5" t="s">
        <v>9</v>
      </c>
      <c r="I19" s="7">
        <f t="shared" si="0"/>
        <v>420</v>
      </c>
      <c r="M19" s="9" t="s">
        <v>33</v>
      </c>
      <c r="N19" s="3">
        <v>1200</v>
      </c>
    </row>
    <row r="20" spans="1:14" x14ac:dyDescent="0.35">
      <c r="A20" s="15"/>
      <c r="B20" s="5">
        <v>1006</v>
      </c>
      <c r="C20" s="6">
        <v>46029</v>
      </c>
      <c r="D20" s="5" t="s">
        <v>21</v>
      </c>
      <c r="E20" s="5" t="s">
        <v>19</v>
      </c>
      <c r="F20" s="5">
        <v>15</v>
      </c>
      <c r="G20" s="7">
        <v>25</v>
      </c>
      <c r="H20" s="5" t="s">
        <v>9</v>
      </c>
      <c r="I20" s="7">
        <f t="shared" si="0"/>
        <v>375</v>
      </c>
      <c r="M20" s="9" t="s">
        <v>41</v>
      </c>
      <c r="N20" s="3">
        <v>180</v>
      </c>
    </row>
    <row r="21" spans="1:14" x14ac:dyDescent="0.35">
      <c r="A21" s="15"/>
      <c r="B21" s="5">
        <v>1000</v>
      </c>
      <c r="C21" s="6">
        <v>46023</v>
      </c>
      <c r="D21" s="5" t="s">
        <v>7</v>
      </c>
      <c r="E21" s="5" t="s">
        <v>8</v>
      </c>
      <c r="F21" s="5">
        <v>50</v>
      </c>
      <c r="G21" s="7">
        <v>7</v>
      </c>
      <c r="H21" s="5" t="s">
        <v>9</v>
      </c>
      <c r="I21" s="7">
        <f t="shared" si="0"/>
        <v>350</v>
      </c>
      <c r="M21" s="9" t="s">
        <v>25</v>
      </c>
      <c r="N21" s="3">
        <v>720</v>
      </c>
    </row>
    <row r="22" spans="1:14" x14ac:dyDescent="0.35">
      <c r="A22" s="15"/>
      <c r="B22" s="5">
        <v>1003</v>
      </c>
      <c r="C22" s="6">
        <v>46026</v>
      </c>
      <c r="D22" s="5" t="s">
        <v>15</v>
      </c>
      <c r="E22" s="5" t="s">
        <v>8</v>
      </c>
      <c r="F22" s="5">
        <v>20</v>
      </c>
      <c r="G22" s="7">
        <v>12</v>
      </c>
      <c r="H22" s="5" t="s">
        <v>16</v>
      </c>
      <c r="I22" s="7">
        <f t="shared" si="0"/>
        <v>240</v>
      </c>
      <c r="M22" s="9" t="s">
        <v>10</v>
      </c>
      <c r="N22" s="3">
        <v>600</v>
      </c>
    </row>
    <row r="23" spans="1:14" x14ac:dyDescent="0.35">
      <c r="A23" s="15"/>
      <c r="B23" s="5">
        <v>1019</v>
      </c>
      <c r="C23" s="6">
        <v>46042</v>
      </c>
      <c r="D23" s="5" t="s">
        <v>41</v>
      </c>
      <c r="E23" s="5" t="s">
        <v>29</v>
      </c>
      <c r="F23" s="5">
        <v>10</v>
      </c>
      <c r="G23" s="7">
        <v>18</v>
      </c>
      <c r="H23" s="5" t="s">
        <v>9</v>
      </c>
      <c r="I23" s="7">
        <f t="shared" si="0"/>
        <v>180</v>
      </c>
      <c r="M23" s="9" t="s">
        <v>30</v>
      </c>
      <c r="N23" s="3">
        <v>750</v>
      </c>
    </row>
    <row r="24" spans="1:14" x14ac:dyDescent="0.35">
      <c r="B24" s="10" t="s">
        <v>45</v>
      </c>
      <c r="C24" s="11"/>
      <c r="D24" s="11"/>
      <c r="E24" s="11"/>
      <c r="F24" s="11"/>
      <c r="G24" s="11"/>
      <c r="H24" s="11"/>
      <c r="I24" s="12">
        <f>SUBTOTAL(109,Table2[اجمالي المبيعات(الريال)])</f>
        <v>16515</v>
      </c>
      <c r="M24" s="9" t="s">
        <v>28</v>
      </c>
      <c r="N24" s="3">
        <v>750</v>
      </c>
    </row>
    <row r="25" spans="1:14" x14ac:dyDescent="0.35">
      <c r="H25" s="4"/>
      <c r="M25" s="9" t="s">
        <v>32</v>
      </c>
      <c r="N25" s="3">
        <v>450</v>
      </c>
    </row>
    <row r="26" spans="1:14" x14ac:dyDescent="0.35">
      <c r="M26" s="9" t="s">
        <v>40</v>
      </c>
      <c r="N26" s="3">
        <v>750</v>
      </c>
    </row>
    <row r="27" spans="1:14" x14ac:dyDescent="0.35">
      <c r="M27" s="9" t="s">
        <v>13</v>
      </c>
      <c r="N27" s="3">
        <v>1800</v>
      </c>
    </row>
    <row r="28" spans="1:14" x14ac:dyDescent="0.35">
      <c r="M28" s="9" t="s">
        <v>47</v>
      </c>
      <c r="N28" s="3">
        <v>16515</v>
      </c>
    </row>
  </sheetData>
  <mergeCells count="3">
    <mergeCell ref="A1:A23"/>
    <mergeCell ref="B1:I2"/>
    <mergeCell ref="P2:R2"/>
  </mergeCells>
  <phoneticPr fontId="1" type="noConversion"/>
  <conditionalFormatting sqref="I4:I23">
    <cfRule type="iconSet" priority="1">
      <iconSet iconSet="3Arrows">
        <cfvo type="percent" val="0"/>
        <cfvo type="percent" val="33"/>
        <cfvo type="percent" val="67"/>
      </iconSet>
    </cfRule>
    <cfRule type="dataBar" priority="2">
      <dataBar>
        <cfvo type="min"/>
        <cfvo type="max"/>
        <color rgb="FF63C384"/>
      </dataBar>
      <extLst>
        <ext xmlns:x14="http://schemas.microsoft.com/office/spreadsheetml/2009/9/main" uri="{B025F937-C7B1-47D3-B67F-A62EFF666E3E}">
          <x14:id>{D85E7782-0346-4D59-8703-93D31FA7B319}</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D85E7782-0346-4D59-8703-93D31FA7B319}">
            <x14:dataBar minLength="0" maxLength="100" border="1" negativeBarBorderColorSameAsPositive="0">
              <x14:cfvo type="autoMin"/>
              <x14:cfvo type="autoMax"/>
              <x14:borderColor rgb="FF63C384"/>
              <x14:negativeFillColor rgb="FFFF0000"/>
              <x14:negativeBorderColor rgb="FFFF0000"/>
              <x14:axisColor rgb="FF000000"/>
            </x14:dataBar>
          </x14:cfRule>
          <xm:sqref>I4:I23</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4" ma:contentTypeDescription="Create a new document." ma:contentTypeScope="" ma:versionID="1e8fad8455d7b5c89a93d4178a3fc1c9">
  <xsd:schema xmlns:xsd="http://www.w3.org/2001/XMLSchema" xmlns:xs="http://www.w3.org/2001/XMLSchema" xmlns:p="http://schemas.microsoft.com/office/2006/metadata/properties" xmlns:ns3="d6bf451c-e3aa-4dd1-b5a6-a95183d31bdf" targetNamespace="http://schemas.microsoft.com/office/2006/metadata/properties" ma:root="true" ma:fieldsID="8408199938cbb8869539c7a2b993ecc3"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EA3F5F5-320B-42BB-A4A1-9F4DDD8347CE}">
  <ds:schemaRefs>
    <ds:schemaRef ds:uri="http://schemas.microsoft.com/sharepoint/v3/contenttype/forms"/>
  </ds:schemaRefs>
</ds:datastoreItem>
</file>

<file path=customXml/itemProps2.xml><?xml version="1.0" encoding="utf-8"?>
<ds:datastoreItem xmlns:ds="http://schemas.openxmlformats.org/officeDocument/2006/customXml" ds:itemID="{8C620909-6114-4022-B6E2-7D1B50CD5B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58CF38-D835-4172-80BB-976D11FA6727}">
  <ds:schemaRefs>
    <ds:schemaRef ds:uri="http://purl.org/dc/elements/1.1/"/>
    <ds:schemaRef ds:uri="http://schemas.microsoft.com/office/2006/metadata/properties"/>
    <ds:schemaRef ds:uri="http://schemas.microsoft.com/office/infopath/2007/PartnerControls"/>
    <ds:schemaRef ds:uri="http://purl.org/dc/dcmitype/"/>
    <ds:schemaRef ds:uri="http://schemas.microsoft.com/office/2006/documentManagement/types"/>
    <ds:schemaRef ds:uri="http://purl.org/dc/terms/"/>
    <ds:schemaRef ds:uri="http://schemas.openxmlformats.org/package/2006/metadata/core-properties"/>
    <ds:schemaRef ds:uri="d6bf451c-e3aa-4dd1-b5a6-a95183d31bd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Ahmed Abdellateef Saleh</dc:creator>
  <cp:lastModifiedBy>Ahmed Mohamed Ahmed Abdellateef Saleh</cp:lastModifiedBy>
  <dcterms:created xsi:type="dcterms:W3CDTF">2026-07-01T22:41:20Z</dcterms:created>
  <dcterms:modified xsi:type="dcterms:W3CDTF">2026-07-07T14:29:05Z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